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corner-my.sharepoint.com/personal/wei_qiao_technipfmc_com/Documents/Documents/TechnipFMC/00_BPTiber_iEPCI/04_GlobalModel/01_FA/"/>
    </mc:Choice>
  </mc:AlternateContent>
  <xr:revisionPtr revIDLastSave="408" documentId="13_ncr:1_{E084EBF0-EB74-4533-8D7B-A5F1E85E7733}" xr6:coauthVersionLast="47" xr6:coauthVersionMax="47" xr10:uidLastSave="{52DBC9C8-4795-4FAC-9B1A-6FEAB8E8B01A}"/>
  <bookViews>
    <workbookView xWindow="38280" yWindow="-120" windowWidth="29040" windowHeight="15720" firstSheet="2" activeTab="8" xr2:uid="{150596FE-8268-465F-957A-411A1E554714}"/>
  </bookViews>
  <sheets>
    <sheet name="FL1-4 SS op sheet" sheetId="1" state="hidden" r:id="rId1"/>
    <sheet name="FL1-4 SS pcl sheet" sheetId="4" state="hidden" r:id="rId2"/>
    <sheet name="FL6 data" sheetId="7" r:id="rId3"/>
    <sheet name="Density" sheetId="11" r:id="rId4"/>
    <sheet name="Temperature" sheetId="10" r:id="rId5"/>
    <sheet name="Pressure" sheetId="8" r:id="rId6"/>
    <sheet name="FL6_WD" sheetId="9" r:id="rId7"/>
    <sheet name="PressureTransientEarly" sheetId="13" r:id="rId8"/>
    <sheet name="TemperatureTransientEarly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" i="9" l="1"/>
  <c r="AD3" i="9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Z11" i="10"/>
  <c r="AA15" i="10"/>
  <c r="X20" i="10"/>
  <c r="AG5" i="10" l="1" a="1"/>
  <c r="AG5" i="10" s="1"/>
  <c r="AG6" i="10" a="1"/>
  <c r="AG6" i="10"/>
  <c r="AG7" i="10" a="1"/>
  <c r="AG7" i="10" s="1"/>
  <c r="AG8" i="10" a="1"/>
  <c r="AG8" i="10" s="1"/>
  <c r="AG9" i="10" a="1"/>
  <c r="AG9" i="10"/>
  <c r="AG10" i="10" a="1"/>
  <c r="AG10" i="10"/>
  <c r="AG11" i="10" a="1"/>
  <c r="AG11" i="10"/>
  <c r="AG12" i="10" a="1"/>
  <c r="AG12" i="10"/>
  <c r="AG13" i="10" a="1"/>
  <c r="AG13" i="10"/>
  <c r="AG14" i="10" a="1"/>
  <c r="AG14" i="10"/>
  <c r="AG15" i="10" a="1"/>
  <c r="AG15" i="10"/>
  <c r="AG16" i="10" a="1"/>
  <c r="AG16" i="10"/>
  <c r="AG17" i="10" a="1"/>
  <c r="AG17" i="10"/>
  <c r="AG18" i="10" a="1"/>
  <c r="AG18" i="10"/>
  <c r="AG19" i="10" a="1"/>
  <c r="AG19" i="10" s="1"/>
  <c r="AG20" i="10" a="1"/>
  <c r="AG20" i="10"/>
  <c r="AG21" i="10" a="1"/>
  <c r="AG21" i="10" s="1"/>
  <c r="AG22" i="10" a="1"/>
  <c r="AG22" i="10" s="1"/>
  <c r="AG23" i="10" a="1"/>
  <c r="AG23" i="10"/>
  <c r="AG24" i="10" a="1"/>
  <c r="AG24" i="10"/>
  <c r="AG4" i="10" a="1"/>
  <c r="AG4" i="10" s="1"/>
  <c r="AF6" i="10" a="1"/>
  <c r="AF6" i="10" s="1"/>
  <c r="AF7" i="10" a="1"/>
  <c r="AF7" i="10"/>
  <c r="AF8" i="10" a="1"/>
  <c r="AF8" i="10"/>
  <c r="AF9" i="10" a="1"/>
  <c r="AF9" i="10"/>
  <c r="AF10" i="10" a="1"/>
  <c r="AF10" i="10"/>
  <c r="AF11" i="10" a="1"/>
  <c r="AF11" i="10"/>
  <c r="AF12" i="10" a="1"/>
  <c r="AF12" i="10"/>
  <c r="AF13" i="10" a="1"/>
  <c r="AF13" i="10"/>
  <c r="AF14" i="10" a="1"/>
  <c r="AF14" i="10"/>
  <c r="AF15" i="10" a="1"/>
  <c r="AF15" i="10"/>
  <c r="AF16" i="10" a="1"/>
  <c r="AF16" i="10"/>
  <c r="AF17" i="10" a="1"/>
  <c r="AF17" i="10"/>
  <c r="AF18" i="10" a="1"/>
  <c r="AF18" i="10"/>
  <c r="AF19" i="10" a="1"/>
  <c r="AF19" i="10"/>
  <c r="AF20" i="10" a="1"/>
  <c r="AF20" i="10" s="1"/>
  <c r="AF21" i="10" a="1"/>
  <c r="AF21" i="10"/>
  <c r="AF22" i="10" a="1"/>
  <c r="AF22" i="10"/>
  <c r="AF23" i="10" a="1"/>
  <c r="AF23" i="10"/>
  <c r="AF24" i="10" a="1"/>
  <c r="AF24" i="10"/>
  <c r="AF5" i="10" a="1"/>
  <c r="AF5" i="10" s="1"/>
  <c r="AI5" i="10" a="1"/>
  <c r="AI5" i="10" s="1"/>
  <c r="AI6" i="10" a="1"/>
  <c r="AI6" i="10" s="1"/>
  <c r="AI7" i="10" a="1"/>
  <c r="AI7" i="10" s="1"/>
  <c r="AI8" i="10" a="1"/>
  <c r="AI8" i="10" s="1"/>
  <c r="AI9" i="10" a="1"/>
  <c r="AI9" i="10" s="1"/>
  <c r="AI10" i="10" a="1"/>
  <c r="AI10" i="10" s="1"/>
  <c r="AI11" i="10" a="1"/>
  <c r="AI11" i="10" s="1"/>
  <c r="AI12" i="10" a="1"/>
  <c r="AI12" i="10"/>
  <c r="AI13" i="10" a="1"/>
  <c r="AI13" i="10"/>
  <c r="AI14" i="10" a="1"/>
  <c r="AI14" i="10"/>
  <c r="AI15" i="10" a="1"/>
  <c r="AI15" i="10"/>
  <c r="AI16" i="10" a="1"/>
  <c r="AI16" i="10"/>
  <c r="AI17" i="10" a="1"/>
  <c r="AI17" i="10" s="1"/>
  <c r="AI18" i="10" a="1"/>
  <c r="AI18" i="10" s="1"/>
  <c r="AI19" i="10" a="1"/>
  <c r="AI19" i="10" s="1"/>
  <c r="AI20" i="10" a="1"/>
  <c r="AI20" i="10" s="1"/>
  <c r="AI21" i="10" a="1"/>
  <c r="AI21" i="10"/>
  <c r="AI22" i="10" a="1"/>
  <c r="AI22" i="10" s="1"/>
  <c r="AI23" i="10" a="1"/>
  <c r="AI23" i="10" s="1"/>
  <c r="AI24" i="10" a="1"/>
  <c r="AI24" i="10" s="1"/>
  <c r="AH5" i="10" a="1"/>
  <c r="AH5" i="10" s="1"/>
  <c r="AH6" i="10" a="1"/>
  <c r="AH6" i="10" s="1"/>
  <c r="AH7" i="10" a="1"/>
  <c r="AH7" i="10"/>
  <c r="AH8" i="10" a="1"/>
  <c r="AH8" i="10" s="1"/>
  <c r="AH9" i="10" a="1"/>
  <c r="AH9" i="10" s="1"/>
  <c r="AH10" i="10" a="1"/>
  <c r="AH10" i="10"/>
  <c r="AH11" i="10" a="1"/>
  <c r="AH11" i="10" s="1"/>
  <c r="AH12" i="10" a="1"/>
  <c r="AH12" i="10"/>
  <c r="AH13" i="10" a="1"/>
  <c r="AH13" i="10"/>
  <c r="AH14" i="10" a="1"/>
  <c r="AH14" i="10" s="1"/>
  <c r="AH15" i="10" a="1"/>
  <c r="AH15" i="10" s="1"/>
  <c r="AH16" i="10" a="1"/>
  <c r="AH16" i="10"/>
  <c r="AH17" i="10" a="1"/>
  <c r="AH17" i="10" s="1"/>
  <c r="B17" i="10" s="1"/>
  <c r="AH18" i="10" a="1"/>
  <c r="AH18" i="10"/>
  <c r="AH19" i="10" a="1"/>
  <c r="AH19" i="10" s="1"/>
  <c r="AH20" i="10" a="1"/>
  <c r="AH20" i="10"/>
  <c r="AH21" i="10" a="1"/>
  <c r="AH21" i="10" s="1"/>
  <c r="AH22" i="10" a="1"/>
  <c r="AH22" i="10" s="1"/>
  <c r="AH23" i="10" a="1"/>
  <c r="AH23" i="10"/>
  <c r="AH24" i="10" a="1"/>
  <c r="AH24" i="10" s="1"/>
  <c r="AI4" i="10" a="1"/>
  <c r="AI4" i="10" s="1"/>
  <c r="AH4" i="10" a="1"/>
  <c r="AH4" i="10" s="1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E5" i="10"/>
  <c r="AD5" i="10"/>
  <c r="AD4" i="10"/>
  <c r="AE4" i="10"/>
  <c r="AF4" i="10" a="1"/>
  <c r="AF4" i="10" s="1"/>
  <c r="Z15" i="10"/>
  <c r="Z14" i="10"/>
  <c r="Z13" i="10"/>
  <c r="Z12" i="10"/>
  <c r="Y15" i="10"/>
  <c r="Y14" i="10"/>
  <c r="Y13" i="10"/>
  <c r="Y12" i="10"/>
  <c r="Y11" i="10"/>
  <c r="Y5" i="10"/>
  <c r="Y6" i="10" s="1"/>
  <c r="Y7" i="10" s="1"/>
  <c r="Z4" i="10"/>
  <c r="Q16" i="10"/>
  <c r="P6" i="10"/>
  <c r="Q6" i="10" s="1"/>
  <c r="P7" i="10"/>
  <c r="Q7" i="10" s="1"/>
  <c r="P8" i="10"/>
  <c r="Q8" i="10" s="1"/>
  <c r="P9" i="10"/>
  <c r="Q9" i="10" s="1"/>
  <c r="P10" i="10"/>
  <c r="Q10" i="10" s="1"/>
  <c r="P11" i="10"/>
  <c r="Q11" i="10" s="1"/>
  <c r="P12" i="10"/>
  <c r="Q12" i="10" s="1"/>
  <c r="P13" i="10"/>
  <c r="Q13" i="10" s="1"/>
  <c r="P14" i="10"/>
  <c r="Q14" i="10" s="1"/>
  <c r="P15" i="10"/>
  <c r="Q15" i="10" s="1"/>
  <c r="P16" i="10"/>
  <c r="P17" i="10"/>
  <c r="Q17" i="10" s="1"/>
  <c r="P18" i="10"/>
  <c r="Q18" i="10" s="1"/>
  <c r="P19" i="10"/>
  <c r="Q19" i="10" s="1"/>
  <c r="P20" i="10"/>
  <c r="Q20" i="10" s="1"/>
  <c r="P21" i="10"/>
  <c r="Q21" i="10" s="1"/>
  <c r="P22" i="10"/>
  <c r="Q22" i="10" s="1"/>
  <c r="P23" i="10"/>
  <c r="Q23" i="10" s="1"/>
  <c r="P24" i="10"/>
  <c r="Q24" i="10" s="1"/>
  <c r="P5" i="10"/>
  <c r="Q5" i="10" s="1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5" i="10"/>
  <c r="O4" i="10" s="1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5" i="10"/>
  <c r="L4" i="10" s="1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5" i="10"/>
  <c r="K4" i="10" s="1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5" i="10"/>
  <c r="I4" i="10" s="1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5" i="10"/>
  <c r="G4" i="10" s="1"/>
  <c r="U4" i="10" s="1"/>
  <c r="H4" i="10"/>
  <c r="J4" i="10"/>
  <c r="M4" i="10"/>
  <c r="N4" i="10"/>
  <c r="U14" i="8"/>
  <c r="U15" i="8"/>
  <c r="U16" i="8"/>
  <c r="U19" i="8"/>
  <c r="U21" i="8"/>
  <c r="U23" i="8"/>
  <c r="U28" i="8"/>
  <c r="U29" i="8"/>
  <c r="U30" i="8"/>
  <c r="U32" i="8"/>
  <c r="U42" i="8"/>
  <c r="U43" i="8"/>
  <c r="U44" i="8"/>
  <c r="U47" i="8"/>
  <c r="U49" i="8"/>
  <c r="U51" i="8"/>
  <c r="U56" i="8"/>
  <c r="U57" i="8"/>
  <c r="U58" i="8"/>
  <c r="U60" i="8"/>
  <c r="U70" i="8"/>
  <c r="U71" i="8"/>
  <c r="U72" i="8"/>
  <c r="U75" i="8"/>
  <c r="U77" i="8"/>
  <c r="U79" i="8"/>
  <c r="U84" i="8"/>
  <c r="U85" i="8"/>
  <c r="U86" i="8"/>
  <c r="U88" i="8"/>
  <c r="T6" i="8"/>
  <c r="U6" i="8" s="1"/>
  <c r="T7" i="8"/>
  <c r="U7" i="8" s="1"/>
  <c r="T8" i="8"/>
  <c r="U8" i="8" s="1"/>
  <c r="T9" i="8"/>
  <c r="U9" i="8" s="1"/>
  <c r="T10" i="8"/>
  <c r="U10" i="8" s="1"/>
  <c r="T11" i="8"/>
  <c r="U11" i="8" s="1"/>
  <c r="T12" i="8"/>
  <c r="U12" i="8" s="1"/>
  <c r="T13" i="8"/>
  <c r="U13" i="8" s="1"/>
  <c r="T14" i="8"/>
  <c r="T15" i="8"/>
  <c r="T16" i="8"/>
  <c r="T17" i="8"/>
  <c r="U17" i="8" s="1"/>
  <c r="T18" i="8"/>
  <c r="U18" i="8" s="1"/>
  <c r="T19" i="8"/>
  <c r="T20" i="8"/>
  <c r="U20" i="8" s="1"/>
  <c r="T21" i="8"/>
  <c r="T22" i="8"/>
  <c r="U22" i="8" s="1"/>
  <c r="T23" i="8"/>
  <c r="T24" i="8"/>
  <c r="U24" i="8" s="1"/>
  <c r="T25" i="8"/>
  <c r="U25" i="8" s="1"/>
  <c r="T26" i="8"/>
  <c r="U26" i="8" s="1"/>
  <c r="T27" i="8"/>
  <c r="U27" i="8" s="1"/>
  <c r="T28" i="8"/>
  <c r="T29" i="8"/>
  <c r="T30" i="8"/>
  <c r="T31" i="8"/>
  <c r="U31" i="8" s="1"/>
  <c r="T32" i="8"/>
  <c r="T33" i="8"/>
  <c r="U33" i="8" s="1"/>
  <c r="T34" i="8"/>
  <c r="U34" i="8" s="1"/>
  <c r="T35" i="8"/>
  <c r="U35" i="8" s="1"/>
  <c r="T36" i="8"/>
  <c r="U36" i="8" s="1"/>
  <c r="T37" i="8"/>
  <c r="U37" i="8" s="1"/>
  <c r="T38" i="8"/>
  <c r="U38" i="8" s="1"/>
  <c r="T39" i="8"/>
  <c r="U39" i="8" s="1"/>
  <c r="T40" i="8"/>
  <c r="U40" i="8" s="1"/>
  <c r="T41" i="8"/>
  <c r="U41" i="8" s="1"/>
  <c r="T42" i="8"/>
  <c r="T43" i="8"/>
  <c r="T44" i="8"/>
  <c r="T45" i="8"/>
  <c r="U45" i="8" s="1"/>
  <c r="T46" i="8"/>
  <c r="U46" i="8" s="1"/>
  <c r="T47" i="8"/>
  <c r="T48" i="8"/>
  <c r="U48" i="8" s="1"/>
  <c r="T49" i="8"/>
  <c r="T50" i="8"/>
  <c r="U50" i="8" s="1"/>
  <c r="T51" i="8"/>
  <c r="T52" i="8"/>
  <c r="U52" i="8" s="1"/>
  <c r="T53" i="8"/>
  <c r="U53" i="8" s="1"/>
  <c r="T54" i="8"/>
  <c r="U54" i="8" s="1"/>
  <c r="T55" i="8"/>
  <c r="U55" i="8" s="1"/>
  <c r="T56" i="8"/>
  <c r="T57" i="8"/>
  <c r="T58" i="8"/>
  <c r="T59" i="8"/>
  <c r="U59" i="8" s="1"/>
  <c r="T60" i="8"/>
  <c r="T61" i="8"/>
  <c r="U61" i="8" s="1"/>
  <c r="T62" i="8"/>
  <c r="U62" i="8" s="1"/>
  <c r="T63" i="8"/>
  <c r="U63" i="8" s="1"/>
  <c r="T64" i="8"/>
  <c r="U64" i="8" s="1"/>
  <c r="T65" i="8"/>
  <c r="U65" i="8" s="1"/>
  <c r="T66" i="8"/>
  <c r="U66" i="8" s="1"/>
  <c r="T67" i="8"/>
  <c r="U67" i="8" s="1"/>
  <c r="T68" i="8"/>
  <c r="U68" i="8" s="1"/>
  <c r="T69" i="8"/>
  <c r="U69" i="8" s="1"/>
  <c r="T70" i="8"/>
  <c r="T71" i="8"/>
  <c r="T72" i="8"/>
  <c r="T73" i="8"/>
  <c r="U73" i="8" s="1"/>
  <c r="T74" i="8"/>
  <c r="U74" i="8" s="1"/>
  <c r="T75" i="8"/>
  <c r="T76" i="8"/>
  <c r="U76" i="8" s="1"/>
  <c r="T77" i="8"/>
  <c r="T78" i="8"/>
  <c r="U78" i="8" s="1"/>
  <c r="T79" i="8"/>
  <c r="T80" i="8"/>
  <c r="U80" i="8" s="1"/>
  <c r="T81" i="8"/>
  <c r="U81" i="8" s="1"/>
  <c r="T82" i="8"/>
  <c r="U82" i="8" s="1"/>
  <c r="T83" i="8"/>
  <c r="U83" i="8" s="1"/>
  <c r="T84" i="8"/>
  <c r="T85" i="8"/>
  <c r="T86" i="8"/>
  <c r="T87" i="8"/>
  <c r="U87" i="8" s="1"/>
  <c r="T88" i="8"/>
  <c r="T89" i="8"/>
  <c r="U89" i="8" s="1"/>
  <c r="T5" i="8"/>
  <c r="T4" i="8" s="1"/>
  <c r="U4" i="8" s="1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5" i="8"/>
  <c r="S4" i="8" s="1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5" i="8"/>
  <c r="N4" i="8" s="1"/>
  <c r="M5" i="8"/>
  <c r="M4" i="8" s="1"/>
  <c r="O4" i="8"/>
  <c r="P4" i="8"/>
  <c r="Q4" i="8"/>
  <c r="R4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5" i="8"/>
  <c r="L4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5" i="8"/>
  <c r="K4" i="8" s="1"/>
  <c r="N63" i="9"/>
  <c r="N65" i="9"/>
  <c r="P65" i="9" s="1" a="1"/>
  <c r="P65" i="9" s="1"/>
  <c r="N237" i="9"/>
  <c r="N333" i="9"/>
  <c r="N336" i="9"/>
  <c r="N337" i="9"/>
  <c r="N388" i="9"/>
  <c r="K2" i="9"/>
  <c r="J2" i="9"/>
  <c r="G2" i="9"/>
  <c r="F2" i="9"/>
  <c r="H2" i="9" s="1"/>
  <c r="E2" i="9"/>
  <c r="D2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N75" i="9"/>
  <c r="N94" i="9"/>
  <c r="N235" i="9"/>
  <c r="N289" i="9"/>
  <c r="C3" i="9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B6" i="12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B6" i="13"/>
  <c r="U5" i="8" l="1"/>
  <c r="P289" i="9" a="1"/>
  <c r="P289" i="9" s="1"/>
  <c r="O289" i="9"/>
  <c r="P235" i="9" a="1"/>
  <c r="P235" i="9" s="1"/>
  <c r="O235" i="9"/>
  <c r="O337" i="9"/>
  <c r="P337" i="9" a="1"/>
  <c r="P337" i="9" s="1"/>
  <c r="N270" i="9"/>
  <c r="P94" i="9" a="1"/>
  <c r="P94" i="9" s="1"/>
  <c r="O94" i="9"/>
  <c r="O75" i="9"/>
  <c r="P75" i="9" a="1"/>
  <c r="P75" i="9" s="1"/>
  <c r="O388" i="9"/>
  <c r="P388" i="9" a="1"/>
  <c r="P388" i="9" s="1"/>
  <c r="N203" i="9"/>
  <c r="N145" i="9"/>
  <c r="N163" i="9"/>
  <c r="N216" i="9"/>
  <c r="N165" i="9"/>
  <c r="N218" i="9"/>
  <c r="N119" i="9"/>
  <c r="N172" i="9"/>
  <c r="N221" i="9"/>
  <c r="N150" i="9"/>
  <c r="N130" i="9"/>
  <c r="N152" i="9"/>
  <c r="N156" i="9"/>
  <c r="N175" i="9"/>
  <c r="N158" i="9"/>
  <c r="N159" i="9"/>
  <c r="N176" i="9"/>
  <c r="N177" i="9"/>
  <c r="N179" i="9"/>
  <c r="N181" i="9"/>
  <c r="N184" i="9"/>
  <c r="N161" i="9"/>
  <c r="N166" i="9"/>
  <c r="N173" i="9"/>
  <c r="N204" i="9"/>
  <c r="N205" i="9"/>
  <c r="N206" i="9"/>
  <c r="N208" i="9"/>
  <c r="N209" i="9"/>
  <c r="N210" i="9"/>
  <c r="N219" i="9"/>
  <c r="N222" i="9"/>
  <c r="N120" i="9"/>
  <c r="N223" i="9"/>
  <c r="N121" i="9"/>
  <c r="N228" i="9"/>
  <c r="N230" i="9"/>
  <c r="N129" i="9"/>
  <c r="P237" i="9" a="1"/>
  <c r="P237" i="9" s="1"/>
  <c r="O237" i="9"/>
  <c r="N60" i="9"/>
  <c r="N126" i="9"/>
  <c r="N125" i="9"/>
  <c r="N122" i="9"/>
  <c r="O65" i="9"/>
  <c r="N332" i="9"/>
  <c r="P336" i="9" a="1"/>
  <c r="P336" i="9" s="1"/>
  <c r="O336" i="9"/>
  <c r="N357" i="9"/>
  <c r="N369" i="9"/>
  <c r="N374" i="9"/>
  <c r="N358" i="9"/>
  <c r="N359" i="9"/>
  <c r="N360" i="9"/>
  <c r="N361" i="9"/>
  <c r="N363" i="9"/>
  <c r="N364" i="9"/>
  <c r="N383" i="9"/>
  <c r="N387" i="9"/>
  <c r="N370" i="9"/>
  <c r="N372" i="9"/>
  <c r="N376" i="9"/>
  <c r="N375" i="9"/>
  <c r="N377" i="9"/>
  <c r="N338" i="9"/>
  <c r="N382" i="9"/>
  <c r="N288" i="9"/>
  <c r="N59" i="9"/>
  <c r="N280" i="9"/>
  <c r="N238" i="9"/>
  <c r="P333" i="9" a="1"/>
  <c r="P333" i="9" s="1"/>
  <c r="O333" i="9"/>
  <c r="N331" i="9"/>
  <c r="N329" i="9"/>
  <c r="N112" i="9"/>
  <c r="N325" i="9"/>
  <c r="N100" i="9"/>
  <c r="N322" i="9"/>
  <c r="N97" i="9"/>
  <c r="N316" i="9"/>
  <c r="N96" i="9"/>
  <c r="N315" i="9"/>
  <c r="N314" i="9"/>
  <c r="N93" i="9"/>
  <c r="N311" i="9"/>
  <c r="N92" i="9"/>
  <c r="N308" i="9"/>
  <c r="P63" i="9" a="1"/>
  <c r="P63" i="9" s="1"/>
  <c r="O63" i="9"/>
  <c r="N283" i="9"/>
  <c r="N32" i="9"/>
  <c r="N90" i="9"/>
  <c r="N46" i="9"/>
  <c r="N103" i="9"/>
  <c r="N51" i="9"/>
  <c r="N108" i="9"/>
  <c r="N56" i="9"/>
  <c r="N35" i="9"/>
  <c r="N281" i="9"/>
  <c r="N57" i="9"/>
  <c r="N278" i="9"/>
  <c r="N52" i="9"/>
  <c r="N273" i="9"/>
  <c r="N42" i="9"/>
  <c r="N58" i="9"/>
  <c r="N40" i="9"/>
  <c r="N253" i="9"/>
  <c r="N303" i="9"/>
  <c r="N269" i="9"/>
  <c r="N319" i="9"/>
  <c r="N277" i="9"/>
  <c r="N328" i="9"/>
  <c r="N254" i="9"/>
  <c r="N307" i="9"/>
  <c r="N6" i="9"/>
  <c r="N263" i="9"/>
  <c r="N38" i="9"/>
  <c r="N261" i="9"/>
  <c r="N37" i="9"/>
  <c r="N260" i="9"/>
  <c r="N36" i="9"/>
  <c r="N257" i="9"/>
  <c r="N5" i="9"/>
  <c r="N279" i="9"/>
  <c r="N256" i="9"/>
  <c r="N391" i="9"/>
  <c r="N339" i="9"/>
  <c r="N291" i="9"/>
  <c r="N240" i="9"/>
  <c r="N185" i="9"/>
  <c r="N131" i="9"/>
  <c r="N77" i="9"/>
  <c r="N11" i="9"/>
  <c r="N39" i="9"/>
  <c r="N67" i="9"/>
  <c r="N95" i="9"/>
  <c r="N123" i="9"/>
  <c r="N151" i="9"/>
  <c r="N15" i="9"/>
  <c r="N43" i="9"/>
  <c r="N71" i="9"/>
  <c r="N99" i="9"/>
  <c r="N127" i="9"/>
  <c r="N155" i="9"/>
  <c r="N183" i="9"/>
  <c r="N211" i="9"/>
  <c r="N239" i="9"/>
  <c r="N267" i="9"/>
  <c r="N295" i="9"/>
  <c r="N323" i="9"/>
  <c r="N351" i="9"/>
  <c r="N379" i="9"/>
  <c r="N25" i="9"/>
  <c r="N53" i="9"/>
  <c r="N81" i="9"/>
  <c r="N109" i="9"/>
  <c r="N13" i="9"/>
  <c r="N45" i="9"/>
  <c r="N76" i="9"/>
  <c r="N107" i="9"/>
  <c r="N138" i="9"/>
  <c r="N168" i="9"/>
  <c r="N197" i="9"/>
  <c r="N226" i="9"/>
  <c r="N255" i="9"/>
  <c r="N284" i="9"/>
  <c r="N313" i="9"/>
  <c r="N342" i="9"/>
  <c r="N371" i="9"/>
  <c r="N17" i="9"/>
  <c r="N48" i="9"/>
  <c r="N79" i="9"/>
  <c r="N111" i="9"/>
  <c r="N141" i="9"/>
  <c r="N171" i="9"/>
  <c r="N200" i="9"/>
  <c r="N229" i="9"/>
  <c r="N258" i="9"/>
  <c r="N287" i="9"/>
  <c r="N31" i="9"/>
  <c r="N64" i="9"/>
  <c r="N98" i="9"/>
  <c r="N132" i="9"/>
  <c r="N164" i="9"/>
  <c r="N195" i="9"/>
  <c r="N227" i="9"/>
  <c r="N259" i="9"/>
  <c r="N290" i="9"/>
  <c r="N320" i="9"/>
  <c r="N350" i="9"/>
  <c r="N381" i="9"/>
  <c r="N34" i="9"/>
  <c r="N68" i="9"/>
  <c r="N102" i="9"/>
  <c r="N135" i="9"/>
  <c r="N167" i="9"/>
  <c r="N199" i="9"/>
  <c r="N231" i="9"/>
  <c r="N262" i="9"/>
  <c r="N293" i="9"/>
  <c r="N324" i="9"/>
  <c r="N354" i="9"/>
  <c r="N384" i="9"/>
  <c r="N14" i="9"/>
  <c r="N49" i="9"/>
  <c r="N83" i="9"/>
  <c r="N116" i="9"/>
  <c r="N148" i="9"/>
  <c r="N180" i="9"/>
  <c r="N212" i="9"/>
  <c r="N243" i="9"/>
  <c r="N274" i="9"/>
  <c r="N305" i="9"/>
  <c r="N335" i="9"/>
  <c r="N365" i="9"/>
  <c r="N395" i="9"/>
  <c r="N29" i="9"/>
  <c r="N66" i="9"/>
  <c r="N105" i="9"/>
  <c r="N143" i="9"/>
  <c r="N178" i="9"/>
  <c r="N214" i="9"/>
  <c r="N248" i="9"/>
  <c r="N282" i="9"/>
  <c r="N317" i="9"/>
  <c r="N352" i="9"/>
  <c r="N386" i="9"/>
  <c r="N33" i="9"/>
  <c r="N72" i="9"/>
  <c r="N110" i="9"/>
  <c r="N146" i="9"/>
  <c r="N182" i="9"/>
  <c r="N217" i="9"/>
  <c r="N251" i="9"/>
  <c r="N286" i="9"/>
  <c r="N321" i="9"/>
  <c r="N356" i="9"/>
  <c r="N389" i="9"/>
  <c r="N9" i="9"/>
  <c r="N50" i="9"/>
  <c r="N87" i="9"/>
  <c r="N124" i="9"/>
  <c r="N160" i="9"/>
  <c r="N194" i="9"/>
  <c r="N232" i="9"/>
  <c r="N266" i="9"/>
  <c r="N301" i="9"/>
  <c r="N334" i="9"/>
  <c r="N368" i="9"/>
  <c r="N18" i="9"/>
  <c r="N55" i="9"/>
  <c r="N21" i="9"/>
  <c r="N62" i="9"/>
  <c r="N106" i="9"/>
  <c r="N149" i="9"/>
  <c r="N188" i="9"/>
  <c r="N225" i="9"/>
  <c r="N268" i="9"/>
  <c r="N306" i="9"/>
  <c r="N343" i="9"/>
  <c r="N380" i="9"/>
  <c r="N22" i="9"/>
  <c r="N23" i="9"/>
  <c r="N24" i="9"/>
  <c r="N69" i="9"/>
  <c r="N113" i="9"/>
  <c r="N153" i="9"/>
  <c r="N191" i="9"/>
  <c r="N233" i="9"/>
  <c r="N271" i="9"/>
  <c r="N309" i="9"/>
  <c r="N346" i="9"/>
  <c r="N385" i="9"/>
  <c r="N26" i="9"/>
  <c r="N70" i="9"/>
  <c r="N114" i="9"/>
  <c r="N154" i="9"/>
  <c r="N192" i="9"/>
  <c r="N234" i="9"/>
  <c r="N272" i="9"/>
  <c r="N310" i="9"/>
  <c r="N27" i="9"/>
  <c r="N73" i="9"/>
  <c r="N115" i="9"/>
  <c r="N28" i="9"/>
  <c r="N74" i="9"/>
  <c r="N117" i="9"/>
  <c r="N157" i="9"/>
  <c r="N196" i="9"/>
  <c r="N236" i="9"/>
  <c r="N275" i="9"/>
  <c r="N312" i="9"/>
  <c r="N349" i="9"/>
  <c r="N390" i="9"/>
  <c r="N41" i="9"/>
  <c r="N86" i="9"/>
  <c r="N128" i="9"/>
  <c r="N169" i="9"/>
  <c r="N207" i="9"/>
  <c r="N246" i="9"/>
  <c r="N285" i="9"/>
  <c r="N326" i="9"/>
  <c r="N362" i="9"/>
  <c r="N4" i="9"/>
  <c r="N47" i="9"/>
  <c r="N91" i="9"/>
  <c r="N133" i="9"/>
  <c r="N174" i="9"/>
  <c r="N213" i="9"/>
  <c r="N252" i="9"/>
  <c r="N292" i="9"/>
  <c r="N330" i="9"/>
  <c r="N367" i="9"/>
  <c r="N20" i="9"/>
  <c r="N61" i="9"/>
  <c r="N104" i="9"/>
  <c r="N147" i="9"/>
  <c r="N187" i="9"/>
  <c r="N224" i="9"/>
  <c r="N265" i="9"/>
  <c r="N304" i="9"/>
  <c r="N341" i="9"/>
  <c r="N378" i="9"/>
  <c r="N373" i="9"/>
  <c r="N327" i="9"/>
  <c r="N276" i="9"/>
  <c r="N220" i="9"/>
  <c r="N170" i="9"/>
  <c r="N118" i="9"/>
  <c r="N54" i="9"/>
  <c r="N366" i="9"/>
  <c r="N318" i="9"/>
  <c r="N264" i="9"/>
  <c r="N215" i="9"/>
  <c r="N162" i="9"/>
  <c r="N101" i="9"/>
  <c r="N44" i="9"/>
  <c r="N355" i="9"/>
  <c r="N302" i="9"/>
  <c r="N250" i="9"/>
  <c r="N202" i="9"/>
  <c r="N144" i="9"/>
  <c r="N89" i="9"/>
  <c r="N30" i="9"/>
  <c r="N353" i="9"/>
  <c r="N300" i="9"/>
  <c r="N249" i="9"/>
  <c r="N201" i="9"/>
  <c r="N142" i="9"/>
  <c r="N88" i="9"/>
  <c r="N19" i="9"/>
  <c r="N397" i="9"/>
  <c r="N348" i="9"/>
  <c r="N299" i="9"/>
  <c r="N247" i="9"/>
  <c r="N198" i="9"/>
  <c r="N140" i="9"/>
  <c r="N85" i="9"/>
  <c r="N16" i="9"/>
  <c r="N396" i="9"/>
  <c r="N347" i="9"/>
  <c r="N298" i="9"/>
  <c r="N245" i="9"/>
  <c r="N193" i="9"/>
  <c r="N139" i="9"/>
  <c r="N84" i="9"/>
  <c r="N12" i="9"/>
  <c r="N394" i="9"/>
  <c r="N345" i="9"/>
  <c r="N297" i="9"/>
  <c r="N244" i="9"/>
  <c r="N190" i="9"/>
  <c r="N137" i="9"/>
  <c r="N82" i="9"/>
  <c r="N10" i="9"/>
  <c r="N393" i="9"/>
  <c r="N344" i="9"/>
  <c r="N296" i="9"/>
  <c r="N242" i="9"/>
  <c r="N189" i="9"/>
  <c r="N136" i="9"/>
  <c r="N80" i="9"/>
  <c r="N8" i="9"/>
  <c r="N392" i="9"/>
  <c r="N340" i="9"/>
  <c r="N294" i="9"/>
  <c r="N241" i="9"/>
  <c r="N186" i="9"/>
  <c r="N134" i="9"/>
  <c r="N78" i="9"/>
  <c r="N7" i="9"/>
  <c r="B14" i="10"/>
  <c r="B9" i="10"/>
  <c r="B8" i="10"/>
  <c r="B7" i="10"/>
  <c r="B24" i="10"/>
  <c r="B6" i="10"/>
  <c r="B23" i="10"/>
  <c r="B5" i="10"/>
  <c r="B22" i="10"/>
  <c r="B21" i="10"/>
  <c r="B19" i="10"/>
  <c r="B18" i="10"/>
  <c r="B10" i="10"/>
  <c r="B20" i="10"/>
  <c r="B11" i="10"/>
  <c r="B16" i="10"/>
  <c r="B15" i="10"/>
  <c r="B13" i="10"/>
  <c r="AJ4" i="10"/>
  <c r="B4" i="10" s="1"/>
  <c r="B12" i="10"/>
  <c r="P4" i="10"/>
  <c r="Q4" i="10" s="1"/>
  <c r="C2" i="9"/>
  <c r="N3" i="9" s="1"/>
  <c r="U3" i="10"/>
  <c r="U2" i="10"/>
  <c r="U1" i="10"/>
  <c r="S4" i="10"/>
  <c r="R3" i="9" l="1" a="1"/>
  <c r="R3" i="9" s="1"/>
  <c r="P3" i="9" a="1"/>
  <c r="P3" i="9" s="1"/>
  <c r="O3" i="9"/>
  <c r="R395" i="9" a="1"/>
  <c r="R395" i="9" s="1"/>
  <c r="P395" i="9" a="1"/>
  <c r="P395" i="9" s="1"/>
  <c r="O395" i="9"/>
  <c r="O123" i="9"/>
  <c r="R123" i="9" a="1"/>
  <c r="R123" i="9" s="1"/>
  <c r="P123" i="9" a="1"/>
  <c r="P123" i="9" s="1"/>
  <c r="O243" i="9"/>
  <c r="P243" i="9" a="1"/>
  <c r="P243" i="9" s="1"/>
  <c r="P230" i="9" a="1"/>
  <c r="P230" i="9" s="1"/>
  <c r="R230" i="9" a="1"/>
  <c r="R230" i="9" s="1"/>
  <c r="O230" i="9"/>
  <c r="P245" i="9" a="1"/>
  <c r="P245" i="9" s="1"/>
  <c r="O245" i="9"/>
  <c r="O300" i="9"/>
  <c r="P300" i="9" a="1"/>
  <c r="P300" i="9" s="1"/>
  <c r="O224" i="9"/>
  <c r="P224" i="9" a="1"/>
  <c r="P224" i="9" s="1"/>
  <c r="P41" i="9" a="1"/>
  <c r="P41" i="9" s="1"/>
  <c r="O41" i="9"/>
  <c r="P233" i="9" a="1"/>
  <c r="P233" i="9" s="1"/>
  <c r="O233" i="9"/>
  <c r="P194" i="9" a="1"/>
  <c r="P194" i="9" s="1"/>
  <c r="O194" i="9"/>
  <c r="P105" i="9" a="1"/>
  <c r="P105" i="9" s="1"/>
  <c r="O105" i="9"/>
  <c r="P102" i="9" a="1"/>
  <c r="P102" i="9" s="1"/>
  <c r="O102" i="9"/>
  <c r="R102" i="9" a="1"/>
  <c r="R102" i="9" s="1"/>
  <c r="O155" i="9"/>
  <c r="P155" i="9" a="1"/>
  <c r="P155" i="9" s="1"/>
  <c r="O308" i="9"/>
  <c r="P308" i="9" a="1"/>
  <c r="P308" i="9" s="1"/>
  <c r="P59" i="9" a="1"/>
  <c r="P59" i="9" s="1"/>
  <c r="O59" i="9"/>
  <c r="R205" i="9" a="1"/>
  <c r="R205" i="9" s="1"/>
  <c r="P205" i="9" a="1"/>
  <c r="P205" i="9" s="1"/>
  <c r="O205" i="9"/>
  <c r="O187" i="9"/>
  <c r="P187" i="9" a="1"/>
  <c r="P187" i="9" s="1"/>
  <c r="P390" i="9" a="1"/>
  <c r="P390" i="9" s="1"/>
  <c r="R390" i="9" a="1"/>
  <c r="R390" i="9" s="1"/>
  <c r="O390" i="9"/>
  <c r="R113" i="9" a="1"/>
  <c r="R113" i="9" s="1"/>
  <c r="O113" i="9"/>
  <c r="P113" i="9" a="1"/>
  <c r="P113" i="9" s="1"/>
  <c r="P24" i="9" a="1"/>
  <c r="P24" i="9" s="1"/>
  <c r="O24" i="9"/>
  <c r="O274" i="9"/>
  <c r="P274" i="9" a="1"/>
  <c r="P274" i="9" s="1"/>
  <c r="R330" i="9" a="1"/>
  <c r="R330" i="9" s="1"/>
  <c r="O330" i="9"/>
  <c r="P330" i="9" a="1"/>
  <c r="P330" i="9" s="1"/>
  <c r="R328" i="9" a="1"/>
  <c r="R328" i="9" s="1"/>
  <c r="O328" i="9"/>
  <c r="P328" i="9" a="1"/>
  <c r="P328" i="9" s="1"/>
  <c r="P112" i="9" a="1"/>
  <c r="P112" i="9" s="1"/>
  <c r="O112" i="9"/>
  <c r="O383" i="9"/>
  <c r="P383" i="9" a="1"/>
  <c r="P383" i="9" s="1"/>
  <c r="R383" i="9" a="1"/>
  <c r="R383" i="9" s="1"/>
  <c r="R126" i="9" a="1"/>
  <c r="R126" i="9" s="1"/>
  <c r="O126" i="9"/>
  <c r="P126" i="9" a="1"/>
  <c r="P126" i="9" s="1"/>
  <c r="O176" i="9"/>
  <c r="P176" i="9" a="1"/>
  <c r="P176" i="9" s="1"/>
  <c r="P160" i="9" a="1"/>
  <c r="P160" i="9" s="1"/>
  <c r="O160" i="9"/>
  <c r="O8" i="9"/>
  <c r="P8" i="9" a="1"/>
  <c r="P8" i="9" s="1"/>
  <c r="O311" i="9"/>
  <c r="P311" i="9" a="1"/>
  <c r="P311" i="9" s="1"/>
  <c r="O93" i="9"/>
  <c r="P93" i="9" a="1"/>
  <c r="P93" i="9" s="1"/>
  <c r="O66" i="9"/>
  <c r="P66" i="9" a="1"/>
  <c r="P66" i="9" s="1"/>
  <c r="O347" i="9"/>
  <c r="P347" i="9" a="1"/>
  <c r="P347" i="9" s="1"/>
  <c r="R347" i="9" a="1"/>
  <c r="R347" i="9" s="1"/>
  <c r="O99" i="9"/>
  <c r="P99" i="9" a="1"/>
  <c r="P99" i="9" s="1"/>
  <c r="Q388" i="9" a="1"/>
  <c r="Q388" i="9" s="1"/>
  <c r="O61" i="9"/>
  <c r="P61" i="9" a="1"/>
  <c r="P61" i="9" s="1"/>
  <c r="P332" i="9" a="1"/>
  <c r="P332" i="9" s="1"/>
  <c r="O332" i="9"/>
  <c r="R20" i="9" a="1"/>
  <c r="R20" i="9" s="1"/>
  <c r="P20" i="9" a="1"/>
  <c r="P20" i="9" s="1"/>
  <c r="O20" i="9"/>
  <c r="P376" i="9" a="1"/>
  <c r="P376" i="9" s="1"/>
  <c r="O376" i="9"/>
  <c r="R325" i="9" a="1"/>
  <c r="R325" i="9" s="1"/>
  <c r="O325" i="9"/>
  <c r="P325" i="9" a="1"/>
  <c r="P325" i="9" s="1"/>
  <c r="R168" i="9" a="1"/>
  <c r="R168" i="9" s="1"/>
  <c r="O168" i="9"/>
  <c r="P168" i="9" a="1"/>
  <c r="P168" i="9" s="1"/>
  <c r="O387" i="9"/>
  <c r="P387" i="9" a="1"/>
  <c r="P387" i="9" s="1"/>
  <c r="O393" i="9"/>
  <c r="R393" i="9" a="1"/>
  <c r="R393" i="9" s="1"/>
  <c r="P393" i="9" a="1"/>
  <c r="P393" i="9" s="1"/>
  <c r="O227" i="9"/>
  <c r="P227" i="9" a="1"/>
  <c r="P227" i="9" s="1"/>
  <c r="R329" i="9" a="1"/>
  <c r="R329" i="9" s="1"/>
  <c r="O329" i="9"/>
  <c r="P329" i="9" a="1"/>
  <c r="P329" i="9" s="1"/>
  <c r="P252" i="9" a="1"/>
  <c r="P252" i="9" s="1"/>
  <c r="O252" i="9"/>
  <c r="P28" i="9" a="1"/>
  <c r="P28" i="9" s="1"/>
  <c r="O28" i="9"/>
  <c r="R180" i="9" a="1"/>
  <c r="R180" i="9" s="1"/>
  <c r="P180" i="9" a="1"/>
  <c r="P180" i="9" s="1"/>
  <c r="O180" i="9"/>
  <c r="P11" i="9" a="1"/>
  <c r="P11" i="9" s="1"/>
  <c r="R11" i="9" a="1"/>
  <c r="R11" i="9" s="1"/>
  <c r="O11" i="9"/>
  <c r="O331" i="9"/>
  <c r="P331" i="9" a="1"/>
  <c r="P331" i="9" s="1"/>
  <c r="P10" i="9" a="1"/>
  <c r="P10" i="9" s="1"/>
  <c r="O10" i="9"/>
  <c r="R54" i="9" a="1"/>
  <c r="R54" i="9" s="1"/>
  <c r="P54" i="9" a="1"/>
  <c r="P54" i="9" s="1"/>
  <c r="O54" i="9"/>
  <c r="P268" i="9" a="1"/>
  <c r="P268" i="9" s="1"/>
  <c r="O268" i="9"/>
  <c r="P164" i="9" a="1"/>
  <c r="P164" i="9" s="1"/>
  <c r="O164" i="9"/>
  <c r="R164" i="9" a="1"/>
  <c r="R164" i="9" s="1"/>
  <c r="P269" i="9" a="1"/>
  <c r="P269" i="9" s="1"/>
  <c r="O269" i="9"/>
  <c r="P60" i="9" a="1"/>
  <c r="P60" i="9" s="1"/>
  <c r="O60" i="9"/>
  <c r="R60" i="9" a="1"/>
  <c r="R60" i="9" s="1"/>
  <c r="P82" i="9" a="1"/>
  <c r="P82" i="9" s="1"/>
  <c r="O82" i="9"/>
  <c r="O140" i="9"/>
  <c r="P140" i="9" a="1"/>
  <c r="P140" i="9" s="1"/>
  <c r="O89" i="9"/>
  <c r="P89" i="9" a="1"/>
  <c r="P89" i="9" s="1"/>
  <c r="R89" i="9" a="1"/>
  <c r="R89" i="9" s="1"/>
  <c r="O118" i="9"/>
  <c r="P118" i="9" a="1"/>
  <c r="P118" i="9" s="1"/>
  <c r="P174" i="9" a="1"/>
  <c r="P174" i="9" s="1"/>
  <c r="O174" i="9"/>
  <c r="P73" i="9" a="1"/>
  <c r="P73" i="9" s="1"/>
  <c r="O73" i="9"/>
  <c r="O225" i="9"/>
  <c r="P225" i="9" a="1"/>
  <c r="P225" i="9" s="1"/>
  <c r="O182" i="9"/>
  <c r="P182" i="9" a="1"/>
  <c r="P182" i="9" s="1"/>
  <c r="R182" i="9" a="1"/>
  <c r="R182" i="9" s="1"/>
  <c r="P116" i="9" a="1"/>
  <c r="P116" i="9" s="1"/>
  <c r="O116" i="9"/>
  <c r="O132" i="9"/>
  <c r="P132" i="9" a="1"/>
  <c r="P132" i="9" s="1"/>
  <c r="P13" i="9" a="1"/>
  <c r="P13" i="9" s="1"/>
  <c r="O13" i="9"/>
  <c r="R13" i="9" a="1"/>
  <c r="R13" i="9" s="1"/>
  <c r="R303" i="9" a="1"/>
  <c r="R303" i="9" s="1"/>
  <c r="O303" i="9"/>
  <c r="P303" i="9" a="1"/>
  <c r="P303" i="9" s="1"/>
  <c r="R56" i="9" a="1"/>
  <c r="R56" i="9" s="1"/>
  <c r="O56" i="9"/>
  <c r="P56" i="9" a="1"/>
  <c r="P56" i="9" s="1"/>
  <c r="P361" i="9" a="1"/>
  <c r="P361" i="9" s="1"/>
  <c r="O361" i="9"/>
  <c r="Q237" i="9" a="1"/>
  <c r="Q237" i="9" s="1"/>
  <c r="P156" i="9" a="1"/>
  <c r="P156" i="9" s="1"/>
  <c r="O156" i="9"/>
  <c r="P270" i="9" a="1"/>
  <c r="P270" i="9" s="1"/>
  <c r="O270" i="9"/>
  <c r="P353" i="9" a="1"/>
  <c r="P353" i="9" s="1"/>
  <c r="O353" i="9"/>
  <c r="R204" i="9" a="1"/>
  <c r="R204" i="9" s="1"/>
  <c r="P204" i="9" a="1"/>
  <c r="P204" i="9" s="1"/>
  <c r="O204" i="9"/>
  <c r="O29" i="9"/>
  <c r="P29" i="9" a="1"/>
  <c r="P29" i="9" s="1"/>
  <c r="O349" i="9"/>
  <c r="P349" i="9" a="1"/>
  <c r="P349" i="9" s="1"/>
  <c r="R349" i="9" a="1"/>
  <c r="R349" i="9" s="1"/>
  <c r="R377" i="9" a="1"/>
  <c r="R377" i="9" s="1"/>
  <c r="P377" i="9" a="1"/>
  <c r="P377" i="9" s="1"/>
  <c r="O377" i="9"/>
  <c r="O215" i="9"/>
  <c r="P215" i="9" a="1"/>
  <c r="P215" i="9" s="1"/>
  <c r="P100" i="9" a="1"/>
  <c r="P100" i="9" s="1"/>
  <c r="O100" i="9"/>
  <c r="P335" i="9" a="1"/>
  <c r="P335" i="9" s="1"/>
  <c r="O335" i="9"/>
  <c r="P242" i="9" a="1"/>
  <c r="P242" i="9" s="1"/>
  <c r="O242" i="9"/>
  <c r="R197" i="9" a="1"/>
  <c r="R197" i="9" s="1"/>
  <c r="O197" i="9"/>
  <c r="P197" i="9" a="1"/>
  <c r="P197" i="9" s="1"/>
  <c r="O296" i="9"/>
  <c r="P296" i="9" a="1"/>
  <c r="P296" i="9" s="1"/>
  <c r="O95" i="9"/>
  <c r="R95" i="9" a="1"/>
  <c r="R95" i="9" s="1"/>
  <c r="P95" i="9" a="1"/>
  <c r="P95" i="9" s="1"/>
  <c r="R125" i="9" a="1"/>
  <c r="R125" i="9" s="1"/>
  <c r="O125" i="9"/>
  <c r="P125" i="9" a="1"/>
  <c r="P125" i="9" s="1"/>
  <c r="O212" i="9"/>
  <c r="P212" i="9" a="1"/>
  <c r="P212" i="9" s="1"/>
  <c r="O277" i="9"/>
  <c r="P277" i="9" a="1"/>
  <c r="P277" i="9" s="1"/>
  <c r="O159" i="9"/>
  <c r="P159" i="9" a="1"/>
  <c r="P159" i="9" s="1"/>
  <c r="R251" i="9" a="1"/>
  <c r="R251" i="9" s="1"/>
  <c r="O251" i="9"/>
  <c r="P251" i="9" a="1"/>
  <c r="P251" i="9" s="1"/>
  <c r="P76" i="9" a="1"/>
  <c r="P76" i="9" s="1"/>
  <c r="O76" i="9"/>
  <c r="R281" i="9" a="1"/>
  <c r="R281" i="9" s="1"/>
  <c r="P281" i="9" a="1"/>
  <c r="P281" i="9" s="1"/>
  <c r="O281" i="9"/>
  <c r="P30" i="9" a="1"/>
  <c r="P30" i="9" s="1"/>
  <c r="O30" i="9"/>
  <c r="R30" i="9" a="1"/>
  <c r="R30" i="9" s="1"/>
  <c r="R115" i="9" a="1"/>
  <c r="R115" i="9" s="1"/>
  <c r="O115" i="9"/>
  <c r="P115" i="9" a="1"/>
  <c r="P115" i="9" s="1"/>
  <c r="O148" i="9"/>
  <c r="P148" i="9" a="1"/>
  <c r="P148" i="9" s="1"/>
  <c r="O137" i="9"/>
  <c r="P137" i="9" a="1"/>
  <c r="P137" i="9" s="1"/>
  <c r="P198" i="9" a="1"/>
  <c r="P198" i="9" s="1"/>
  <c r="O198" i="9"/>
  <c r="R198" i="9" a="1"/>
  <c r="R198" i="9" s="1"/>
  <c r="O144" i="9"/>
  <c r="P144" i="9" a="1"/>
  <c r="P144" i="9" s="1"/>
  <c r="P170" i="9" a="1"/>
  <c r="P170" i="9" s="1"/>
  <c r="O170" i="9"/>
  <c r="R170" i="9" a="1"/>
  <c r="R170" i="9" s="1"/>
  <c r="P133" i="9" a="1"/>
  <c r="P133" i="9" s="1"/>
  <c r="O133" i="9"/>
  <c r="O27" i="9"/>
  <c r="P27" i="9" a="1"/>
  <c r="P27" i="9" s="1"/>
  <c r="R188" i="9" a="1"/>
  <c r="R188" i="9" s="1"/>
  <c r="P188" i="9" a="1"/>
  <c r="P188" i="9" s="1"/>
  <c r="O188" i="9"/>
  <c r="P146" i="9" a="1"/>
  <c r="P146" i="9" s="1"/>
  <c r="O146" i="9"/>
  <c r="O83" i="9"/>
  <c r="P83" i="9" a="1"/>
  <c r="P83" i="9" s="1"/>
  <c r="P98" i="9" a="1"/>
  <c r="P98" i="9" s="1"/>
  <c r="O98" i="9"/>
  <c r="P109" i="9" a="1"/>
  <c r="P109" i="9" s="1"/>
  <c r="O109" i="9"/>
  <c r="O253" i="9"/>
  <c r="P253" i="9" a="1"/>
  <c r="P253" i="9" s="1"/>
  <c r="R108" i="9" a="1"/>
  <c r="R108" i="9" s="1"/>
  <c r="P108" i="9" a="1"/>
  <c r="P108" i="9" s="1"/>
  <c r="O108" i="9"/>
  <c r="R152" i="9" a="1"/>
  <c r="R152" i="9" s="1"/>
  <c r="O152" i="9"/>
  <c r="P152" i="9" a="1"/>
  <c r="P152" i="9" s="1"/>
  <c r="R101" i="9" a="1"/>
  <c r="R101" i="9" s="1"/>
  <c r="P101" i="9" a="1"/>
  <c r="P101" i="9" s="1"/>
  <c r="O101" i="9"/>
  <c r="P50" i="9" a="1"/>
  <c r="P50" i="9" s="1"/>
  <c r="O50" i="9"/>
  <c r="O184" i="9"/>
  <c r="P184" i="9" a="1"/>
  <c r="P184" i="9" s="1"/>
  <c r="P320" i="9" a="1"/>
  <c r="P320" i="9" s="1"/>
  <c r="R320" i="9" a="1"/>
  <c r="R320" i="9" s="1"/>
  <c r="O320" i="9"/>
  <c r="R117" i="9" a="1"/>
  <c r="R117" i="9" s="1"/>
  <c r="O117" i="9"/>
  <c r="P117" i="9" a="1"/>
  <c r="P117" i="9" s="1"/>
  <c r="R107" i="9" a="1"/>
  <c r="R107" i="9" s="1"/>
  <c r="O107" i="9"/>
  <c r="P107" i="9" a="1"/>
  <c r="P107" i="9" s="1"/>
  <c r="Q94" i="9" a="1"/>
  <c r="Q94" i="9" s="1"/>
  <c r="S94" i="9" a="1"/>
  <c r="S94" i="9" s="1"/>
  <c r="P306" i="9" a="1"/>
  <c r="P306" i="9" s="1"/>
  <c r="O306" i="9"/>
  <c r="R306" i="9" a="1"/>
  <c r="R306" i="9" s="1"/>
  <c r="P195" i="9" a="1"/>
  <c r="P195" i="9" s="1"/>
  <c r="O195" i="9"/>
  <c r="O319" i="9"/>
  <c r="P319" i="9" a="1"/>
  <c r="P319" i="9" s="1"/>
  <c r="P158" i="9" a="1"/>
  <c r="P158" i="9" s="1"/>
  <c r="O158" i="9"/>
  <c r="P85" i="9" a="1"/>
  <c r="P85" i="9" s="1"/>
  <c r="O85" i="9"/>
  <c r="R85" i="9" a="1"/>
  <c r="R85" i="9" s="1"/>
  <c r="O213" i="9"/>
  <c r="P213" i="9" a="1"/>
  <c r="P213" i="9" s="1"/>
  <c r="R213" i="9" a="1"/>
  <c r="R213" i="9" s="1"/>
  <c r="O217" i="9"/>
  <c r="P217" i="9" a="1"/>
  <c r="P217" i="9" s="1"/>
  <c r="P45" i="9" a="1"/>
  <c r="P45" i="9" s="1"/>
  <c r="O45" i="9"/>
  <c r="P35" i="9" a="1"/>
  <c r="P35" i="9" s="1"/>
  <c r="O35" i="9"/>
  <c r="O175" i="9"/>
  <c r="P175" i="9" a="1"/>
  <c r="P175" i="9" s="1"/>
  <c r="R175" i="9" a="1"/>
  <c r="R175" i="9" s="1"/>
  <c r="P190" i="9" a="1"/>
  <c r="P190" i="9" s="1"/>
  <c r="O190" i="9"/>
  <c r="O247" i="9"/>
  <c r="P247" i="9" a="1"/>
  <c r="P247" i="9" s="1"/>
  <c r="P202" i="9" a="1"/>
  <c r="P202" i="9" s="1"/>
  <c r="O202" i="9"/>
  <c r="P220" i="9" a="1"/>
  <c r="P220" i="9" s="1"/>
  <c r="O220" i="9"/>
  <c r="O91" i="9"/>
  <c r="P91" i="9" a="1"/>
  <c r="P91" i="9" s="1"/>
  <c r="P310" i="9" a="1"/>
  <c r="P310" i="9" s="1"/>
  <c r="R310" i="9" a="1"/>
  <c r="R310" i="9" s="1"/>
  <c r="O310" i="9"/>
  <c r="P149" i="9" a="1"/>
  <c r="P149" i="9" s="1"/>
  <c r="O149" i="9"/>
  <c r="P110" i="9" a="1"/>
  <c r="P110" i="9" s="1"/>
  <c r="O110" i="9"/>
  <c r="R49" i="9" a="1"/>
  <c r="R49" i="9" s="1"/>
  <c r="P49" i="9" a="1"/>
  <c r="P49" i="9" s="1"/>
  <c r="O49" i="9"/>
  <c r="R64" i="9" a="1"/>
  <c r="R64" i="9" s="1"/>
  <c r="P64" i="9" a="1"/>
  <c r="P64" i="9" s="1"/>
  <c r="O64" i="9"/>
  <c r="O81" i="9"/>
  <c r="P81" i="9" a="1"/>
  <c r="P81" i="9" s="1"/>
  <c r="P77" i="9" a="1"/>
  <c r="P77" i="9" s="1"/>
  <c r="O77" i="9"/>
  <c r="O37" i="9"/>
  <c r="P37" i="9" a="1"/>
  <c r="P37" i="9" s="1"/>
  <c r="P40" i="9" a="1"/>
  <c r="P40" i="9" s="1"/>
  <c r="O40" i="9"/>
  <c r="R40" i="9" a="1"/>
  <c r="R40" i="9" s="1"/>
  <c r="R51" i="9" a="1"/>
  <c r="R51" i="9" s="1"/>
  <c r="P51" i="9" a="1"/>
  <c r="P51" i="9" s="1"/>
  <c r="O51" i="9"/>
  <c r="P360" i="9" a="1"/>
  <c r="P360" i="9" s="1"/>
  <c r="O360" i="9"/>
  <c r="O130" i="9"/>
  <c r="P130" i="9" a="1"/>
  <c r="P130" i="9" s="1"/>
  <c r="R298" i="9" a="1"/>
  <c r="R298" i="9" s="1"/>
  <c r="O298" i="9"/>
  <c r="P298" i="9" a="1"/>
  <c r="P298" i="9" s="1"/>
  <c r="O371" i="9"/>
  <c r="P371" i="9" a="1"/>
  <c r="P371" i="9" s="1"/>
  <c r="P124" i="9" a="1"/>
  <c r="P124" i="9" s="1"/>
  <c r="O124" i="9"/>
  <c r="P87" i="9" a="1"/>
  <c r="P87" i="9" s="1"/>
  <c r="R87" i="9" a="1"/>
  <c r="R87" i="9" s="1"/>
  <c r="O87" i="9"/>
  <c r="R375" i="9" a="1"/>
  <c r="R375" i="9" s="1"/>
  <c r="P375" i="9" a="1"/>
  <c r="P375" i="9" s="1"/>
  <c r="O375" i="9"/>
  <c r="P264" i="9" a="1"/>
  <c r="P264" i="9" s="1"/>
  <c r="O264" i="9"/>
  <c r="O15" i="9"/>
  <c r="R15" i="9" a="1"/>
  <c r="R15" i="9" s="1"/>
  <c r="P15" i="9" a="1"/>
  <c r="P15" i="9" s="1"/>
  <c r="S65" i="9" a="1"/>
  <c r="S65" i="9" s="1"/>
  <c r="Q65" i="9" a="1"/>
  <c r="Q65" i="9" s="1"/>
  <c r="P372" i="9" a="1"/>
  <c r="P372" i="9" s="1"/>
  <c r="O372" i="9"/>
  <c r="O366" i="9"/>
  <c r="P366" i="9" a="1"/>
  <c r="P366" i="9" s="1"/>
  <c r="O122" i="9"/>
  <c r="P122" i="9" a="1"/>
  <c r="P122" i="9" s="1"/>
  <c r="P367" i="9" a="1"/>
  <c r="P367" i="9" s="1"/>
  <c r="O367" i="9"/>
  <c r="P380" i="9" a="1"/>
  <c r="P380" i="9" s="1"/>
  <c r="O380" i="9"/>
  <c r="O292" i="9"/>
  <c r="P292" i="9" a="1"/>
  <c r="P292" i="9" s="1"/>
  <c r="O39" i="9"/>
  <c r="P39" i="9" a="1"/>
  <c r="P39" i="9" s="1"/>
  <c r="R315" i="9" a="1"/>
  <c r="R315" i="9" s="1"/>
  <c r="O315" i="9"/>
  <c r="P315" i="9" a="1"/>
  <c r="P315" i="9" s="1"/>
  <c r="R364" i="9" a="1"/>
  <c r="R364" i="9" s="1"/>
  <c r="P364" i="9" a="1"/>
  <c r="P364" i="9" s="1"/>
  <c r="O364" i="9"/>
  <c r="O16" i="9"/>
  <c r="P16" i="9" a="1"/>
  <c r="P16" i="9" s="1"/>
  <c r="P363" i="9" a="1"/>
  <c r="P363" i="9" s="1"/>
  <c r="O363" i="9"/>
  <c r="P244" i="9" a="1"/>
  <c r="P244" i="9" s="1"/>
  <c r="O244" i="9"/>
  <c r="O299" i="9"/>
  <c r="P299" i="9" a="1"/>
  <c r="P299" i="9" s="1"/>
  <c r="P250" i="9" a="1"/>
  <c r="P250" i="9" s="1"/>
  <c r="O250" i="9"/>
  <c r="P276" i="9" a="1"/>
  <c r="P276" i="9" s="1"/>
  <c r="O276" i="9"/>
  <c r="O47" i="9"/>
  <c r="P47" i="9" a="1"/>
  <c r="P47" i="9" s="1"/>
  <c r="P272" i="9" a="1"/>
  <c r="P272" i="9" s="1"/>
  <c r="O272" i="9"/>
  <c r="R272" i="9" a="1"/>
  <c r="R272" i="9" s="1"/>
  <c r="R106" i="9" a="1"/>
  <c r="R106" i="9" s="1"/>
  <c r="P106" i="9" a="1"/>
  <c r="P106" i="9" s="1"/>
  <c r="O106" i="9"/>
  <c r="R72" i="9" a="1"/>
  <c r="R72" i="9" s="1"/>
  <c r="P72" i="9" a="1"/>
  <c r="P72" i="9" s="1"/>
  <c r="O72" i="9"/>
  <c r="P14" i="9" a="1"/>
  <c r="P14" i="9" s="1"/>
  <c r="O14" i="9"/>
  <c r="O31" i="9"/>
  <c r="P31" i="9" a="1"/>
  <c r="P31" i="9" s="1"/>
  <c r="O53" i="9"/>
  <c r="P53" i="9" a="1"/>
  <c r="P53" i="9" s="1"/>
  <c r="O131" i="9"/>
  <c r="R131" i="9" a="1"/>
  <c r="R131" i="9" s="1"/>
  <c r="P131" i="9" a="1"/>
  <c r="P131" i="9" s="1"/>
  <c r="P261" i="9" a="1"/>
  <c r="P261" i="9" s="1"/>
  <c r="O261" i="9"/>
  <c r="R261" i="9" a="1"/>
  <c r="R261" i="9" s="1"/>
  <c r="O103" i="9"/>
  <c r="P103" i="9" a="1"/>
  <c r="P103" i="9" s="1"/>
  <c r="Q333" i="9" a="1"/>
  <c r="Q333" i="9" s="1"/>
  <c r="S333" i="9" a="1"/>
  <c r="S333" i="9" s="1"/>
  <c r="R129" i="9" a="1"/>
  <c r="R129" i="9" s="1"/>
  <c r="O129" i="9"/>
  <c r="P129" i="9" a="1"/>
  <c r="P129" i="9" s="1"/>
  <c r="P150" i="9" a="1"/>
  <c r="P150" i="9" s="1"/>
  <c r="O150" i="9"/>
  <c r="O127" i="9"/>
  <c r="P127" i="9" a="1"/>
  <c r="P127" i="9" s="1"/>
  <c r="P147" i="9" a="1"/>
  <c r="P147" i="9" s="1"/>
  <c r="O147" i="9"/>
  <c r="P69" i="9" a="1"/>
  <c r="P69" i="9" s="1"/>
  <c r="O69" i="9"/>
  <c r="R189" i="9" a="1"/>
  <c r="R189" i="9" s="1"/>
  <c r="O189" i="9"/>
  <c r="P189" i="9" a="1"/>
  <c r="P189" i="9" s="1"/>
  <c r="P22" i="9" a="1"/>
  <c r="P22" i="9" s="1"/>
  <c r="O22" i="9"/>
  <c r="P286" i="9" a="1"/>
  <c r="P286" i="9" s="1"/>
  <c r="R286" i="9" a="1"/>
  <c r="R286" i="9" s="1"/>
  <c r="O286" i="9"/>
  <c r="P92" i="9" a="1"/>
  <c r="P92" i="9" s="1"/>
  <c r="O92" i="9"/>
  <c r="O279" i="9"/>
  <c r="P279" i="9" a="1"/>
  <c r="P279" i="9" s="1"/>
  <c r="P236" i="9" a="1"/>
  <c r="P236" i="9" s="1"/>
  <c r="O236" i="9"/>
  <c r="P314" i="9" a="1"/>
  <c r="P314" i="9" s="1"/>
  <c r="R314" i="9" a="1"/>
  <c r="R314" i="9" s="1"/>
  <c r="O314" i="9"/>
  <c r="O260" i="9"/>
  <c r="P260" i="9" a="1"/>
  <c r="P260" i="9" s="1"/>
  <c r="O297" i="9"/>
  <c r="P297" i="9" a="1"/>
  <c r="P297" i="9" s="1"/>
  <c r="P288" i="9" a="1"/>
  <c r="P288" i="9" s="1"/>
  <c r="R288" i="9" a="1"/>
  <c r="R288" i="9" s="1"/>
  <c r="O288" i="9"/>
  <c r="P192" i="9" a="1"/>
  <c r="P192" i="9" s="1"/>
  <c r="O192" i="9"/>
  <c r="R316" i="9" a="1"/>
  <c r="R316" i="9" s="1"/>
  <c r="O316" i="9"/>
  <c r="P316" i="9" a="1"/>
  <c r="P316" i="9" s="1"/>
  <c r="R55" i="9" a="1"/>
  <c r="R55" i="9" s="1"/>
  <c r="O55" i="9"/>
  <c r="P55" i="9" a="1"/>
  <c r="P55" i="9" s="1"/>
  <c r="O384" i="9"/>
  <c r="P384" i="9" a="1"/>
  <c r="P384" i="9" s="1"/>
  <c r="R229" i="9" a="1"/>
  <c r="R229" i="9" s="1"/>
  <c r="O229" i="9"/>
  <c r="P229" i="9" a="1"/>
  <c r="P229" i="9" s="1"/>
  <c r="P291" i="9" a="1"/>
  <c r="P291" i="9" s="1"/>
  <c r="O291" i="9"/>
  <c r="R32" i="9" a="1"/>
  <c r="R32" i="9" s="1"/>
  <c r="O32" i="9"/>
  <c r="P32" i="9" a="1"/>
  <c r="P32" i="9" s="1"/>
  <c r="R238" i="9" a="1"/>
  <c r="R238" i="9" s="1"/>
  <c r="P238" i="9" a="1"/>
  <c r="P238" i="9" s="1"/>
  <c r="O238" i="9"/>
  <c r="P358" i="9" a="1"/>
  <c r="P358" i="9" s="1"/>
  <c r="O358" i="9"/>
  <c r="P121" i="9" a="1"/>
  <c r="P121" i="9" s="1"/>
  <c r="O121" i="9"/>
  <c r="R119" i="9" a="1"/>
  <c r="R119" i="9" s="1"/>
  <c r="O119" i="9"/>
  <c r="P119" i="9" a="1"/>
  <c r="P119" i="9" s="1"/>
  <c r="Q235" i="9" a="1"/>
  <c r="Q235" i="9" s="1"/>
  <c r="P313" i="9" a="1"/>
  <c r="P313" i="9" s="1"/>
  <c r="R313" i="9" a="1"/>
  <c r="R313" i="9" s="1"/>
  <c r="O313" i="9"/>
  <c r="O312" i="9"/>
  <c r="P312" i="9" a="1"/>
  <c r="P312" i="9" s="1"/>
  <c r="O318" i="9"/>
  <c r="R318" i="9" a="1"/>
  <c r="R318" i="9" s="1"/>
  <c r="P318" i="9" a="1"/>
  <c r="P318" i="9" s="1"/>
  <c r="R389" i="9" a="1"/>
  <c r="R389" i="9" s="1"/>
  <c r="O389" i="9"/>
  <c r="P389" i="9" a="1"/>
  <c r="P389" i="9" s="1"/>
  <c r="P356" i="9" a="1"/>
  <c r="P356" i="9" s="1"/>
  <c r="O356" i="9"/>
  <c r="P321" i="9" a="1"/>
  <c r="P321" i="9" s="1"/>
  <c r="O321" i="9"/>
  <c r="P359" i="9" a="1"/>
  <c r="P359" i="9" s="1"/>
  <c r="O359" i="9"/>
  <c r="P21" i="9" a="1"/>
  <c r="P21" i="9" s="1"/>
  <c r="O21" i="9"/>
  <c r="R90" i="9" a="1"/>
  <c r="R90" i="9" s="1"/>
  <c r="P90" i="9" a="1"/>
  <c r="P90" i="9" s="1"/>
  <c r="O90" i="9"/>
  <c r="R354" i="9" a="1"/>
  <c r="R354" i="9" s="1"/>
  <c r="P354" i="9" a="1"/>
  <c r="P354" i="9" s="1"/>
  <c r="O354" i="9"/>
  <c r="P338" i="9" a="1"/>
  <c r="P338" i="9" s="1"/>
  <c r="R338" i="9" a="1"/>
  <c r="R338" i="9" s="1"/>
  <c r="O338" i="9"/>
  <c r="R44" i="9" a="1"/>
  <c r="R44" i="9" s="1"/>
  <c r="O44" i="9"/>
  <c r="P44" i="9" a="1"/>
  <c r="P44" i="9" s="1"/>
  <c r="R284" i="9" a="1"/>
  <c r="R284" i="9" s="1"/>
  <c r="P284" i="9" a="1"/>
  <c r="P284" i="9" s="1"/>
  <c r="O284" i="9"/>
  <c r="R9" i="9" a="1"/>
  <c r="R9" i="9" s="1"/>
  <c r="P9" i="9" a="1"/>
  <c r="P9" i="9" s="1"/>
  <c r="O9" i="9"/>
  <c r="O302" i="9"/>
  <c r="P302" i="9" a="1"/>
  <c r="P302" i="9" s="1"/>
  <c r="O46" i="9"/>
  <c r="P46" i="9" a="1"/>
  <c r="P46" i="9" s="1"/>
  <c r="O355" i="9"/>
  <c r="P355" i="9" a="1"/>
  <c r="P355" i="9" s="1"/>
  <c r="O382" i="9"/>
  <c r="P382" i="9" a="1"/>
  <c r="P382" i="9" s="1"/>
  <c r="R7" i="9" a="1"/>
  <c r="R7" i="9" s="1"/>
  <c r="O7" i="9"/>
  <c r="P7" i="9" a="1"/>
  <c r="P7" i="9" s="1"/>
  <c r="P114" i="9" a="1"/>
  <c r="P114" i="9" s="1"/>
  <c r="O114" i="9"/>
  <c r="O379" i="9"/>
  <c r="P379" i="9" a="1"/>
  <c r="P379" i="9" s="1"/>
  <c r="R379" i="9" a="1"/>
  <c r="R379" i="9" s="1"/>
  <c r="R283" i="9" a="1"/>
  <c r="R283" i="9" s="1"/>
  <c r="P283" i="9" a="1"/>
  <c r="P283" i="9" s="1"/>
  <c r="O283" i="9"/>
  <c r="O218" i="9"/>
  <c r="P218" i="9" a="1"/>
  <c r="P218" i="9" s="1"/>
  <c r="P134" i="9" a="1"/>
  <c r="P134" i="9" s="1"/>
  <c r="O134" i="9"/>
  <c r="P326" i="9" a="1"/>
  <c r="P326" i="9" s="1"/>
  <c r="O326" i="9"/>
  <c r="P70" i="9" a="1"/>
  <c r="P70" i="9" s="1"/>
  <c r="O70" i="9"/>
  <c r="R352" i="9" a="1"/>
  <c r="R352" i="9" s="1"/>
  <c r="O352" i="9"/>
  <c r="P352" i="9" a="1"/>
  <c r="P352" i="9" s="1"/>
  <c r="O324" i="9"/>
  <c r="P324" i="9" a="1"/>
  <c r="P324" i="9" s="1"/>
  <c r="P171" i="9" a="1"/>
  <c r="P171" i="9" s="1"/>
  <c r="O171" i="9"/>
  <c r="R171" i="9" a="1"/>
  <c r="R171" i="9" s="1"/>
  <c r="O351" i="9"/>
  <c r="P351" i="9" a="1"/>
  <c r="P351" i="9" s="1"/>
  <c r="P391" i="9" a="1"/>
  <c r="P391" i="9" s="1"/>
  <c r="O391" i="9"/>
  <c r="O97" i="9"/>
  <c r="P97" i="9" a="1"/>
  <c r="P97" i="9" s="1"/>
  <c r="O374" i="9"/>
  <c r="P374" i="9" a="1"/>
  <c r="P374" i="9" s="1"/>
  <c r="R120" i="9" a="1"/>
  <c r="R120" i="9" s="1"/>
  <c r="O120" i="9"/>
  <c r="P120" i="9" a="1"/>
  <c r="P120" i="9" s="1"/>
  <c r="R165" i="9" a="1"/>
  <c r="R165" i="9" s="1"/>
  <c r="P165" i="9" a="1"/>
  <c r="P165" i="9" s="1"/>
  <c r="O165" i="9"/>
  <c r="O256" i="9"/>
  <c r="P256" i="9" a="1"/>
  <c r="P256" i="9" s="1"/>
  <c r="O162" i="9"/>
  <c r="R162" i="9" a="1"/>
  <c r="R162" i="9" s="1"/>
  <c r="P162" i="9" a="1"/>
  <c r="P162" i="9" s="1"/>
  <c r="R278" i="9" a="1"/>
  <c r="R278" i="9" s="1"/>
  <c r="O278" i="9"/>
  <c r="P278" i="9" a="1"/>
  <c r="P278" i="9" s="1"/>
  <c r="P5" i="9" a="1"/>
  <c r="P5" i="9" s="1"/>
  <c r="O5" i="9"/>
  <c r="O57" i="9"/>
  <c r="P57" i="9" a="1"/>
  <c r="P57" i="9" s="1"/>
  <c r="P259" i="9" a="1"/>
  <c r="P259" i="9" s="1"/>
  <c r="O259" i="9"/>
  <c r="P96" i="9" a="1"/>
  <c r="P96" i="9" s="1"/>
  <c r="O96" i="9"/>
  <c r="R154" i="9" a="1"/>
  <c r="R154" i="9" s="1"/>
  <c r="O154" i="9"/>
  <c r="P154" i="9" a="1"/>
  <c r="P154" i="9" s="1"/>
  <c r="R386" i="9" a="1"/>
  <c r="R386" i="9" s="1"/>
  <c r="O386" i="9"/>
  <c r="P386" i="9" a="1"/>
  <c r="P386" i="9" s="1"/>
  <c r="R339" i="9" a="1"/>
  <c r="R339" i="9" s="1"/>
  <c r="P339" i="9" a="1"/>
  <c r="P339" i="9" s="1"/>
  <c r="O339" i="9"/>
  <c r="O186" i="9"/>
  <c r="P186" i="9" a="1"/>
  <c r="P186" i="9" s="1"/>
  <c r="O285" i="9"/>
  <c r="P285" i="9" a="1"/>
  <c r="P285" i="9" s="1"/>
  <c r="O26" i="9"/>
  <c r="P26" i="9" a="1"/>
  <c r="P26" i="9" s="1"/>
  <c r="P317" i="9" a="1"/>
  <c r="P317" i="9" s="1"/>
  <c r="O317" i="9"/>
  <c r="P293" i="9" a="1"/>
  <c r="P293" i="9" s="1"/>
  <c r="O293" i="9"/>
  <c r="O141" i="9"/>
  <c r="R141" i="9" a="1"/>
  <c r="R141" i="9" s="1"/>
  <c r="P141" i="9" a="1"/>
  <c r="P141" i="9" s="1"/>
  <c r="O323" i="9"/>
  <c r="R323" i="9" a="1"/>
  <c r="R323" i="9" s="1"/>
  <c r="P323" i="9" a="1"/>
  <c r="P323" i="9" s="1"/>
  <c r="P58" i="9" a="1"/>
  <c r="P58" i="9" s="1"/>
  <c r="O58" i="9"/>
  <c r="P322" i="9" a="1"/>
  <c r="P322" i="9" s="1"/>
  <c r="O322" i="9"/>
  <c r="O222" i="9"/>
  <c r="P222" i="9" a="1"/>
  <c r="P222" i="9" s="1"/>
  <c r="R222" i="9" a="1"/>
  <c r="R222" i="9" s="1"/>
  <c r="O216" i="9"/>
  <c r="P216" i="9" a="1"/>
  <c r="P216" i="9" s="1"/>
  <c r="Q289" i="9" a="1"/>
  <c r="Q289" i="9" s="1"/>
  <c r="S289" i="9" a="1"/>
  <c r="S289" i="9" s="1"/>
  <c r="R52" i="9" a="1"/>
  <c r="R52" i="9" s="1"/>
  <c r="O52" i="9"/>
  <c r="P52" i="9" a="1"/>
  <c r="P52" i="9" s="1"/>
  <c r="R255" i="9" a="1"/>
  <c r="R255" i="9" s="1"/>
  <c r="P255" i="9" a="1"/>
  <c r="P255" i="9" s="1"/>
  <c r="O255" i="9"/>
  <c r="R23" i="9" a="1"/>
  <c r="R23" i="9" s="1"/>
  <c r="P23" i="9" a="1"/>
  <c r="P23" i="9" s="1"/>
  <c r="O23" i="9"/>
  <c r="O257" i="9"/>
  <c r="P257" i="9" a="1"/>
  <c r="P257" i="9" s="1"/>
  <c r="P138" i="9" a="1"/>
  <c r="P138" i="9" s="1"/>
  <c r="O138" i="9"/>
  <c r="O38" i="9"/>
  <c r="P38" i="9" a="1"/>
  <c r="P38" i="9" s="1"/>
  <c r="O345" i="9"/>
  <c r="P345" i="9" a="1"/>
  <c r="P345" i="9" s="1"/>
  <c r="R228" i="9" a="1"/>
  <c r="R228" i="9" s="1"/>
  <c r="O228" i="9"/>
  <c r="P228" i="9" a="1"/>
  <c r="P228" i="9" s="1"/>
  <c r="O362" i="9"/>
  <c r="P362" i="9" a="1"/>
  <c r="P362" i="9" s="1"/>
  <c r="R362" i="9" a="1"/>
  <c r="R362" i="9" s="1"/>
  <c r="P241" i="9" a="1"/>
  <c r="P241" i="9" s="1"/>
  <c r="R241" i="9" a="1"/>
  <c r="R241" i="9" s="1"/>
  <c r="O241" i="9"/>
  <c r="O19" i="9"/>
  <c r="R19" i="9" a="1"/>
  <c r="R19" i="9" s="1"/>
  <c r="P19" i="9" a="1"/>
  <c r="P19" i="9" s="1"/>
  <c r="O246" i="9"/>
  <c r="P246" i="9" a="1"/>
  <c r="P246" i="9" s="1"/>
  <c r="P368" i="9" a="1"/>
  <c r="P368" i="9" s="1"/>
  <c r="O368" i="9"/>
  <c r="R282" i="9" a="1"/>
  <c r="R282" i="9" s="1"/>
  <c r="O282" i="9"/>
  <c r="P282" i="9" a="1"/>
  <c r="P282" i="9" s="1"/>
  <c r="O262" i="9"/>
  <c r="P262" i="9" a="1"/>
  <c r="P262" i="9" s="1"/>
  <c r="O111" i="9"/>
  <c r="R111" i="9" a="1"/>
  <c r="R111" i="9" s="1"/>
  <c r="P111" i="9" a="1"/>
  <c r="P111" i="9" s="1"/>
  <c r="O295" i="9"/>
  <c r="P295" i="9" a="1"/>
  <c r="P295" i="9" s="1"/>
  <c r="P42" i="9" a="1"/>
  <c r="P42" i="9" s="1"/>
  <c r="O42" i="9"/>
  <c r="Q63" i="9" a="1"/>
  <c r="Q63" i="9" s="1"/>
  <c r="O369" i="9"/>
  <c r="P369" i="9" a="1"/>
  <c r="P369" i="9" s="1"/>
  <c r="O219" i="9"/>
  <c r="P219" i="9" a="1"/>
  <c r="P219" i="9" s="1"/>
  <c r="O163" i="9"/>
  <c r="P163" i="9" a="1"/>
  <c r="P163" i="9" s="1"/>
  <c r="P275" i="9" a="1"/>
  <c r="P275" i="9" s="1"/>
  <c r="O275" i="9"/>
  <c r="R226" i="9" a="1"/>
  <c r="R226" i="9" s="1"/>
  <c r="P226" i="9" a="1"/>
  <c r="P226" i="9" s="1"/>
  <c r="O226" i="9"/>
  <c r="O196" i="9"/>
  <c r="P196" i="9" a="1"/>
  <c r="P196" i="9" s="1"/>
  <c r="R196" i="9" a="1"/>
  <c r="R196" i="9" s="1"/>
  <c r="O254" i="9"/>
  <c r="P254" i="9" a="1"/>
  <c r="P254" i="9" s="1"/>
  <c r="P344" i="9" a="1"/>
  <c r="P344" i="9" s="1"/>
  <c r="O344" i="9"/>
  <c r="O327" i="9"/>
  <c r="P327" i="9" a="1"/>
  <c r="P327" i="9" s="1"/>
  <c r="P373" i="9" a="1"/>
  <c r="P373" i="9" s="1"/>
  <c r="O373" i="9"/>
  <c r="R394" i="9" a="1"/>
  <c r="R394" i="9" s="1"/>
  <c r="O394" i="9"/>
  <c r="P394" i="9" a="1"/>
  <c r="P394" i="9" s="1"/>
  <c r="P78" i="9" a="1"/>
  <c r="P78" i="9" s="1"/>
  <c r="O78" i="9"/>
  <c r="P18" i="9" a="1"/>
  <c r="P18" i="9" s="1"/>
  <c r="O18" i="9"/>
  <c r="P223" i="9" a="1"/>
  <c r="P223" i="9" s="1"/>
  <c r="R223" i="9" a="1"/>
  <c r="R223" i="9" s="1"/>
  <c r="O223" i="9"/>
  <c r="P294" i="9" a="1"/>
  <c r="P294" i="9" s="1"/>
  <c r="O294" i="9"/>
  <c r="P12" i="9" a="1"/>
  <c r="P12" i="9" s="1"/>
  <c r="O12" i="9"/>
  <c r="P88" i="9" a="1"/>
  <c r="P88" i="9" s="1"/>
  <c r="O88" i="9"/>
  <c r="P378" i="9" a="1"/>
  <c r="P378" i="9" s="1"/>
  <c r="O378" i="9"/>
  <c r="R207" i="9" a="1"/>
  <c r="R207" i="9" s="1"/>
  <c r="O207" i="9"/>
  <c r="P207" i="9" a="1"/>
  <c r="P207" i="9" s="1"/>
  <c r="O385" i="9"/>
  <c r="P385" i="9" a="1"/>
  <c r="P385" i="9" s="1"/>
  <c r="R385" i="9" a="1"/>
  <c r="R385" i="9" s="1"/>
  <c r="P334" i="9" a="1"/>
  <c r="P334" i="9" s="1"/>
  <c r="O334" i="9"/>
  <c r="O248" i="9"/>
  <c r="P248" i="9" a="1"/>
  <c r="P248" i="9" s="1"/>
  <c r="P231" i="9" a="1"/>
  <c r="P231" i="9" s="1"/>
  <c r="O231" i="9"/>
  <c r="R79" i="9" a="1"/>
  <c r="R79" i="9" s="1"/>
  <c r="P79" i="9" a="1"/>
  <c r="P79" i="9" s="1"/>
  <c r="O79" i="9"/>
  <c r="O267" i="9"/>
  <c r="P267" i="9" a="1"/>
  <c r="P267" i="9" s="1"/>
  <c r="O273" i="9"/>
  <c r="P273" i="9" a="1"/>
  <c r="P273" i="9" s="1"/>
  <c r="P210" i="9" a="1"/>
  <c r="P210" i="9" s="1"/>
  <c r="O210" i="9"/>
  <c r="P145" i="9" a="1"/>
  <c r="P145" i="9" s="1"/>
  <c r="O145" i="9"/>
  <c r="R145" i="9" a="1"/>
  <c r="R145" i="9" s="1"/>
  <c r="P191" i="9" a="1"/>
  <c r="P191" i="9" s="1"/>
  <c r="R191" i="9" a="1"/>
  <c r="R191" i="9" s="1"/>
  <c r="O191" i="9"/>
  <c r="R153" i="9" a="1"/>
  <c r="R153" i="9" s="1"/>
  <c r="P153" i="9" a="1"/>
  <c r="P153" i="9" s="1"/>
  <c r="O153" i="9"/>
  <c r="O104" i="9"/>
  <c r="P104" i="9" a="1"/>
  <c r="P104" i="9" s="1"/>
  <c r="P136" i="9" a="1"/>
  <c r="P136" i="9" s="1"/>
  <c r="O136" i="9"/>
  <c r="O151" i="9"/>
  <c r="P151" i="9" a="1"/>
  <c r="P151" i="9" s="1"/>
  <c r="P307" i="9" a="1"/>
  <c r="P307" i="9" s="1"/>
  <c r="O307" i="9"/>
  <c r="P67" i="9" a="1"/>
  <c r="P67" i="9" s="1"/>
  <c r="O67" i="9"/>
  <c r="O348" i="9"/>
  <c r="P348" i="9" a="1"/>
  <c r="P348" i="9" s="1"/>
  <c r="P200" i="9" a="1"/>
  <c r="P200" i="9" s="1"/>
  <c r="O200" i="9"/>
  <c r="O340" i="9"/>
  <c r="P340" i="9" a="1"/>
  <c r="P340" i="9" s="1"/>
  <c r="O84" i="9"/>
  <c r="P84" i="9" a="1"/>
  <c r="P84" i="9" s="1"/>
  <c r="P142" i="9" a="1"/>
  <c r="P142" i="9" s="1"/>
  <c r="O142" i="9"/>
  <c r="O341" i="9"/>
  <c r="P341" i="9" a="1"/>
  <c r="P341" i="9" s="1"/>
  <c r="O169" i="9"/>
  <c r="P169" i="9" a="1"/>
  <c r="P169" i="9" s="1"/>
  <c r="R169" i="9" a="1"/>
  <c r="R169" i="9" s="1"/>
  <c r="R346" i="9" a="1"/>
  <c r="R346" i="9" s="1"/>
  <c r="P346" i="9" a="1"/>
  <c r="P346" i="9" s="1"/>
  <c r="O346" i="9"/>
  <c r="R301" i="9" a="1"/>
  <c r="R301" i="9" s="1"/>
  <c r="P301" i="9" a="1"/>
  <c r="P301" i="9" s="1"/>
  <c r="O301" i="9"/>
  <c r="O214" i="9"/>
  <c r="P214" i="9" a="1"/>
  <c r="P214" i="9" s="1"/>
  <c r="P199" i="9" a="1"/>
  <c r="P199" i="9" s="1"/>
  <c r="O199" i="9"/>
  <c r="P48" i="9" a="1"/>
  <c r="P48" i="9" s="1"/>
  <c r="O48" i="9"/>
  <c r="O239" i="9"/>
  <c r="P239" i="9" a="1"/>
  <c r="P239" i="9" s="1"/>
  <c r="O209" i="9"/>
  <c r="P209" i="9" a="1"/>
  <c r="P209" i="9" s="1"/>
  <c r="P203" i="9" a="1"/>
  <c r="P203" i="9" s="1"/>
  <c r="O203" i="9"/>
  <c r="R68" i="9" a="1"/>
  <c r="R68" i="9" s="1"/>
  <c r="O68" i="9"/>
  <c r="P68" i="9" a="1"/>
  <c r="P68" i="9" s="1"/>
  <c r="O34" i="9"/>
  <c r="P34" i="9" a="1"/>
  <c r="P34" i="9" s="1"/>
  <c r="P173" i="9" a="1"/>
  <c r="P173" i="9" s="1"/>
  <c r="O173" i="9"/>
  <c r="O71" i="9"/>
  <c r="P71" i="9" a="1"/>
  <c r="P71" i="9" s="1"/>
  <c r="P80" i="9" a="1"/>
  <c r="P80" i="9" s="1"/>
  <c r="O80" i="9"/>
  <c r="P161" i="9" a="1"/>
  <c r="P161" i="9" s="1"/>
  <c r="O161" i="9"/>
  <c r="P381" i="9" a="1"/>
  <c r="P381" i="9" s="1"/>
  <c r="R381" i="9" a="1"/>
  <c r="R381" i="9" s="1"/>
  <c r="O381" i="9"/>
  <c r="R181" i="9" a="1"/>
  <c r="R181" i="9" s="1"/>
  <c r="O181" i="9"/>
  <c r="P181" i="9" a="1"/>
  <c r="P181" i="9" s="1"/>
  <c r="P370" i="9" a="1"/>
  <c r="P370" i="9" s="1"/>
  <c r="O370" i="9"/>
  <c r="P157" i="9" a="1"/>
  <c r="P157" i="9" s="1"/>
  <c r="O157" i="9"/>
  <c r="O36" i="9"/>
  <c r="P36" i="9" a="1"/>
  <c r="P36" i="9" s="1"/>
  <c r="Q75" i="9" a="1"/>
  <c r="Q75" i="9" s="1"/>
  <c r="O343" i="9"/>
  <c r="P343" i="9" a="1"/>
  <c r="P343" i="9" s="1"/>
  <c r="P4" i="9" a="1"/>
  <c r="P4" i="9" s="1"/>
  <c r="R4" i="9" a="1"/>
  <c r="R4" i="9" s="1"/>
  <c r="O4" i="9"/>
  <c r="P33" i="9" a="1"/>
  <c r="P33" i="9" s="1"/>
  <c r="R33" i="9" a="1"/>
  <c r="R33" i="9" s="1"/>
  <c r="O33" i="9"/>
  <c r="R25" i="9" a="1"/>
  <c r="R25" i="9" s="1"/>
  <c r="P25" i="9" a="1"/>
  <c r="P25" i="9" s="1"/>
  <c r="O25" i="9"/>
  <c r="P221" i="9" a="1"/>
  <c r="P221" i="9" s="1"/>
  <c r="R221" i="9" a="1"/>
  <c r="R221" i="9" s="1"/>
  <c r="O221" i="9"/>
  <c r="O240" i="9"/>
  <c r="P240" i="9" a="1"/>
  <c r="P240" i="9" s="1"/>
  <c r="P172" i="9" a="1"/>
  <c r="P172" i="9" s="1"/>
  <c r="O172" i="9"/>
  <c r="O139" i="9"/>
  <c r="P139" i="9" a="1"/>
  <c r="P139" i="9" s="1"/>
  <c r="O309" i="9"/>
  <c r="P309" i="9" a="1"/>
  <c r="P309" i="9" s="1"/>
  <c r="O167" i="9"/>
  <c r="P167" i="9" a="1"/>
  <c r="P167" i="9" s="1"/>
  <c r="O211" i="9"/>
  <c r="P211" i="9" a="1"/>
  <c r="P211" i="9" s="1"/>
  <c r="R208" i="9" a="1"/>
  <c r="R208" i="9" s="1"/>
  <c r="P208" i="9" a="1"/>
  <c r="P208" i="9" s="1"/>
  <c r="O208" i="9"/>
  <c r="P342" i="9" a="1"/>
  <c r="P342" i="9" s="1"/>
  <c r="O342" i="9"/>
  <c r="R396" i="9" a="1"/>
  <c r="R396" i="9" s="1"/>
  <c r="P396" i="9" a="1"/>
  <c r="P396" i="9" s="1"/>
  <c r="O396" i="9"/>
  <c r="O166" i="9"/>
  <c r="P166" i="9" a="1"/>
  <c r="P166" i="9" s="1"/>
  <c r="O43" i="9"/>
  <c r="P43" i="9" a="1"/>
  <c r="P43" i="9" s="1"/>
  <c r="O365" i="9"/>
  <c r="P365" i="9" a="1"/>
  <c r="P365" i="9" s="1"/>
  <c r="R350" i="9" a="1"/>
  <c r="R350" i="9" s="1"/>
  <c r="O350" i="9"/>
  <c r="P350" i="9" a="1"/>
  <c r="P350" i="9" s="1"/>
  <c r="P305" i="9" a="1"/>
  <c r="P305" i="9" s="1"/>
  <c r="O305" i="9"/>
  <c r="R179" i="9" a="1"/>
  <c r="R179" i="9" s="1"/>
  <c r="O179" i="9"/>
  <c r="P179" i="9" a="1"/>
  <c r="P179" i="9" s="1"/>
  <c r="P290" i="9" a="1"/>
  <c r="P290" i="9" s="1"/>
  <c r="O290" i="9"/>
  <c r="P177" i="9" a="1"/>
  <c r="P177" i="9" s="1"/>
  <c r="O177" i="9"/>
  <c r="O74" i="9"/>
  <c r="P74" i="9" a="1"/>
  <c r="P74" i="9" s="1"/>
  <c r="O234" i="9"/>
  <c r="P234" i="9" a="1"/>
  <c r="P234" i="9" s="1"/>
  <c r="O62" i="9"/>
  <c r="P62" i="9" a="1"/>
  <c r="P62" i="9" s="1"/>
  <c r="P287" i="9" a="1"/>
  <c r="P287" i="9" s="1"/>
  <c r="R287" i="9" a="1"/>
  <c r="R287" i="9" s="1"/>
  <c r="O287" i="9"/>
  <c r="R185" i="9" a="1"/>
  <c r="R185" i="9" s="1"/>
  <c r="P185" i="9" a="1"/>
  <c r="P185" i="9" s="1"/>
  <c r="O185" i="9"/>
  <c r="Q337" i="9" a="1"/>
  <c r="Q337" i="9" s="1"/>
  <c r="P397" i="9" a="1"/>
  <c r="P397" i="9" s="1"/>
  <c r="O397" i="9"/>
  <c r="R397" i="9" a="1"/>
  <c r="R397" i="9" s="1"/>
  <c r="P258" i="9" a="1"/>
  <c r="P258" i="9" s="1"/>
  <c r="O258" i="9"/>
  <c r="O263" i="9"/>
  <c r="P263" i="9" a="1"/>
  <c r="P263" i="9" s="1"/>
  <c r="P392" i="9" a="1"/>
  <c r="P392" i="9" s="1"/>
  <c r="O392" i="9"/>
  <c r="P201" i="9" a="1"/>
  <c r="P201" i="9" s="1"/>
  <c r="O201" i="9"/>
  <c r="P304" i="9" a="1"/>
  <c r="P304" i="9" s="1"/>
  <c r="O304" i="9"/>
  <c r="R304" i="9" a="1"/>
  <c r="R304" i="9" s="1"/>
  <c r="P128" i="9" a="1"/>
  <c r="P128" i="9" s="1"/>
  <c r="O128" i="9"/>
  <c r="P266" i="9" a="1"/>
  <c r="P266" i="9" s="1"/>
  <c r="O266" i="9"/>
  <c r="R178" i="9" a="1"/>
  <c r="R178" i="9" s="1"/>
  <c r="O178" i="9"/>
  <c r="P178" i="9" a="1"/>
  <c r="P178" i="9" s="1"/>
  <c r="R17" i="9" a="1"/>
  <c r="R17" i="9" s="1"/>
  <c r="P17" i="9" a="1"/>
  <c r="P17" i="9" s="1"/>
  <c r="O17" i="9"/>
  <c r="P6" i="9" a="1"/>
  <c r="P6" i="9" s="1"/>
  <c r="O6" i="9"/>
  <c r="P357" i="9" a="1"/>
  <c r="P357" i="9" s="1"/>
  <c r="O357" i="9"/>
  <c r="P193" i="9" a="1"/>
  <c r="P193" i="9" s="1"/>
  <c r="O193" i="9"/>
  <c r="R249" i="9" a="1"/>
  <c r="R249" i="9" s="1"/>
  <c r="O249" i="9"/>
  <c r="P249" i="9" a="1"/>
  <c r="P249" i="9" s="1"/>
  <c r="R265" i="9" a="1"/>
  <c r="R265" i="9" s="1"/>
  <c r="P265" i="9" a="1"/>
  <c r="P265" i="9" s="1"/>
  <c r="O265" i="9"/>
  <c r="P86" i="9" a="1"/>
  <c r="P86" i="9" s="1"/>
  <c r="O86" i="9"/>
  <c r="O271" i="9"/>
  <c r="P271" i="9" a="1"/>
  <c r="P271" i="9" s="1"/>
  <c r="R271" i="9" a="1"/>
  <c r="R271" i="9" s="1"/>
  <c r="P232" i="9" a="1"/>
  <c r="P232" i="9" s="1"/>
  <c r="R232" i="9" a="1"/>
  <c r="R232" i="9" s="1"/>
  <c r="O232" i="9"/>
  <c r="R143" i="9" a="1"/>
  <c r="R143" i="9" s="1"/>
  <c r="P143" i="9" a="1"/>
  <c r="P143" i="9" s="1"/>
  <c r="O143" i="9"/>
  <c r="R135" i="9" a="1"/>
  <c r="R135" i="9" s="1"/>
  <c r="O135" i="9"/>
  <c r="P135" i="9" a="1"/>
  <c r="P135" i="9" s="1"/>
  <c r="O183" i="9"/>
  <c r="P183" i="9" a="1"/>
  <c r="P183" i="9" s="1"/>
  <c r="O280" i="9"/>
  <c r="P280" i="9" a="1"/>
  <c r="P280" i="9" s="1"/>
  <c r="S336" i="9" a="1"/>
  <c r="S336" i="9" s="1"/>
  <c r="Q336" i="9" a="1"/>
  <c r="Q336" i="9" s="1"/>
  <c r="R206" i="9" a="1"/>
  <c r="R206" i="9" s="1"/>
  <c r="P206" i="9" a="1"/>
  <c r="P206" i="9" s="1"/>
  <c r="O206" i="9"/>
  <c r="M6" i="11"/>
  <c r="M5" i="11"/>
  <c r="M4" i="11"/>
  <c r="L6" i="11"/>
  <c r="L5" i="11"/>
  <c r="L4" i="11"/>
  <c r="K6" i="11"/>
  <c r="K5" i="11"/>
  <c r="K4" i="11"/>
  <c r="J6" i="11"/>
  <c r="J5" i="11"/>
  <c r="J4" i="11"/>
  <c r="I6" i="11"/>
  <c r="I5" i="11"/>
  <c r="I4" i="11"/>
  <c r="H6" i="11"/>
  <c r="H5" i="11"/>
  <c r="H4" i="11"/>
  <c r="G6" i="11"/>
  <c r="G5" i="11"/>
  <c r="G4" i="11"/>
  <c r="F6" i="11"/>
  <c r="F5" i="11"/>
  <c r="F4" i="11"/>
  <c r="E6" i="11"/>
  <c r="E5" i="11"/>
  <c r="E4" i="11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T4" i="10"/>
  <c r="A24" i="10"/>
  <c r="S24" i="10" s="1"/>
  <c r="A23" i="10"/>
  <c r="S23" i="10" s="1"/>
  <c r="A22" i="10"/>
  <c r="S22" i="10" s="1"/>
  <c r="A21" i="10"/>
  <c r="S21" i="10" s="1"/>
  <c r="A20" i="10"/>
  <c r="S20" i="10" s="1"/>
  <c r="A19" i="10"/>
  <c r="S19" i="10" s="1"/>
  <c r="A18" i="10"/>
  <c r="S18" i="10" s="1"/>
  <c r="A17" i="10"/>
  <c r="S17" i="10" s="1"/>
  <c r="A16" i="10"/>
  <c r="S16" i="10" s="1"/>
  <c r="A15" i="10"/>
  <c r="S15" i="10" s="1"/>
  <c r="A14" i="10"/>
  <c r="S14" i="10" s="1"/>
  <c r="A13" i="10"/>
  <c r="S13" i="10" s="1"/>
  <c r="A12" i="10"/>
  <c r="S12" i="10" s="1"/>
  <c r="A11" i="10"/>
  <c r="S11" i="10" s="1"/>
  <c r="A10" i="10"/>
  <c r="S10" i="10" s="1"/>
  <c r="A9" i="10"/>
  <c r="S9" i="10" s="1"/>
  <c r="A8" i="10"/>
  <c r="S8" i="10" s="1"/>
  <c r="A7" i="10"/>
  <c r="S7" i="10" s="1"/>
  <c r="A6" i="10"/>
  <c r="S6" i="10" s="1"/>
  <c r="A5" i="10"/>
  <c r="S5" i="10" s="1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E19" i="9" s="1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E46" i="9" s="1"/>
  <c r="D47" i="9"/>
  <c r="D48" i="9"/>
  <c r="E48" i="9" s="1"/>
  <c r="D49" i="9"/>
  <c r="E49" i="9" s="1"/>
  <c r="D50" i="9"/>
  <c r="E50" i="9" s="1"/>
  <c r="D51" i="9"/>
  <c r="D52" i="9"/>
  <c r="E52" i="9" s="1"/>
  <c r="D53" i="9"/>
  <c r="E53" i="9" s="1"/>
  <c r="D54" i="9"/>
  <c r="E54" i="9" s="1"/>
  <c r="D55" i="9"/>
  <c r="E55" i="9" s="1"/>
  <c r="D56" i="9"/>
  <c r="E56" i="9" s="1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F70" i="9" s="1"/>
  <c r="H70" i="9" s="1"/>
  <c r="D71" i="9"/>
  <c r="F71" i="9" s="1"/>
  <c r="H71" i="9" s="1"/>
  <c r="D72" i="9"/>
  <c r="F72" i="9" s="1"/>
  <c r="H72" i="9" s="1"/>
  <c r="D73" i="9"/>
  <c r="F73" i="9" s="1"/>
  <c r="H73" i="9" s="1"/>
  <c r="D74" i="9"/>
  <c r="F74" i="9" s="1"/>
  <c r="H74" i="9" s="1"/>
  <c r="D75" i="9"/>
  <c r="E75" i="9" s="1"/>
  <c r="D76" i="9"/>
  <c r="R6" i="9" s="1" a="1"/>
  <c r="R6" i="9" s="1"/>
  <c r="D77" i="9"/>
  <c r="D78" i="9"/>
  <c r="D79" i="9"/>
  <c r="E79" i="9" s="1"/>
  <c r="D80" i="9"/>
  <c r="D81" i="9"/>
  <c r="E81" i="9" s="1"/>
  <c r="D82" i="9"/>
  <c r="E82" i="9" s="1"/>
  <c r="D83" i="9"/>
  <c r="E83" i="9" s="1"/>
  <c r="D84" i="9"/>
  <c r="E84" i="9" s="1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R8" i="9" s="1" a="1"/>
  <c r="R8" i="9" s="1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E165" i="9" s="1"/>
  <c r="D166" i="9"/>
  <c r="E166" i="9" s="1"/>
  <c r="D167" i="9"/>
  <c r="D168" i="9"/>
  <c r="R10" i="9" s="1" a="1"/>
  <c r="R10" i="9" s="1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E210" i="9" s="1"/>
  <c r="D211" i="9"/>
  <c r="D212" i="9"/>
  <c r="E212" i="9" s="1"/>
  <c r="D213" i="9"/>
  <c r="D214" i="9"/>
  <c r="D215" i="9"/>
  <c r="D216" i="9"/>
  <c r="D217" i="9"/>
  <c r="D218" i="9"/>
  <c r="D219" i="9"/>
  <c r="D220" i="9"/>
  <c r="E220" i="9" s="1"/>
  <c r="D221" i="9"/>
  <c r="D222" i="9"/>
  <c r="E222" i="9" s="1"/>
  <c r="D223" i="9"/>
  <c r="E223" i="9" s="1"/>
  <c r="D224" i="9"/>
  <c r="E224" i="9" s="1"/>
  <c r="D225" i="9"/>
  <c r="D226" i="9"/>
  <c r="D227" i="9"/>
  <c r="E227" i="9" s="1"/>
  <c r="D228" i="9"/>
  <c r="E228" i="9" s="1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E250" i="9" s="1"/>
  <c r="D251" i="9"/>
  <c r="D252" i="9"/>
  <c r="D253" i="9"/>
  <c r="D254" i="9"/>
  <c r="D255" i="9"/>
  <c r="D256" i="9"/>
  <c r="D257" i="9"/>
  <c r="D258" i="9"/>
  <c r="D259" i="9"/>
  <c r="R12" i="9" s="1" a="1"/>
  <c r="R12" i="9" s="1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E294" i="9" s="1"/>
  <c r="D295" i="9"/>
  <c r="D296" i="9"/>
  <c r="E296" i="9" s="1"/>
  <c r="D297" i="9"/>
  <c r="E297" i="9" s="1"/>
  <c r="D298" i="9"/>
  <c r="E298" i="9" s="1"/>
  <c r="D299" i="9"/>
  <c r="E299" i="9" s="1"/>
  <c r="D300" i="9"/>
  <c r="D301" i="9"/>
  <c r="D302" i="9"/>
  <c r="D303" i="9"/>
  <c r="D304" i="9"/>
  <c r="D305" i="9"/>
  <c r="D306" i="9"/>
  <c r="D307" i="9"/>
  <c r="E307" i="9" s="1"/>
  <c r="D308" i="9"/>
  <c r="E308" i="9" s="1"/>
  <c r="D309" i="9"/>
  <c r="J309" i="9" s="1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E327" i="9" s="1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R14" i="9" s="1" a="1"/>
  <c r="R14" i="9" s="1"/>
  <c r="D343" i="9"/>
  <c r="D344" i="9"/>
  <c r="D345" i="9"/>
  <c r="D346" i="9"/>
  <c r="E346" i="9" s="1"/>
  <c r="D347" i="9"/>
  <c r="E347" i="9" s="1"/>
  <c r="D348" i="9"/>
  <c r="D349" i="9"/>
  <c r="D350" i="9"/>
  <c r="D351" i="9"/>
  <c r="F351" i="9" s="1"/>
  <c r="H351" i="9" s="1"/>
  <c r="D352" i="9"/>
  <c r="D353" i="9"/>
  <c r="D354" i="9"/>
  <c r="F354" i="9" s="1"/>
  <c r="H354" i="9" s="1"/>
  <c r="D355" i="9"/>
  <c r="J355" i="9" s="1"/>
  <c r="D356" i="9"/>
  <c r="F356" i="9" s="1"/>
  <c r="H356" i="9" s="1"/>
  <c r="D357" i="9"/>
  <c r="F357" i="9" s="1"/>
  <c r="H357" i="9" s="1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E374" i="9" s="1"/>
  <c r="D375" i="9"/>
  <c r="D376" i="9"/>
  <c r="D377" i="9"/>
  <c r="D378" i="9"/>
  <c r="E378" i="9" s="1"/>
  <c r="D379" i="9"/>
  <c r="D380" i="9"/>
  <c r="E380" i="9" s="1"/>
  <c r="D381" i="9"/>
  <c r="E381" i="9" s="1"/>
  <c r="D382" i="9"/>
  <c r="E382" i="9" s="1"/>
  <c r="D383" i="9"/>
  <c r="J383" i="9" s="1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R16" i="9" a="1"/>
  <c r="R16" i="9" s="1"/>
  <c r="R18" i="9" a="1"/>
  <c r="R18" i="9" s="1"/>
  <c r="R21" i="9" a="1"/>
  <c r="R21" i="9" s="1"/>
  <c r="R22" i="9" a="1"/>
  <c r="R22" i="9" s="1"/>
  <c r="R24" i="9" a="1"/>
  <c r="R24" i="9" s="1"/>
  <c r="R26" i="9" a="1"/>
  <c r="R26" i="9" s="1"/>
  <c r="R27" i="9" a="1"/>
  <c r="R27" i="9" s="1"/>
  <c r="R28" i="9" a="1"/>
  <c r="R28" i="9" s="1"/>
  <c r="R29" i="9" a="1"/>
  <c r="R29" i="9" s="1"/>
  <c r="R31" i="9" a="1"/>
  <c r="R31" i="9" s="1"/>
  <c r="R34" i="9" a="1"/>
  <c r="R34" i="9" s="1"/>
  <c r="R35" i="9" a="1"/>
  <c r="R35" i="9" s="1"/>
  <c r="R36" i="9" a="1"/>
  <c r="R36" i="9" s="1"/>
  <c r="R37" i="9" a="1"/>
  <c r="R37" i="9" s="1"/>
  <c r="R38" i="9" a="1"/>
  <c r="R38" i="9" s="1"/>
  <c r="R39" i="9" a="1"/>
  <c r="R39" i="9" s="1"/>
  <c r="R41" i="9" a="1"/>
  <c r="R41" i="9" s="1"/>
  <c r="R42" i="9" a="1"/>
  <c r="R42" i="9" s="1"/>
  <c r="R43" i="9" a="1"/>
  <c r="R43" i="9" s="1"/>
  <c r="R45" i="9" a="1"/>
  <c r="R45" i="9" s="1"/>
  <c r="R46" i="9" a="1"/>
  <c r="R46" i="9" s="1"/>
  <c r="R47" i="9" a="1"/>
  <c r="R47" i="9" s="1"/>
  <c r="R48" i="9" a="1"/>
  <c r="R48" i="9" s="1"/>
  <c r="R50" i="9" a="1"/>
  <c r="R50" i="9" s="1"/>
  <c r="R53" i="9" a="1"/>
  <c r="R53" i="9" s="1"/>
  <c r="R57" i="9" a="1"/>
  <c r="R57" i="9" s="1"/>
  <c r="R58" i="9" a="1"/>
  <c r="R58" i="9" s="1"/>
  <c r="R59" i="9" a="1"/>
  <c r="R59" i="9" s="1"/>
  <c r="R61" i="9" a="1"/>
  <c r="R61" i="9" s="1"/>
  <c r="R62" i="9" a="1"/>
  <c r="R62" i="9" s="1"/>
  <c r="R65" i="9" a="1"/>
  <c r="R65" i="9" s="1"/>
  <c r="R66" i="9" a="1"/>
  <c r="R66" i="9" s="1"/>
  <c r="R67" i="9" a="1"/>
  <c r="R67" i="9" s="1"/>
  <c r="R69" i="9" a="1"/>
  <c r="R69" i="9" s="1"/>
  <c r="R70" i="9" a="1"/>
  <c r="R70" i="9" s="1"/>
  <c r="R71" i="9" a="1"/>
  <c r="R71" i="9" s="1"/>
  <c r="R73" i="9" a="1"/>
  <c r="R73" i="9" s="1"/>
  <c r="R74" i="9" a="1"/>
  <c r="R74" i="9" s="1"/>
  <c r="R75" i="9" a="1"/>
  <c r="R75" i="9" s="1"/>
  <c r="S75" i="9" a="1"/>
  <c r="S75" i="9" s="1"/>
  <c r="R76" i="9" a="1"/>
  <c r="R76" i="9" s="1"/>
  <c r="R77" i="9" a="1"/>
  <c r="R77" i="9" s="1"/>
  <c r="R81" i="9" a="1"/>
  <c r="R81" i="9" s="1"/>
  <c r="R82" i="9" a="1"/>
  <c r="R82" i="9" s="1"/>
  <c r="R83" i="9" a="1"/>
  <c r="R83" i="9" s="1"/>
  <c r="R84" i="9" a="1"/>
  <c r="R84" i="9" s="1"/>
  <c r="R86" i="9" a="1"/>
  <c r="R86" i="9" s="1"/>
  <c r="R88" i="9" a="1"/>
  <c r="R88" i="9" s="1"/>
  <c r="R91" i="9" a="1"/>
  <c r="R91" i="9" s="1"/>
  <c r="R92" i="9" a="1"/>
  <c r="R92" i="9" s="1"/>
  <c r="R93" i="9" a="1"/>
  <c r="R93" i="9" s="1"/>
  <c r="R94" i="9" a="1"/>
  <c r="R94" i="9" s="1"/>
  <c r="R96" i="9" a="1"/>
  <c r="R96" i="9" s="1"/>
  <c r="R97" i="9" a="1"/>
  <c r="R97" i="9" s="1"/>
  <c r="R98" i="9" a="1"/>
  <c r="R98" i="9" s="1"/>
  <c r="R99" i="9" a="1"/>
  <c r="R99" i="9" s="1"/>
  <c r="R103" i="9" a="1"/>
  <c r="R103" i="9" s="1"/>
  <c r="R104" i="9" a="1"/>
  <c r="R104" i="9" s="1"/>
  <c r="R105" i="9" a="1"/>
  <c r="R105" i="9" s="1"/>
  <c r="R109" i="9" a="1"/>
  <c r="R109" i="9" s="1"/>
  <c r="R112" i="9" a="1"/>
  <c r="R112" i="9" s="1"/>
  <c r="R114" i="9" a="1"/>
  <c r="R114" i="9" s="1"/>
  <c r="R116" i="9" a="1"/>
  <c r="R116" i="9" s="1"/>
  <c r="R118" i="9" a="1"/>
  <c r="R118" i="9" s="1"/>
  <c r="R121" i="9" a="1"/>
  <c r="R121" i="9" s="1"/>
  <c r="R122" i="9" a="1"/>
  <c r="R122" i="9" s="1"/>
  <c r="R124" i="9" a="1"/>
  <c r="R124" i="9" s="1"/>
  <c r="R127" i="9" a="1"/>
  <c r="R127" i="9" s="1"/>
  <c r="R128" i="9" a="1"/>
  <c r="R128" i="9" s="1"/>
  <c r="R130" i="9" a="1"/>
  <c r="R130" i="9" s="1"/>
  <c r="R132" i="9" a="1"/>
  <c r="R132" i="9" s="1"/>
  <c r="R134" i="9" a="1"/>
  <c r="R134" i="9" s="1"/>
  <c r="R136" i="9" a="1"/>
  <c r="R136" i="9" s="1"/>
  <c r="R138" i="9" a="1"/>
  <c r="R138" i="9" s="1"/>
  <c r="R139" i="9" a="1"/>
  <c r="R139" i="9" s="1"/>
  <c r="R140" i="9" a="1"/>
  <c r="R140" i="9" s="1"/>
  <c r="R142" i="9" a="1"/>
  <c r="R142" i="9" s="1"/>
  <c r="R146" i="9" a="1"/>
  <c r="R146" i="9" s="1"/>
  <c r="R147" i="9" a="1"/>
  <c r="R147" i="9" s="1"/>
  <c r="R148" i="9" a="1"/>
  <c r="R148" i="9" s="1"/>
  <c r="R149" i="9" a="1"/>
  <c r="R149" i="9" s="1"/>
  <c r="R150" i="9" a="1"/>
  <c r="R150" i="9" s="1"/>
  <c r="R151" i="9" a="1"/>
  <c r="R151" i="9" s="1"/>
  <c r="R155" i="9" a="1"/>
  <c r="R155" i="9" s="1"/>
  <c r="R156" i="9" a="1"/>
  <c r="R156" i="9" s="1"/>
  <c r="R157" i="9" a="1"/>
  <c r="R157" i="9" s="1"/>
  <c r="R158" i="9" a="1"/>
  <c r="R158" i="9" s="1"/>
  <c r="R159" i="9" a="1"/>
  <c r="R159" i="9" s="1"/>
  <c r="R163" i="9" a="1"/>
  <c r="R163" i="9" s="1"/>
  <c r="R166" i="9" a="1"/>
  <c r="R166" i="9" s="1"/>
  <c r="R167" i="9" a="1"/>
  <c r="R167" i="9" s="1"/>
  <c r="R172" i="9" a="1"/>
  <c r="R172" i="9" s="1"/>
  <c r="R173" i="9" a="1"/>
  <c r="R173" i="9" s="1"/>
  <c r="R176" i="9" a="1"/>
  <c r="R176" i="9" s="1"/>
  <c r="R177" i="9" a="1"/>
  <c r="R177" i="9" s="1"/>
  <c r="R183" i="9" a="1"/>
  <c r="R183" i="9" s="1"/>
  <c r="R184" i="9" a="1"/>
  <c r="R184" i="9" s="1"/>
  <c r="R187" i="9" a="1"/>
  <c r="R187" i="9" s="1"/>
  <c r="R190" i="9" a="1"/>
  <c r="R190" i="9" s="1"/>
  <c r="R192" i="9" a="1"/>
  <c r="R192" i="9" s="1"/>
  <c r="R194" i="9" a="1"/>
  <c r="R194" i="9" s="1"/>
  <c r="R195" i="9" a="1"/>
  <c r="R195" i="9" s="1"/>
  <c r="R200" i="9" a="1"/>
  <c r="R200" i="9" s="1"/>
  <c r="R201" i="9" a="1"/>
  <c r="R201" i="9" s="1"/>
  <c r="R203" i="9" a="1"/>
  <c r="R203" i="9" s="1"/>
  <c r="R209" i="9" a="1"/>
  <c r="R209" i="9" s="1"/>
  <c r="R210" i="9" a="1"/>
  <c r="R210" i="9" s="1"/>
  <c r="R211" i="9" a="1"/>
  <c r="R211" i="9" s="1"/>
  <c r="R214" i="9" a="1"/>
  <c r="R214" i="9" s="1"/>
  <c r="R215" i="9" a="1"/>
  <c r="R215" i="9" s="1"/>
  <c r="R217" i="9" a="1"/>
  <c r="R217" i="9" s="1"/>
  <c r="R218" i="9" a="1"/>
  <c r="R218" i="9" s="1"/>
  <c r="R224" i="9" a="1"/>
  <c r="R224" i="9" s="1"/>
  <c r="R227" i="9" a="1"/>
  <c r="R227" i="9" s="1"/>
  <c r="R231" i="9" a="1"/>
  <c r="R231" i="9" s="1"/>
  <c r="R233" i="9" a="1"/>
  <c r="R233" i="9" s="1"/>
  <c r="R234" i="9" a="1"/>
  <c r="R234" i="9" s="1"/>
  <c r="R235" i="9" a="1"/>
  <c r="R235" i="9" s="1"/>
  <c r="S235" i="9" a="1"/>
  <c r="S235" i="9" s="1"/>
  <c r="R237" i="9" a="1"/>
  <c r="R237" i="9" s="1"/>
  <c r="S237" i="9" a="1"/>
  <c r="S237" i="9" s="1"/>
  <c r="R239" i="9" a="1"/>
  <c r="R239" i="9" s="1"/>
  <c r="R240" i="9" a="1"/>
  <c r="R240" i="9" s="1"/>
  <c r="R243" i="9" a="1"/>
  <c r="R243" i="9" s="1"/>
  <c r="R244" i="9" a="1"/>
  <c r="R244" i="9" s="1"/>
  <c r="R245" i="9" a="1"/>
  <c r="R245" i="9" s="1"/>
  <c r="R246" i="9" a="1"/>
  <c r="R246" i="9" s="1"/>
  <c r="R247" i="9" a="1"/>
  <c r="R247" i="9" s="1"/>
  <c r="R248" i="9" a="1"/>
  <c r="R248" i="9" s="1"/>
  <c r="R250" i="9" a="1"/>
  <c r="R250" i="9" s="1"/>
  <c r="R252" i="9" a="1"/>
  <c r="R252" i="9" s="1"/>
  <c r="R253" i="9" a="1"/>
  <c r="R253" i="9" s="1"/>
  <c r="R254" i="9" a="1"/>
  <c r="R254" i="9" s="1"/>
  <c r="R256" i="9" a="1"/>
  <c r="R256" i="9" s="1"/>
  <c r="R257" i="9" a="1"/>
  <c r="R257" i="9" s="1"/>
  <c r="R259" i="9" a="1"/>
  <c r="R259" i="9" s="1"/>
  <c r="R260" i="9" a="1"/>
  <c r="R260" i="9" s="1"/>
  <c r="R262" i="9" a="1"/>
  <c r="R262" i="9" s="1"/>
  <c r="R263" i="9" a="1"/>
  <c r="R263" i="9" s="1"/>
  <c r="R264" i="9" a="1"/>
  <c r="R264" i="9" s="1"/>
  <c r="R266" i="9" a="1"/>
  <c r="R266" i="9" s="1"/>
  <c r="R267" i="9" a="1"/>
  <c r="R267" i="9" s="1"/>
  <c r="R268" i="9" a="1"/>
  <c r="R268" i="9" s="1"/>
  <c r="R269" i="9" a="1"/>
  <c r="R269" i="9" s="1"/>
  <c r="R273" i="9" a="1"/>
  <c r="R273" i="9" s="1"/>
  <c r="R274" i="9" a="1"/>
  <c r="R274" i="9" s="1"/>
  <c r="R275" i="9" a="1"/>
  <c r="R275" i="9" s="1"/>
  <c r="R276" i="9" a="1"/>
  <c r="R276" i="9" s="1"/>
  <c r="R277" i="9" a="1"/>
  <c r="R277" i="9" s="1"/>
  <c r="R279" i="9" a="1"/>
  <c r="R279" i="9" s="1"/>
  <c r="R280" i="9" a="1"/>
  <c r="R280" i="9" s="1"/>
  <c r="R289" i="9" a="1"/>
  <c r="R289" i="9" s="1"/>
  <c r="R290" i="9" a="1"/>
  <c r="R290" i="9" s="1"/>
  <c r="R292" i="9" a="1"/>
  <c r="R292" i="9" s="1"/>
  <c r="R293" i="9" a="1"/>
  <c r="R293" i="9" s="1"/>
  <c r="R294" i="9" a="1"/>
  <c r="R294" i="9" s="1"/>
  <c r="R295" i="9" a="1"/>
  <c r="R295" i="9" s="1"/>
  <c r="R297" i="9" a="1"/>
  <c r="R297" i="9" s="1"/>
  <c r="R299" i="9" a="1"/>
  <c r="R299" i="9" s="1"/>
  <c r="R300" i="9" a="1"/>
  <c r="R300" i="9" s="1"/>
  <c r="R302" i="9" a="1"/>
  <c r="R302" i="9" s="1"/>
  <c r="R305" i="9" a="1"/>
  <c r="R305" i="9" s="1"/>
  <c r="R307" i="9" a="1"/>
  <c r="R307" i="9" s="1"/>
  <c r="R308" i="9" a="1"/>
  <c r="R308" i="9" s="1"/>
  <c r="R311" i="9" a="1"/>
  <c r="R311" i="9" s="1"/>
  <c r="R312" i="9" a="1"/>
  <c r="R312" i="9" s="1"/>
  <c r="R319" i="9" a="1"/>
  <c r="R319" i="9" s="1"/>
  <c r="R321" i="9" a="1"/>
  <c r="R321" i="9" s="1"/>
  <c r="R322" i="9" a="1"/>
  <c r="R322" i="9" s="1"/>
  <c r="R326" i="9" a="1"/>
  <c r="R326" i="9" s="1"/>
  <c r="R327" i="9" a="1"/>
  <c r="R327" i="9" s="1"/>
  <c r="R331" i="9" a="1"/>
  <c r="R331" i="9" s="1"/>
  <c r="R333" i="9" a="1"/>
  <c r="R333" i="9" s="1"/>
  <c r="R334" i="9" a="1"/>
  <c r="R334" i="9" s="1"/>
  <c r="R335" i="9" a="1"/>
  <c r="R335" i="9" s="1"/>
  <c r="R336" i="9" a="1"/>
  <c r="R336" i="9" s="1"/>
  <c r="R340" i="9" a="1"/>
  <c r="R340" i="9" s="1"/>
  <c r="R342" i="9" a="1"/>
  <c r="R342" i="9" s="1"/>
  <c r="R343" i="9" a="1"/>
  <c r="R343" i="9" s="1"/>
  <c r="R344" i="9" a="1"/>
  <c r="R344" i="9" s="1"/>
  <c r="R348" i="9" a="1"/>
  <c r="R348" i="9" s="1"/>
  <c r="R351" i="9" a="1"/>
  <c r="R351" i="9" s="1"/>
  <c r="R356" i="9" a="1"/>
  <c r="R356" i="9" s="1"/>
  <c r="R357" i="9" a="1"/>
  <c r="R357" i="9" s="1"/>
  <c r="R358" i="9" a="1"/>
  <c r="R358" i="9" s="1"/>
  <c r="R359" i="9" a="1"/>
  <c r="R359" i="9" s="1"/>
  <c r="R360" i="9" a="1"/>
  <c r="R360" i="9" s="1"/>
  <c r="R361" i="9" a="1"/>
  <c r="R361" i="9" s="1"/>
  <c r="R365" i="9" a="1"/>
  <c r="R365" i="9" s="1"/>
  <c r="R366" i="9" a="1"/>
  <c r="R366" i="9" s="1"/>
  <c r="R367" i="9" a="1"/>
  <c r="R367" i="9" s="1"/>
  <c r="R369" i="9" a="1"/>
  <c r="R369" i="9" s="1"/>
  <c r="R370" i="9" a="1"/>
  <c r="R370" i="9" s="1"/>
  <c r="R374" i="9" a="1"/>
  <c r="R374" i="9" s="1"/>
  <c r="R376" i="9" a="1"/>
  <c r="R376" i="9" s="1"/>
  <c r="R378" i="9" a="1"/>
  <c r="R378" i="9" s="1"/>
  <c r="R387" i="9" a="1"/>
  <c r="R387" i="9" s="1"/>
  <c r="R388" i="9" a="1"/>
  <c r="R388" i="9" s="1"/>
  <c r="S388" i="9" a="1"/>
  <c r="S388" i="9" s="1"/>
  <c r="R392" i="9" a="1"/>
  <c r="R392" i="9" s="1"/>
  <c r="S68" i="9" l="1" a="1"/>
  <c r="S68" i="9" s="1"/>
  <c r="T68" i="9" s="1"/>
  <c r="Q68" i="9" a="1"/>
  <c r="Q68" i="9" s="1"/>
  <c r="S44" i="9" a="1"/>
  <c r="S44" i="9" s="1"/>
  <c r="T44" i="9" s="1"/>
  <c r="Q44" i="9" a="1"/>
  <c r="Q44" i="9" s="1"/>
  <c r="S226" i="9" a="1"/>
  <c r="S226" i="9" s="1"/>
  <c r="T226" i="9" s="1"/>
  <c r="Q226" i="9" a="1"/>
  <c r="Q226" i="9" s="1"/>
  <c r="S315" i="9" a="1"/>
  <c r="S315" i="9" s="1"/>
  <c r="T315" i="9" s="1"/>
  <c r="Q315" i="9" a="1"/>
  <c r="Q315" i="9" s="1"/>
  <c r="S297" i="9" a="1"/>
  <c r="S297" i="9" s="1"/>
  <c r="Q297" i="9" a="1"/>
  <c r="Q297" i="9" s="1"/>
  <c r="Q287" i="9" a="1"/>
  <c r="Q287" i="9" s="1"/>
  <c r="S287" i="9" a="1"/>
  <c r="S287" i="9" s="1"/>
  <c r="T287" i="9" s="1"/>
  <c r="S161" i="9" a="1"/>
  <c r="S161" i="9" s="1"/>
  <c r="Q161" i="9" a="1"/>
  <c r="Q161" i="9" s="1"/>
  <c r="S219" i="9" a="1"/>
  <c r="S219" i="9" s="1"/>
  <c r="Q219" i="9" a="1"/>
  <c r="Q219" i="9" s="1"/>
  <c r="S229" i="9" a="1"/>
  <c r="S229" i="9" s="1"/>
  <c r="Q229" i="9" a="1"/>
  <c r="Q229" i="9" s="1"/>
  <c r="Q69" i="9" a="1"/>
  <c r="Q69" i="9" s="1"/>
  <c r="S69" i="9" a="1"/>
  <c r="S69" i="9" s="1"/>
  <c r="T69" i="9" s="1"/>
  <c r="Q280" i="9" a="1"/>
  <c r="Q280" i="9" s="1"/>
  <c r="S280" i="9" a="1"/>
  <c r="S280" i="9" s="1"/>
  <c r="T280" i="9" s="1"/>
  <c r="Q167" i="9" a="1"/>
  <c r="Q167" i="9" s="1"/>
  <c r="S167" i="9" a="1"/>
  <c r="S167" i="9" s="1"/>
  <c r="T167" i="9" s="1"/>
  <c r="S38" i="9" a="1"/>
  <c r="S38" i="9" s="1"/>
  <c r="T38" i="9" s="1"/>
  <c r="Q38" i="9" a="1"/>
  <c r="Q38" i="9" s="1"/>
  <c r="S59" i="9" a="1"/>
  <c r="S59" i="9" s="1"/>
  <c r="Q59" i="9" a="1"/>
  <c r="Q59" i="9" s="1"/>
  <c r="T289" i="9"/>
  <c r="R258" i="9" a="1"/>
  <c r="R258" i="9" s="1"/>
  <c r="S370" i="9" a="1"/>
  <c r="S370" i="9" s="1"/>
  <c r="Q370" i="9" a="1"/>
  <c r="Q370" i="9" s="1"/>
  <c r="T370" i="9" s="1"/>
  <c r="S34" i="9" a="1"/>
  <c r="S34" i="9" s="1"/>
  <c r="T34" i="9" s="1"/>
  <c r="Q34" i="9" a="1"/>
  <c r="Q34" i="9" s="1"/>
  <c r="Q214" i="9" a="1"/>
  <c r="Q214" i="9" s="1"/>
  <c r="S214" i="9" a="1"/>
  <c r="S214" i="9" s="1"/>
  <c r="T214" i="9" s="1"/>
  <c r="S241" i="9" a="1"/>
  <c r="S241" i="9" s="1"/>
  <c r="Q241" i="9" a="1"/>
  <c r="Q241" i="9" s="1"/>
  <c r="S283" i="9" a="1"/>
  <c r="S283" i="9" s="1"/>
  <c r="Q283" i="9" a="1"/>
  <c r="Q283" i="9" s="1"/>
  <c r="S364" i="9" a="1"/>
  <c r="S364" i="9" s="1"/>
  <c r="T364" i="9" s="1"/>
  <c r="Q364" i="9" a="1"/>
  <c r="Q364" i="9" s="1"/>
  <c r="S125" i="9" a="1"/>
  <c r="S125" i="9" s="1"/>
  <c r="Q125" i="9" a="1"/>
  <c r="Q125" i="9" s="1"/>
  <c r="S56" i="9" a="1"/>
  <c r="S56" i="9" s="1"/>
  <c r="Q56" i="9" a="1"/>
  <c r="Q56" i="9" s="1"/>
  <c r="Q155" i="9" a="1"/>
  <c r="Q155" i="9" s="1"/>
  <c r="T155" i="9" s="1"/>
  <c r="S155" i="9" a="1"/>
  <c r="S155" i="9" s="1"/>
  <c r="Q278" i="9" a="1"/>
  <c r="Q278" i="9" s="1"/>
  <c r="S278" i="9" a="1"/>
  <c r="S278" i="9" s="1"/>
  <c r="T278" i="9" s="1"/>
  <c r="S316" i="9" a="1"/>
  <c r="S316" i="9" s="1"/>
  <c r="Q316" i="9" a="1"/>
  <c r="Q316" i="9" s="1"/>
  <c r="S126" i="9" a="1"/>
  <c r="S126" i="9" s="1"/>
  <c r="Q126" i="9" a="1"/>
  <c r="Q126" i="9" s="1"/>
  <c r="S306" i="9" a="1"/>
  <c r="S306" i="9" s="1"/>
  <c r="T306" i="9" s="1"/>
  <c r="Q306" i="9" a="1"/>
  <c r="Q306" i="9" s="1"/>
  <c r="Q331" i="9" a="1"/>
  <c r="Q331" i="9" s="1"/>
  <c r="S331" i="9" a="1"/>
  <c r="S331" i="9" s="1"/>
  <c r="T331" i="9" s="1"/>
  <c r="S32" i="9" a="1"/>
  <c r="S32" i="9" s="1"/>
  <c r="Q32" i="9" a="1"/>
  <c r="Q32" i="9" s="1"/>
  <c r="S303" i="9" a="1"/>
  <c r="S303" i="9" s="1"/>
  <c r="T303" i="9" s="1"/>
  <c r="Q303" i="9" a="1"/>
  <c r="Q303" i="9" s="1"/>
  <c r="S130" i="9" a="1"/>
  <c r="S130" i="9" s="1"/>
  <c r="T130" i="9" s="1"/>
  <c r="Q130" i="9" a="1"/>
  <c r="Q130" i="9" s="1"/>
  <c r="S178" i="9" a="1"/>
  <c r="S178" i="9" s="1"/>
  <c r="T178" i="9" s="1"/>
  <c r="Q178" i="9" a="1"/>
  <c r="Q178" i="9" s="1"/>
  <c r="S179" i="9" a="1"/>
  <c r="S179" i="9" s="1"/>
  <c r="T179" i="9" s="1"/>
  <c r="Q179" i="9" a="1"/>
  <c r="Q179" i="9" s="1"/>
  <c r="S221" i="9" a="1"/>
  <c r="S221" i="9" s="1"/>
  <c r="Q221" i="9" a="1"/>
  <c r="Q221" i="9" s="1"/>
  <c r="S203" i="9" a="1"/>
  <c r="S203" i="9" s="1"/>
  <c r="T203" i="9" s="1"/>
  <c r="Q203" i="9" a="1"/>
  <c r="Q203" i="9" s="1"/>
  <c r="S18" i="9" a="1"/>
  <c r="S18" i="9" s="1"/>
  <c r="T18" i="9" s="1"/>
  <c r="Q18" i="9" a="1"/>
  <c r="Q18" i="9" s="1"/>
  <c r="S362" i="9" a="1"/>
  <c r="S362" i="9" s="1"/>
  <c r="T362" i="9" s="1"/>
  <c r="Q362" i="9" a="1"/>
  <c r="Q362" i="9" s="1"/>
  <c r="Q141" i="9" a="1"/>
  <c r="Q141" i="9" s="1"/>
  <c r="S141" i="9" a="1"/>
  <c r="S141" i="9" s="1"/>
  <c r="Q162" i="9" a="1"/>
  <c r="Q162" i="9" s="1"/>
  <c r="S162" i="9" a="1"/>
  <c r="S162" i="9" s="1"/>
  <c r="T162" i="9" s="1"/>
  <c r="S379" i="9" a="1"/>
  <c r="S379" i="9" s="1"/>
  <c r="T379" i="9" s="1"/>
  <c r="Q379" i="9" a="1"/>
  <c r="Q379" i="9" s="1"/>
  <c r="S338" i="9" a="1"/>
  <c r="S338" i="9" s="1"/>
  <c r="T338" i="9" s="1"/>
  <c r="Q338" i="9" a="1"/>
  <c r="Q338" i="9" s="1"/>
  <c r="T318" i="9"/>
  <c r="S272" i="9" a="1"/>
  <c r="S272" i="9" s="1"/>
  <c r="T272" i="9" s="1"/>
  <c r="Q272" i="9" a="1"/>
  <c r="Q272" i="9" s="1"/>
  <c r="S27" i="9" a="1"/>
  <c r="S27" i="9" s="1"/>
  <c r="Q27" i="9" a="1"/>
  <c r="Q27" i="9" s="1"/>
  <c r="S140" i="9" a="1"/>
  <c r="S140" i="9" s="1"/>
  <c r="T140" i="9" s="1"/>
  <c r="Q140" i="9" a="1"/>
  <c r="Q140" i="9" s="1"/>
  <c r="Q347" i="9" a="1"/>
  <c r="Q347" i="9" s="1"/>
  <c r="S347" i="9" a="1"/>
  <c r="S347" i="9" s="1"/>
  <c r="T347" i="9" s="1"/>
  <c r="Q383" i="9" a="1"/>
  <c r="Q383" i="9" s="1"/>
  <c r="S383" i="9" a="1"/>
  <c r="S383" i="9" s="1"/>
  <c r="T383" i="9" s="1"/>
  <c r="Q102" i="9" a="1"/>
  <c r="Q102" i="9" s="1"/>
  <c r="S102" i="9" a="1"/>
  <c r="S102" i="9" s="1"/>
  <c r="T102" i="9" s="1"/>
  <c r="S206" i="9" a="1"/>
  <c r="S206" i="9" s="1"/>
  <c r="T206" i="9" s="1"/>
  <c r="Q206" i="9" a="1"/>
  <c r="Q206" i="9" s="1"/>
  <c r="Q271" i="9" a="1"/>
  <c r="Q271" i="9" s="1"/>
  <c r="S271" i="9" a="1"/>
  <c r="S271" i="9" s="1"/>
  <c r="T271" i="9" s="1"/>
  <c r="T221" i="9"/>
  <c r="S145" i="9" a="1"/>
  <c r="S145" i="9" s="1"/>
  <c r="Q145" i="9" a="1"/>
  <c r="Q145" i="9" s="1"/>
  <c r="Q248" i="9" a="1"/>
  <c r="Q248" i="9" s="1"/>
  <c r="S248" i="9" a="1"/>
  <c r="S248" i="9" s="1"/>
  <c r="T248" i="9" s="1"/>
  <c r="Q262" i="9" a="1"/>
  <c r="Q262" i="9" s="1"/>
  <c r="S262" i="9" a="1"/>
  <c r="S262" i="9" s="1"/>
  <c r="S293" i="9" a="1"/>
  <c r="S293" i="9" s="1"/>
  <c r="Q293" i="9" a="1"/>
  <c r="Q293" i="9" s="1"/>
  <c r="Q324" i="9" a="1"/>
  <c r="Q324" i="9" s="1"/>
  <c r="S324" i="9" a="1"/>
  <c r="S324" i="9" s="1"/>
  <c r="S318" i="9" a="1"/>
  <c r="S318" i="9" s="1"/>
  <c r="Q318" i="9" a="1"/>
  <c r="Q318" i="9" s="1"/>
  <c r="Q288" i="9" a="1"/>
  <c r="Q288" i="9" s="1"/>
  <c r="S288" i="9" a="1"/>
  <c r="S288" i="9" s="1"/>
  <c r="S15" i="9" a="1"/>
  <c r="S15" i="9" s="1"/>
  <c r="Q15" i="9" a="1"/>
  <c r="Q15" i="9" s="1"/>
  <c r="R110" i="9" a="1"/>
  <c r="R110" i="9" s="1"/>
  <c r="S35" i="9" a="1"/>
  <c r="S35" i="9" s="1"/>
  <c r="T35" i="9" s="1"/>
  <c r="Q35" i="9" a="1"/>
  <c r="Q35" i="9" s="1"/>
  <c r="Q152" i="9" a="1"/>
  <c r="Q152" i="9" s="1"/>
  <c r="S152" i="9" a="1"/>
  <c r="S152" i="9" s="1"/>
  <c r="T152" i="9" s="1"/>
  <c r="Q281" i="9" a="1"/>
  <c r="Q281" i="9" s="1"/>
  <c r="S281" i="9" a="1"/>
  <c r="S281" i="9" s="1"/>
  <c r="T281" i="9" s="1"/>
  <c r="S296" i="9" a="1"/>
  <c r="S296" i="9" s="1"/>
  <c r="Q296" i="9" a="1"/>
  <c r="Q296" i="9" s="1"/>
  <c r="S13" i="9" a="1"/>
  <c r="S13" i="9" s="1"/>
  <c r="Q13" i="9" a="1"/>
  <c r="Q13" i="9" s="1"/>
  <c r="S180" i="9" a="1"/>
  <c r="S180" i="9" s="1"/>
  <c r="T180" i="9" s="1"/>
  <c r="Q180" i="9" a="1"/>
  <c r="Q180" i="9" s="1"/>
  <c r="Q86" i="9" a="1"/>
  <c r="Q86" i="9" s="1"/>
  <c r="S86" i="9" a="1"/>
  <c r="S86" i="9" s="1"/>
  <c r="T86" i="9" s="1"/>
  <c r="S266" i="9" a="1"/>
  <c r="S266" i="9" s="1"/>
  <c r="Q266" i="9" a="1"/>
  <c r="Q266" i="9" s="1"/>
  <c r="T266" i="9" s="1"/>
  <c r="S337" i="9" a="1"/>
  <c r="S337" i="9" s="1"/>
  <c r="S305" i="9" a="1"/>
  <c r="S305" i="9" s="1"/>
  <c r="T305" i="9" s="1"/>
  <c r="Q305" i="9" a="1"/>
  <c r="Q305" i="9" s="1"/>
  <c r="S181" i="9" a="1"/>
  <c r="S181" i="9" s="1"/>
  <c r="Q181" i="9" a="1"/>
  <c r="Q181" i="9" s="1"/>
  <c r="Q275" i="9" a="1"/>
  <c r="Q275" i="9" s="1"/>
  <c r="S275" i="9" a="1"/>
  <c r="S275" i="9" s="1"/>
  <c r="S256" i="9" a="1"/>
  <c r="S256" i="9" s="1"/>
  <c r="Q256" i="9" a="1"/>
  <c r="Q256" i="9" s="1"/>
  <c r="R324" i="9" a="1"/>
  <c r="R324" i="9" s="1"/>
  <c r="Q114" i="9" a="1"/>
  <c r="Q114" i="9" s="1"/>
  <c r="S114" i="9" a="1"/>
  <c r="S114" i="9" s="1"/>
  <c r="S291" i="9" a="1"/>
  <c r="S291" i="9" s="1"/>
  <c r="Q291" i="9" a="1"/>
  <c r="Q291" i="9" s="1"/>
  <c r="Q22" i="9" a="1"/>
  <c r="Q22" i="9" s="1"/>
  <c r="S22" i="9" a="1"/>
  <c r="S22" i="9" s="1"/>
  <c r="T22" i="9" s="1"/>
  <c r="S264" i="9" a="1"/>
  <c r="S264" i="9" s="1"/>
  <c r="T264" i="9" s="1"/>
  <c r="Q264" i="9" a="1"/>
  <c r="Q264" i="9" s="1"/>
  <c r="S360" i="9" a="1"/>
  <c r="S360" i="9" s="1"/>
  <c r="T360" i="9" s="1"/>
  <c r="Q360" i="9" a="1"/>
  <c r="Q360" i="9" s="1"/>
  <c r="S149" i="9" a="1"/>
  <c r="S149" i="9" s="1"/>
  <c r="T149" i="9" s="1"/>
  <c r="Q149" i="9" a="1"/>
  <c r="Q149" i="9" s="1"/>
  <c r="S107" i="9" a="1"/>
  <c r="S107" i="9" s="1"/>
  <c r="Q107" i="9" a="1"/>
  <c r="Q107" i="9" s="1"/>
  <c r="T107" i="9" s="1"/>
  <c r="Q133" i="9" a="1"/>
  <c r="Q133" i="9" s="1"/>
  <c r="S133" i="9" a="1"/>
  <c r="S133" i="9" s="1"/>
  <c r="R296" i="9" a="1"/>
  <c r="R296" i="9" s="1"/>
  <c r="S82" i="9" a="1"/>
  <c r="S82" i="9" s="1"/>
  <c r="Q82" i="9" a="1"/>
  <c r="Q82" i="9" s="1"/>
  <c r="T82" i="9" s="1"/>
  <c r="Q325" i="9" a="1"/>
  <c r="Q325" i="9" s="1"/>
  <c r="T325" i="9" s="1"/>
  <c r="S325" i="9" a="1"/>
  <c r="S325" i="9" s="1"/>
  <c r="Q105" i="9" a="1"/>
  <c r="Q105" i="9" s="1"/>
  <c r="S105" i="9" a="1"/>
  <c r="S105" i="9" s="1"/>
  <c r="T105" i="9" s="1"/>
  <c r="Q185" i="9" a="1"/>
  <c r="Q185" i="9" s="1"/>
  <c r="S185" i="9" a="1"/>
  <c r="S185" i="9" s="1"/>
  <c r="S25" i="9" a="1"/>
  <c r="S25" i="9" s="1"/>
  <c r="T25" i="9" s="1"/>
  <c r="Q25" i="9" a="1"/>
  <c r="Q25" i="9" s="1"/>
  <c r="S210" i="9" a="1"/>
  <c r="S210" i="9" s="1"/>
  <c r="T210" i="9" s="1"/>
  <c r="Q210" i="9" a="1"/>
  <c r="Q210" i="9" s="1"/>
  <c r="Q334" i="9" a="1"/>
  <c r="Q334" i="9" s="1"/>
  <c r="S334" i="9" a="1"/>
  <c r="S334" i="9" s="1"/>
  <c r="S78" i="9" a="1"/>
  <c r="S78" i="9" s="1"/>
  <c r="Q78" i="9" a="1"/>
  <c r="Q78" i="9" s="1"/>
  <c r="S216" i="9" a="1"/>
  <c r="S216" i="9" s="1"/>
  <c r="Q216" i="9" a="1"/>
  <c r="Q216" i="9" s="1"/>
  <c r="S354" i="9" a="1"/>
  <c r="S354" i="9" s="1"/>
  <c r="T354" i="9" s="1"/>
  <c r="Q354" i="9" a="1"/>
  <c r="Q354" i="9" s="1"/>
  <c r="Q312" i="9" a="1"/>
  <c r="Q312" i="9" s="1"/>
  <c r="S312" i="9" a="1"/>
  <c r="S312" i="9" s="1"/>
  <c r="R291" i="9" a="1"/>
  <c r="R291" i="9" s="1"/>
  <c r="Q39" i="9" a="1"/>
  <c r="Q39" i="9" s="1"/>
  <c r="S39" i="9" a="1"/>
  <c r="S39" i="9" s="1"/>
  <c r="T39" i="9" s="1"/>
  <c r="S45" i="9" a="1"/>
  <c r="S45" i="9" s="1"/>
  <c r="Q45" i="9" a="1"/>
  <c r="Q45" i="9" s="1"/>
  <c r="T45" i="9" s="1"/>
  <c r="S66" i="9" a="1"/>
  <c r="S66" i="9" s="1"/>
  <c r="T66" i="9" s="1"/>
  <c r="Q66" i="9" a="1"/>
  <c r="Q66" i="9" s="1"/>
  <c r="S243" i="9" a="1"/>
  <c r="S243" i="9" s="1"/>
  <c r="T243" i="9" s="1"/>
  <c r="Q243" i="9" a="1"/>
  <c r="Q243" i="9" s="1"/>
  <c r="T336" i="9"/>
  <c r="S209" i="9" a="1"/>
  <c r="S209" i="9" s="1"/>
  <c r="T209" i="9" s="1"/>
  <c r="Q209" i="9" a="1"/>
  <c r="Q209" i="9" s="1"/>
  <c r="Q169" i="9" a="1"/>
  <c r="Q169" i="9" s="1"/>
  <c r="T169" i="9" s="1"/>
  <c r="S169" i="9" a="1"/>
  <c r="S169" i="9" s="1"/>
  <c r="R78" i="9" a="1"/>
  <c r="R78" i="9" s="1"/>
  <c r="T78" i="9" s="1"/>
  <c r="S282" i="9" a="1"/>
  <c r="S282" i="9" s="1"/>
  <c r="Q282" i="9" a="1"/>
  <c r="Q282" i="9" s="1"/>
  <c r="R216" i="9" a="1"/>
  <c r="R216" i="9" s="1"/>
  <c r="R317" i="9" a="1"/>
  <c r="R317" i="9" s="1"/>
  <c r="Q154" i="9" a="1"/>
  <c r="Q154" i="9" s="1"/>
  <c r="S154" i="9" a="1"/>
  <c r="S154" i="9" s="1"/>
  <c r="T154" i="9" s="1"/>
  <c r="S165" i="9" a="1"/>
  <c r="S165" i="9" s="1"/>
  <c r="Q165" i="9" a="1"/>
  <c r="Q165" i="9" s="1"/>
  <c r="S352" i="9" a="1"/>
  <c r="S352" i="9" s="1"/>
  <c r="Q352" i="9" a="1"/>
  <c r="Q352" i="9" s="1"/>
  <c r="T352" i="9" s="1"/>
  <c r="S47" i="9" a="1"/>
  <c r="S47" i="9" s="1"/>
  <c r="T47" i="9" s="1"/>
  <c r="Q47" i="9" a="1"/>
  <c r="Q47" i="9" s="1"/>
  <c r="R133" i="9" a="1"/>
  <c r="R133" i="9" s="1"/>
  <c r="S76" i="9" a="1"/>
  <c r="S76" i="9" s="1"/>
  <c r="T76" i="9" s="1"/>
  <c r="Q76" i="9" a="1"/>
  <c r="Q76" i="9" s="1"/>
  <c r="S197" i="9" a="1"/>
  <c r="S197" i="9" s="1"/>
  <c r="T197" i="9" s="1"/>
  <c r="Q197" i="9" a="1"/>
  <c r="Q197" i="9" s="1"/>
  <c r="S29" i="9" a="1"/>
  <c r="S29" i="9" s="1"/>
  <c r="T29" i="9" s="1"/>
  <c r="Q29" i="9" a="1"/>
  <c r="Q29" i="9" s="1"/>
  <c r="S132" i="9" a="1"/>
  <c r="S132" i="9" s="1"/>
  <c r="T132" i="9" s="1"/>
  <c r="Q132" i="9" a="1"/>
  <c r="Q132" i="9" s="1"/>
  <c r="S28" i="9" a="1"/>
  <c r="S28" i="9" s="1"/>
  <c r="Q28" i="9" a="1"/>
  <c r="Q28" i="9" s="1"/>
  <c r="S376" i="9" a="1"/>
  <c r="S376" i="9" s="1"/>
  <c r="T376" i="9" s="1"/>
  <c r="Q376" i="9" a="1"/>
  <c r="Q376" i="9" s="1"/>
  <c r="S187" i="9" a="1"/>
  <c r="S187" i="9" s="1"/>
  <c r="T187" i="9" s="1"/>
  <c r="Q187" i="9" a="1"/>
  <c r="Q187" i="9" s="1"/>
  <c r="Q113" i="9" a="1"/>
  <c r="Q113" i="9" s="1"/>
  <c r="S113" i="9" a="1"/>
  <c r="S113" i="9" s="1"/>
  <c r="S230" i="9" a="1"/>
  <c r="S230" i="9" s="1"/>
  <c r="T230" i="9" s="1"/>
  <c r="Q230" i="9" a="1"/>
  <c r="Q230" i="9" s="1"/>
  <c r="S194" i="9" a="1"/>
  <c r="S194" i="9" s="1"/>
  <c r="Q194" i="9" a="1"/>
  <c r="Q194" i="9" s="1"/>
  <c r="Q341" i="9" a="1"/>
  <c r="Q341" i="9" s="1"/>
  <c r="S341" i="9" a="1"/>
  <c r="S341" i="9" s="1"/>
  <c r="S222" i="9" a="1"/>
  <c r="S222" i="9" s="1"/>
  <c r="Q222" i="9" a="1"/>
  <c r="Q222" i="9" s="1"/>
  <c r="T222" i="9" s="1"/>
  <c r="Q142" i="9" a="1"/>
  <c r="Q142" i="9" s="1"/>
  <c r="S142" i="9" a="1"/>
  <c r="S142" i="9" s="1"/>
  <c r="S385" i="9" a="1"/>
  <c r="S385" i="9" s="1"/>
  <c r="T385" i="9" s="1"/>
  <c r="Q385" i="9" a="1"/>
  <c r="Q385" i="9" s="1"/>
  <c r="R368" i="9" a="1"/>
  <c r="R368" i="9" s="1"/>
  <c r="S345" i="9" a="1"/>
  <c r="S345" i="9" s="1"/>
  <c r="Q345" i="9" a="1"/>
  <c r="Q345" i="9" s="1"/>
  <c r="S120" i="9" a="1"/>
  <c r="S120" i="9" s="1"/>
  <c r="Q120" i="9" a="1"/>
  <c r="Q120" i="9" s="1"/>
  <c r="S382" i="9" a="1"/>
  <c r="S382" i="9" s="1"/>
  <c r="Q382" i="9" a="1"/>
  <c r="Q382" i="9" s="1"/>
  <c r="S260" i="9" a="1"/>
  <c r="S260" i="9" s="1"/>
  <c r="T260" i="9" s="1"/>
  <c r="Q260" i="9" a="1"/>
  <c r="Q260" i="9" s="1"/>
  <c r="Q250" i="9" a="1"/>
  <c r="Q250" i="9" s="1"/>
  <c r="S250" i="9" a="1"/>
  <c r="S250" i="9" s="1"/>
  <c r="T250" i="9" s="1"/>
  <c r="T51" i="9"/>
  <c r="S217" i="9" a="1"/>
  <c r="S217" i="9" s="1"/>
  <c r="Q217" i="9" a="1"/>
  <c r="Q217" i="9" s="1"/>
  <c r="R144" i="9" a="1"/>
  <c r="R144" i="9" s="1"/>
  <c r="S251" i="9" a="1"/>
  <c r="S251" i="9" s="1"/>
  <c r="Q251" i="9" a="1"/>
  <c r="Q251" i="9" s="1"/>
  <c r="R242" i="9" a="1"/>
  <c r="R242" i="9" s="1"/>
  <c r="S353" i="9" a="1"/>
  <c r="S353" i="9" s="1"/>
  <c r="Q353" i="9" a="1"/>
  <c r="Q353" i="9" s="1"/>
  <c r="S269" i="9" a="1"/>
  <c r="S269" i="9" s="1"/>
  <c r="Q269" i="9" a="1"/>
  <c r="Q269" i="9" s="1"/>
  <c r="T269" i="9" s="1"/>
  <c r="S328" i="9" a="1"/>
  <c r="S328" i="9" s="1"/>
  <c r="Q328" i="9" a="1"/>
  <c r="Q328" i="9" s="1"/>
  <c r="Q233" i="9" a="1"/>
  <c r="Q233" i="9" s="1"/>
  <c r="S233" i="9" a="1"/>
  <c r="S233" i="9" s="1"/>
  <c r="T233" i="9" s="1"/>
  <c r="Q295" i="9" a="1"/>
  <c r="Q295" i="9" s="1"/>
  <c r="S295" i="9" a="1"/>
  <c r="S295" i="9" s="1"/>
  <c r="Q129" i="9" a="1"/>
  <c r="Q129" i="9" s="1"/>
  <c r="S129" i="9" a="1"/>
  <c r="S129" i="9" s="1"/>
  <c r="T129" i="9" s="1"/>
  <c r="S191" i="9" a="1"/>
  <c r="S191" i="9" s="1"/>
  <c r="Q191" i="9" a="1"/>
  <c r="Q191" i="9" s="1"/>
  <c r="S323" i="9" a="1"/>
  <c r="S323" i="9" s="1"/>
  <c r="T323" i="9" s="1"/>
  <c r="Q323" i="9" a="1"/>
  <c r="Q323" i="9" s="1"/>
  <c r="Q196" i="9" a="1"/>
  <c r="Q196" i="9" s="1"/>
  <c r="S196" i="9" a="1"/>
  <c r="S196" i="9" s="1"/>
  <c r="T196" i="9" s="1"/>
  <c r="S171" i="9" a="1"/>
  <c r="S171" i="9" s="1"/>
  <c r="T171" i="9" s="1"/>
  <c r="Q171" i="9" a="1"/>
  <c r="Q171" i="9" s="1"/>
  <c r="S192" i="9" a="1"/>
  <c r="S192" i="9" s="1"/>
  <c r="T192" i="9" s="1"/>
  <c r="Q192" i="9" a="1"/>
  <c r="Q192" i="9" s="1"/>
  <c r="Q11" i="9" a="1"/>
  <c r="Q11" i="9" s="1"/>
  <c r="S11" i="9" a="1"/>
  <c r="S11" i="9" s="1"/>
  <c r="T11" i="9" s="1"/>
  <c r="S208" i="9" a="1"/>
  <c r="S208" i="9" s="1"/>
  <c r="Q208" i="9" a="1"/>
  <c r="Q208" i="9" s="1"/>
  <c r="T208" i="9" s="1"/>
  <c r="Q205" i="9" a="1"/>
  <c r="Q205" i="9" s="1"/>
  <c r="S205" i="9" a="1"/>
  <c r="S205" i="9" s="1"/>
  <c r="S381" i="9" a="1"/>
  <c r="S381" i="9" s="1"/>
  <c r="T381" i="9" s="1"/>
  <c r="Q381" i="9" a="1"/>
  <c r="Q381" i="9" s="1"/>
  <c r="S348" i="9" a="1"/>
  <c r="S348" i="9" s="1"/>
  <c r="Q348" i="9" a="1"/>
  <c r="Q348" i="9" s="1"/>
  <c r="T348" i="9" s="1"/>
  <c r="Q163" i="9" a="1"/>
  <c r="Q163" i="9" s="1"/>
  <c r="S163" i="9" a="1"/>
  <c r="S163" i="9" s="1"/>
  <c r="T163" i="9" s="1"/>
  <c r="S252" i="9" a="1"/>
  <c r="S252" i="9" s="1"/>
  <c r="T252" i="9" s="1"/>
  <c r="Q252" i="9" a="1"/>
  <c r="Q252" i="9" s="1"/>
  <c r="S211" i="9" a="1"/>
  <c r="S211" i="9" s="1"/>
  <c r="Q211" i="9" a="1"/>
  <c r="Q211" i="9" s="1"/>
  <c r="R345" i="9" a="1"/>
  <c r="R345" i="9" s="1"/>
  <c r="S70" i="9" a="1"/>
  <c r="S70" i="9" s="1"/>
  <c r="T70" i="9" s="1"/>
  <c r="Q70" i="9" a="1"/>
  <c r="Q70" i="9" s="1"/>
  <c r="R219" i="9" a="1"/>
  <c r="R219" i="9" s="1"/>
  <c r="S314" i="9" a="1"/>
  <c r="S314" i="9" s="1"/>
  <c r="Q314" i="9" a="1"/>
  <c r="Q314" i="9" s="1"/>
  <c r="T314" i="9" s="1"/>
  <c r="Q40" i="9" a="1"/>
  <c r="Q40" i="9" s="1"/>
  <c r="S40" i="9" a="1"/>
  <c r="S40" i="9" s="1"/>
  <c r="T40" i="9" s="1"/>
  <c r="Q93" i="9" a="1"/>
  <c r="Q93" i="9" s="1"/>
  <c r="S93" i="9" a="1"/>
  <c r="S93" i="9" s="1"/>
  <c r="T93" i="9" s="1"/>
  <c r="S89" i="9" a="1"/>
  <c r="S89" i="9" s="1"/>
  <c r="Q89" i="9" a="1"/>
  <c r="Q89" i="9" s="1"/>
  <c r="S170" i="9" a="1"/>
  <c r="S170" i="9" s="1"/>
  <c r="Q170" i="9" a="1"/>
  <c r="Q170" i="9" s="1"/>
  <c r="S249" i="9" a="1"/>
  <c r="S249" i="9" s="1"/>
  <c r="Q249" i="9" a="1"/>
  <c r="Q249" i="9" s="1"/>
  <c r="S123" i="9" a="1"/>
  <c r="S123" i="9" s="1"/>
  <c r="Q123" i="9" a="1"/>
  <c r="Q123" i="9" s="1"/>
  <c r="T123" i="9" s="1"/>
  <c r="Q41" i="9" a="1"/>
  <c r="Q41" i="9" s="1"/>
  <c r="S41" i="9" a="1"/>
  <c r="S41" i="9" s="1"/>
  <c r="T41" i="9" s="1"/>
  <c r="R193" i="9" a="1"/>
  <c r="R193" i="9" s="1"/>
  <c r="Q201" i="9" a="1"/>
  <c r="Q201" i="9" s="1"/>
  <c r="S201" i="9" a="1"/>
  <c r="S201" i="9" s="1"/>
  <c r="T201" i="9" s="1"/>
  <c r="S80" i="9" a="1"/>
  <c r="S80" i="9" s="1"/>
  <c r="Q80" i="9" a="1"/>
  <c r="Q80" i="9" s="1"/>
  <c r="Q84" i="9" a="1"/>
  <c r="Q84" i="9" s="1"/>
  <c r="S84" i="9" a="1"/>
  <c r="S84" i="9" s="1"/>
  <c r="S378" i="9" a="1"/>
  <c r="S378" i="9" s="1"/>
  <c r="T378" i="9" s="1"/>
  <c r="Q378" i="9" a="1"/>
  <c r="Q378" i="9" s="1"/>
  <c r="Q373" i="9" a="1"/>
  <c r="Q373" i="9" s="1"/>
  <c r="S373" i="9" a="1"/>
  <c r="S373" i="9" s="1"/>
  <c r="S369" i="9" a="1"/>
  <c r="S369" i="9" s="1"/>
  <c r="T369" i="9" s="1"/>
  <c r="Q369" i="9" a="1"/>
  <c r="Q369" i="9" s="1"/>
  <c r="S26" i="9" a="1"/>
  <c r="S26" i="9" s="1"/>
  <c r="Q26" i="9" a="1"/>
  <c r="Q26" i="9" s="1"/>
  <c r="T26" i="9" s="1"/>
  <c r="Q355" i="9" a="1"/>
  <c r="Q355" i="9" s="1"/>
  <c r="S355" i="9" a="1"/>
  <c r="S355" i="9" s="1"/>
  <c r="S21" i="9" a="1"/>
  <c r="S21" i="9" s="1"/>
  <c r="T21" i="9" s="1"/>
  <c r="Q21" i="9" a="1"/>
  <c r="Q21" i="9" s="1"/>
  <c r="S384" i="9" a="1"/>
  <c r="S384" i="9" s="1"/>
  <c r="Q384" i="9" a="1"/>
  <c r="Q384" i="9" s="1"/>
  <c r="S109" i="9" a="1"/>
  <c r="S109" i="9" s="1"/>
  <c r="Q109" i="9" a="1"/>
  <c r="Q109" i="9" s="1"/>
  <c r="S198" i="9" a="1"/>
  <c r="S198" i="9" s="1"/>
  <c r="Q198" i="9" a="1"/>
  <c r="Q198" i="9" s="1"/>
  <c r="S100" i="9" a="1"/>
  <c r="S100" i="9" s="1"/>
  <c r="Q100" i="9" a="1"/>
  <c r="Q100" i="9" s="1"/>
  <c r="S270" i="9" a="1"/>
  <c r="S270" i="9" s="1"/>
  <c r="Q270" i="9" a="1"/>
  <c r="Q270" i="9" s="1"/>
  <c r="S164" i="9" a="1"/>
  <c r="S164" i="9" s="1"/>
  <c r="T164" i="9" s="1"/>
  <c r="Q164" i="9" a="1"/>
  <c r="Q164" i="9" s="1"/>
  <c r="Q62" i="9" a="1"/>
  <c r="Q62" i="9" s="1"/>
  <c r="S62" i="9" a="1"/>
  <c r="S62" i="9" s="1"/>
  <c r="T62" i="9" s="1"/>
  <c r="Q43" i="9" a="1"/>
  <c r="Q43" i="9" s="1"/>
  <c r="S43" i="9" a="1"/>
  <c r="S43" i="9" s="1"/>
  <c r="T43" i="9" s="1"/>
  <c r="Q343" i="9" a="1"/>
  <c r="Q343" i="9" s="1"/>
  <c r="S343" i="9" a="1"/>
  <c r="S343" i="9" s="1"/>
  <c r="T343" i="9" s="1"/>
  <c r="R80" i="9" a="1"/>
  <c r="R80" i="9" s="1"/>
  <c r="Q246" i="9" a="1"/>
  <c r="Q246" i="9" s="1"/>
  <c r="S246" i="9" a="1"/>
  <c r="S246" i="9" s="1"/>
  <c r="T246" i="9" s="1"/>
  <c r="S138" i="9" a="1"/>
  <c r="S138" i="9" s="1"/>
  <c r="T138" i="9" s="1"/>
  <c r="Q138" i="9" a="1"/>
  <c r="Q138" i="9" s="1"/>
  <c r="S326" i="9" a="1"/>
  <c r="S326" i="9" s="1"/>
  <c r="Q326" i="9" a="1"/>
  <c r="Q326" i="9" s="1"/>
  <c r="R384" i="9" a="1"/>
  <c r="R384" i="9" s="1"/>
  <c r="S236" i="9" a="1"/>
  <c r="S236" i="9" s="1"/>
  <c r="Q236" i="9" a="1"/>
  <c r="Q236" i="9" s="1"/>
  <c r="S53" i="9" a="1"/>
  <c r="S53" i="9" s="1"/>
  <c r="Q53" i="9" a="1"/>
  <c r="Q53" i="9" s="1"/>
  <c r="S299" i="9" a="1"/>
  <c r="S299" i="9" s="1"/>
  <c r="Q299" i="9" a="1"/>
  <c r="Q299" i="9" s="1"/>
  <c r="Q37" i="9" a="1"/>
  <c r="Q37" i="9" s="1"/>
  <c r="S37" i="9" a="1"/>
  <c r="S37" i="9" s="1"/>
  <c r="T37" i="9" s="1"/>
  <c r="R220" i="9" a="1"/>
  <c r="R220" i="9" s="1"/>
  <c r="S85" i="9" a="1"/>
  <c r="S85" i="9" s="1"/>
  <c r="T85" i="9" s="1"/>
  <c r="Q85" i="9" a="1"/>
  <c r="Q85" i="9" s="1"/>
  <c r="R225" i="9" a="1"/>
  <c r="R225" i="9" s="1"/>
  <c r="Q311" i="9" a="1"/>
  <c r="Q311" i="9" s="1"/>
  <c r="S311" i="9" a="1"/>
  <c r="S311" i="9" s="1"/>
  <c r="S17" i="9" a="1"/>
  <c r="S17" i="9" s="1"/>
  <c r="T17" i="9" s="1"/>
  <c r="Q17" i="9" a="1"/>
  <c r="Q17" i="9" s="1"/>
  <c r="S351" i="9" a="1"/>
  <c r="S351" i="9" s="1"/>
  <c r="Q351" i="9" a="1"/>
  <c r="Q351" i="9" s="1"/>
  <c r="S389" i="9" a="1"/>
  <c r="S389" i="9" s="1"/>
  <c r="Q389" i="9" a="1"/>
  <c r="Q389" i="9" s="1"/>
  <c r="T389" i="9" s="1"/>
  <c r="S99" i="9" a="1"/>
  <c r="S99" i="9" s="1"/>
  <c r="T99" i="9" s="1"/>
  <c r="Q99" i="9" a="1"/>
  <c r="Q99" i="9" s="1"/>
  <c r="Q175" i="9" a="1"/>
  <c r="Q175" i="9" s="1"/>
  <c r="S175" i="9" a="1"/>
  <c r="S175" i="9" s="1"/>
  <c r="T175" i="9" s="1"/>
  <c r="Q265" i="9" a="1"/>
  <c r="Q265" i="9" s="1"/>
  <c r="S265" i="9" a="1"/>
  <c r="S265" i="9" s="1"/>
  <c r="T265" i="9" s="1"/>
  <c r="S103" i="9" a="1"/>
  <c r="S103" i="9" s="1"/>
  <c r="T103" i="9" s="1"/>
  <c r="Q103" i="9" a="1"/>
  <c r="Q103" i="9" s="1"/>
  <c r="S350" i="9" a="1"/>
  <c r="S350" i="9" s="1"/>
  <c r="Q350" i="9" a="1"/>
  <c r="Q350" i="9" s="1"/>
  <c r="T350" i="9" s="1"/>
  <c r="Q189" i="9" a="1"/>
  <c r="Q189" i="9" s="1"/>
  <c r="T189" i="9" s="1"/>
  <c r="S189" i="9" a="1"/>
  <c r="S189" i="9" s="1"/>
  <c r="S51" i="9" a="1"/>
  <c r="S51" i="9" s="1"/>
  <c r="Q51" i="9" a="1"/>
  <c r="Q51" i="9" s="1"/>
  <c r="Q394" i="9" a="1"/>
  <c r="Q394" i="9" s="1"/>
  <c r="S394" i="9" a="1"/>
  <c r="S394" i="9" s="1"/>
  <c r="Q91" i="9" a="1"/>
  <c r="Q91" i="9" s="1"/>
  <c r="S91" i="9" a="1"/>
  <c r="S91" i="9" s="1"/>
  <c r="T91" i="9" s="1"/>
  <c r="R355" i="9" a="1"/>
  <c r="R355" i="9" s="1"/>
  <c r="S96" i="9" a="1"/>
  <c r="S96" i="9" s="1"/>
  <c r="T96" i="9" s="1"/>
  <c r="Q96" i="9" a="1"/>
  <c r="Q96" i="9" s="1"/>
  <c r="S87" i="9" a="1"/>
  <c r="S87" i="9" s="1"/>
  <c r="Q87" i="9" a="1"/>
  <c r="Q87" i="9" s="1"/>
  <c r="T87" i="9" s="1"/>
  <c r="Q220" i="9" a="1"/>
  <c r="Q220" i="9" s="1"/>
  <c r="S220" i="9" a="1"/>
  <c r="S220" i="9" s="1"/>
  <c r="S253" i="9" a="1"/>
  <c r="S253" i="9" s="1"/>
  <c r="T253" i="9" s="1"/>
  <c r="Q253" i="9" a="1"/>
  <c r="Q253" i="9" s="1"/>
  <c r="Q183" i="9" a="1"/>
  <c r="Q183" i="9" s="1"/>
  <c r="S183" i="9" a="1"/>
  <c r="S183" i="9" s="1"/>
  <c r="T183" i="9" s="1"/>
  <c r="Q392" i="9" a="1"/>
  <c r="Q392" i="9" s="1"/>
  <c r="S392" i="9" a="1"/>
  <c r="S392" i="9" s="1"/>
  <c r="T392" i="9" s="1"/>
  <c r="Q309" i="9" a="1"/>
  <c r="Q309" i="9" s="1"/>
  <c r="S309" i="9" a="1"/>
  <c r="S309" i="9" s="1"/>
  <c r="S239" i="9" a="1"/>
  <c r="S239" i="9" s="1"/>
  <c r="T239" i="9" s="1"/>
  <c r="Q239" i="9" a="1"/>
  <c r="Q239" i="9" s="1"/>
  <c r="R373" i="9" a="1"/>
  <c r="R373" i="9" s="1"/>
  <c r="S322" i="9" a="1"/>
  <c r="S322" i="9" s="1"/>
  <c r="T322" i="9" s="1"/>
  <c r="Q322" i="9" a="1"/>
  <c r="Q322" i="9" s="1"/>
  <c r="R285" i="9" a="1"/>
  <c r="R285" i="9" s="1"/>
  <c r="S259" i="9" a="1"/>
  <c r="S259" i="9" s="1"/>
  <c r="Q259" i="9" a="1"/>
  <c r="Q259" i="9" s="1"/>
  <c r="Q121" i="9" a="1"/>
  <c r="Q121" i="9" s="1"/>
  <c r="S121" i="9" a="1"/>
  <c r="S121" i="9" s="1"/>
  <c r="T121" i="9" s="1"/>
  <c r="R236" i="9" a="1"/>
  <c r="R236" i="9" s="1"/>
  <c r="S244" i="9" a="1"/>
  <c r="S244" i="9" s="1"/>
  <c r="Q244" i="9" a="1"/>
  <c r="Q244" i="9" s="1"/>
  <c r="S202" i="9" a="1"/>
  <c r="S202" i="9" s="1"/>
  <c r="Q202" i="9" a="1"/>
  <c r="Q202" i="9" s="1"/>
  <c r="R100" i="9" a="1"/>
  <c r="R100" i="9" s="1"/>
  <c r="S156" i="9" a="1"/>
  <c r="S156" i="9" s="1"/>
  <c r="Q156" i="9" a="1"/>
  <c r="Q156" i="9" s="1"/>
  <c r="S225" i="9" a="1"/>
  <c r="S225" i="9" s="1"/>
  <c r="Q225" i="9" a="1"/>
  <c r="Q225" i="9" s="1"/>
  <c r="S274" i="9" a="1"/>
  <c r="S274" i="9" s="1"/>
  <c r="T274" i="9" s="1"/>
  <c r="Q274" i="9" a="1"/>
  <c r="Q274" i="9" s="1"/>
  <c r="Q188" i="9" a="1"/>
  <c r="Q188" i="9" s="1"/>
  <c r="S188" i="9" a="1"/>
  <c r="S188" i="9" s="1"/>
  <c r="T188" i="9"/>
  <c r="Q30" i="9" a="1"/>
  <c r="Q30" i="9" s="1"/>
  <c r="S30" i="9" a="1"/>
  <c r="S30" i="9" s="1"/>
  <c r="Q329" i="9" a="1"/>
  <c r="Q329" i="9" s="1"/>
  <c r="S329" i="9" a="1"/>
  <c r="S329" i="9" s="1"/>
  <c r="R63" i="9" a="1"/>
  <c r="R63" i="9" s="1"/>
  <c r="T63" i="9" s="1"/>
  <c r="S166" i="9" a="1"/>
  <c r="S166" i="9" s="1"/>
  <c r="Q166" i="9" a="1"/>
  <c r="Q166" i="9" s="1"/>
  <c r="T166" i="9" s="1"/>
  <c r="R309" i="9" a="1"/>
  <c r="R309" i="9" s="1"/>
  <c r="S48" i="9" a="1"/>
  <c r="S48" i="9" s="1"/>
  <c r="Q48" i="9" a="1"/>
  <c r="Q48" i="9" s="1"/>
  <c r="Q151" i="9" a="1"/>
  <c r="Q151" i="9" s="1"/>
  <c r="T151" i="9" s="1"/>
  <c r="S151" i="9" a="1"/>
  <c r="S151" i="9" s="1"/>
  <c r="S88" i="9" a="1"/>
  <c r="S88" i="9" s="1"/>
  <c r="T88" i="9" s="1"/>
  <c r="Q88" i="9" a="1"/>
  <c r="Q88" i="9" s="1"/>
  <c r="S285" i="9" a="1"/>
  <c r="S285" i="9" s="1"/>
  <c r="Q285" i="9" a="1"/>
  <c r="Q285" i="9" s="1"/>
  <c r="S46" i="9" a="1"/>
  <c r="S46" i="9" s="1"/>
  <c r="Q46" i="9" a="1"/>
  <c r="Q46" i="9" s="1"/>
  <c r="Q359" i="9" a="1"/>
  <c r="Q359" i="9" s="1"/>
  <c r="S359" i="9" a="1"/>
  <c r="S359" i="9" s="1"/>
  <c r="S147" i="9" a="1"/>
  <c r="S147" i="9" s="1"/>
  <c r="T147" i="9" s="1"/>
  <c r="Q147" i="9" a="1"/>
  <c r="Q147" i="9" s="1"/>
  <c r="Q122" i="9" a="1"/>
  <c r="Q122" i="9" s="1"/>
  <c r="S122" i="9" a="1"/>
  <c r="S122" i="9" s="1"/>
  <c r="T122" i="9" s="1"/>
  <c r="S77" i="9" a="1"/>
  <c r="S77" i="9" s="1"/>
  <c r="Q77" i="9" a="1"/>
  <c r="Q77" i="9" s="1"/>
  <c r="T77" i="9" s="1"/>
  <c r="S158" i="9" a="1"/>
  <c r="S158" i="9" s="1"/>
  <c r="T158" i="9" s="1"/>
  <c r="Q158" i="9" a="1"/>
  <c r="Q158" i="9" s="1"/>
  <c r="S98" i="9" a="1"/>
  <c r="S98" i="9" s="1"/>
  <c r="T98" i="9" s="1"/>
  <c r="Q98" i="9" a="1"/>
  <c r="Q98" i="9" s="1"/>
  <c r="S137" i="9" a="1"/>
  <c r="S137" i="9" s="1"/>
  <c r="Q137" i="9" a="1"/>
  <c r="Q137" i="9" s="1"/>
  <c r="Q159" i="9" a="1"/>
  <c r="Q159" i="9" s="1"/>
  <c r="S159" i="9" a="1"/>
  <c r="S159" i="9" s="1"/>
  <c r="Q73" i="9" a="1"/>
  <c r="Q73" i="9" s="1"/>
  <c r="S73" i="9" a="1"/>
  <c r="S73" i="9" s="1"/>
  <c r="S268" i="9" a="1"/>
  <c r="S268" i="9" s="1"/>
  <c r="T268" i="9" s="1"/>
  <c r="Q268" i="9" a="1"/>
  <c r="Q268" i="9" s="1"/>
  <c r="S61" i="9" a="1"/>
  <c r="S61" i="9" s="1"/>
  <c r="T61" i="9" s="1"/>
  <c r="Q61" i="9" a="1"/>
  <c r="Q61" i="9" s="1"/>
  <c r="Q224" i="9" a="1"/>
  <c r="Q224" i="9" s="1"/>
  <c r="S224" i="9" a="1"/>
  <c r="S224" i="9" s="1"/>
  <c r="S232" i="9" a="1"/>
  <c r="S232" i="9" s="1"/>
  <c r="Q232" i="9" a="1"/>
  <c r="Q232" i="9" s="1"/>
  <c r="Q106" i="9" a="1"/>
  <c r="Q106" i="9" s="1"/>
  <c r="S106" i="9" a="1"/>
  <c r="S106" i="9" s="1"/>
  <c r="T106" i="9" s="1"/>
  <c r="S49" i="9" a="1"/>
  <c r="S49" i="9" s="1"/>
  <c r="Q49" i="9" a="1"/>
  <c r="Q49" i="9" s="1"/>
  <c r="Q223" i="9" a="1"/>
  <c r="Q223" i="9" s="1"/>
  <c r="S223" i="9" a="1"/>
  <c r="S223" i="9" s="1"/>
  <c r="T223" i="9" s="1"/>
  <c r="S346" i="9" a="1"/>
  <c r="S346" i="9" s="1"/>
  <c r="T346" i="9" s="1"/>
  <c r="Q346" i="9" a="1"/>
  <c r="Q346" i="9" s="1"/>
  <c r="Q228" i="9" a="1"/>
  <c r="Q228" i="9" s="1"/>
  <c r="S228" i="9" a="1"/>
  <c r="S228" i="9" s="1"/>
  <c r="T228" i="9" s="1"/>
  <c r="S313" i="9" a="1"/>
  <c r="S313" i="9" s="1"/>
  <c r="Q313" i="9" a="1"/>
  <c r="Q313" i="9" s="1"/>
  <c r="T313" i="9" s="1"/>
  <c r="Q375" i="9" a="1"/>
  <c r="Q375" i="9" s="1"/>
  <c r="S375" i="9" a="1"/>
  <c r="S375" i="9" s="1"/>
  <c r="T375" i="9" s="1"/>
  <c r="S112" i="9" a="1"/>
  <c r="S112" i="9" s="1"/>
  <c r="T112" i="9" s="1"/>
  <c r="Q112" i="9" a="1"/>
  <c r="Q112" i="9" s="1"/>
  <c r="R337" i="9" a="1"/>
  <c r="R337" i="9" s="1"/>
  <c r="S67" i="9" a="1"/>
  <c r="S67" i="9" s="1"/>
  <c r="T67" i="9" s="1"/>
  <c r="Q67" i="9" a="1"/>
  <c r="Q67" i="9" s="1"/>
  <c r="T205" i="9"/>
  <c r="Q304" i="9" a="1"/>
  <c r="Q304" i="9" s="1"/>
  <c r="S304" i="9" a="1"/>
  <c r="S304" i="9" s="1"/>
  <c r="T304" i="9" s="1"/>
  <c r="R382" i="9" a="1"/>
  <c r="R382" i="9" s="1"/>
  <c r="S332" i="9" a="1"/>
  <c r="S332" i="9" s="1"/>
  <c r="Q332" i="9" a="1"/>
  <c r="Q332" i="9" s="1"/>
  <c r="S193" i="9" a="1"/>
  <c r="S193" i="9" s="1"/>
  <c r="Q193" i="9" a="1"/>
  <c r="Q193" i="9" s="1"/>
  <c r="S374" i="9" a="1"/>
  <c r="S374" i="9" s="1"/>
  <c r="T374" i="9" s="1"/>
  <c r="Q374" i="9" a="1"/>
  <c r="Q374" i="9" s="1"/>
  <c r="S119" i="9" a="1"/>
  <c r="S119" i="9" s="1"/>
  <c r="T119" i="9" s="1"/>
  <c r="Q119" i="9" a="1"/>
  <c r="Q119" i="9" s="1"/>
  <c r="S213" i="9" a="1"/>
  <c r="S213" i="9" s="1"/>
  <c r="T213" i="9" s="1"/>
  <c r="Q213" i="9" a="1"/>
  <c r="Q213" i="9" s="1"/>
  <c r="S395" i="9" a="1"/>
  <c r="S395" i="9" s="1"/>
  <c r="Q395" i="9" a="1"/>
  <c r="Q395" i="9" s="1"/>
  <c r="S234" i="9" a="1"/>
  <c r="S234" i="9" s="1"/>
  <c r="Q234" i="9" a="1"/>
  <c r="Q234" i="9" s="1"/>
  <c r="S71" i="9" a="1"/>
  <c r="S71" i="9" s="1"/>
  <c r="T71" i="9" s="1"/>
  <c r="Q71" i="9" a="1"/>
  <c r="Q71" i="9" s="1"/>
  <c r="Q340" i="9" a="1"/>
  <c r="Q340" i="9" s="1"/>
  <c r="T340" i="9" s="1"/>
  <c r="S340" i="9" a="1"/>
  <c r="S340" i="9" s="1"/>
  <c r="Q136" i="9" a="1"/>
  <c r="Q136" i="9" s="1"/>
  <c r="S136" i="9" a="1"/>
  <c r="S136" i="9" s="1"/>
  <c r="T136" i="9" s="1"/>
  <c r="Q358" i="9" a="1"/>
  <c r="Q358" i="9" s="1"/>
  <c r="S358" i="9" a="1"/>
  <c r="S358" i="9" s="1"/>
  <c r="S31" i="9" a="1"/>
  <c r="S31" i="9" s="1"/>
  <c r="T31" i="9" s="1"/>
  <c r="Q31" i="9" a="1"/>
  <c r="Q31" i="9" s="1"/>
  <c r="R202" i="9" a="1"/>
  <c r="R202" i="9" s="1"/>
  <c r="R137" i="9" a="1"/>
  <c r="R137" i="9" s="1"/>
  <c r="Q227" i="9" a="1"/>
  <c r="Q227" i="9" s="1"/>
  <c r="S227" i="9" a="1"/>
  <c r="S227" i="9" s="1"/>
  <c r="T227" i="9" s="1"/>
  <c r="S8" i="9" a="1"/>
  <c r="S8" i="9" s="1"/>
  <c r="T8" i="9" s="1"/>
  <c r="Q8" i="9" a="1"/>
  <c r="Q8" i="9" s="1"/>
  <c r="S258" i="9" a="1"/>
  <c r="S258" i="9" s="1"/>
  <c r="Q258" i="9" a="1"/>
  <c r="Q258" i="9" s="1"/>
  <c r="Q290" i="9" a="1"/>
  <c r="Q290" i="9" s="1"/>
  <c r="S290" i="9" a="1"/>
  <c r="S290" i="9" s="1"/>
  <c r="S240" i="9" a="1"/>
  <c r="S240" i="9" s="1"/>
  <c r="T240" i="9" s="1"/>
  <c r="Q240" i="9" a="1"/>
  <c r="Q240" i="9" s="1"/>
  <c r="Q301" i="9" a="1"/>
  <c r="Q301" i="9" s="1"/>
  <c r="S301" i="9" a="1"/>
  <c r="S301" i="9" s="1"/>
  <c r="T75" i="9"/>
  <c r="S168" i="9" a="1"/>
  <c r="S168" i="9" s="1"/>
  <c r="T168" i="9" s="1"/>
  <c r="Q168" i="9" a="1"/>
  <c r="Q168" i="9" s="1"/>
  <c r="S52" i="9" a="1"/>
  <c r="S52" i="9" s="1"/>
  <c r="T52" i="9" s="1"/>
  <c r="Q52" i="9" a="1"/>
  <c r="Q52" i="9" s="1"/>
  <c r="Q397" i="9" a="1"/>
  <c r="Q397" i="9" s="1"/>
  <c r="T397" i="9" s="1"/>
  <c r="S397" i="9" a="1"/>
  <c r="S397" i="9" s="1"/>
  <c r="Q111" i="9" a="1"/>
  <c r="Q111" i="9" s="1"/>
  <c r="S111" i="9" a="1"/>
  <c r="S111" i="9" s="1"/>
  <c r="S128" i="9" a="1"/>
  <c r="S128" i="9" s="1"/>
  <c r="T128" i="9" s="1"/>
  <c r="Q128" i="9" a="1"/>
  <c r="Q128" i="9" s="1"/>
  <c r="S7" i="9" a="1"/>
  <c r="S7" i="9" s="1"/>
  <c r="Q7" i="9" a="1"/>
  <c r="Q7" i="9" s="1"/>
  <c r="Q310" i="9" a="1"/>
  <c r="Q310" i="9" s="1"/>
  <c r="S310" i="9" a="1"/>
  <c r="S310" i="9" s="1"/>
  <c r="S368" i="9" a="1"/>
  <c r="S368" i="9" s="1"/>
  <c r="Q368" i="9" a="1"/>
  <c r="Q368" i="9" s="1"/>
  <c r="S292" i="9" a="1"/>
  <c r="S292" i="9" s="1"/>
  <c r="T292" i="9" s="1"/>
  <c r="Q292" i="9" a="1"/>
  <c r="Q292" i="9" s="1"/>
  <c r="S261" i="9" a="1"/>
  <c r="S261" i="9" s="1"/>
  <c r="Q261" i="9" a="1"/>
  <c r="Q261" i="9" s="1"/>
  <c r="T261" i="9" s="1"/>
  <c r="Q4" i="9" a="1"/>
  <c r="Q4" i="9" s="1"/>
  <c r="S4" i="9" a="1"/>
  <c r="S4" i="9" s="1"/>
  <c r="T4" i="9" s="1"/>
  <c r="S207" i="9" a="1"/>
  <c r="S207" i="9" s="1"/>
  <c r="T207" i="9" s="1"/>
  <c r="Q207" i="9" a="1"/>
  <c r="Q207" i="9" s="1"/>
  <c r="R161" i="9" a="1"/>
  <c r="R161" i="9" s="1"/>
  <c r="T161" i="9" s="1"/>
  <c r="Q330" i="9" a="1"/>
  <c r="Q330" i="9" s="1"/>
  <c r="S330" i="9" a="1"/>
  <c r="S330" i="9" s="1"/>
  <c r="T330" i="9"/>
  <c r="T388" i="9"/>
  <c r="S396" i="9" a="1"/>
  <c r="S396" i="9" s="1"/>
  <c r="T396" i="9" s="1"/>
  <c r="Q396" i="9" a="1"/>
  <c r="Q396" i="9" s="1"/>
  <c r="Q139" i="9" a="1"/>
  <c r="Q139" i="9" s="1"/>
  <c r="T139" i="9" s="1"/>
  <c r="S139" i="9" a="1"/>
  <c r="S139" i="9" s="1"/>
  <c r="S273" i="9" a="1"/>
  <c r="S273" i="9" s="1"/>
  <c r="T273" i="9" s="1"/>
  <c r="Q273" i="9" a="1"/>
  <c r="Q273" i="9" s="1"/>
  <c r="S327" i="9" a="1"/>
  <c r="S327" i="9" s="1"/>
  <c r="T327" i="9" s="1"/>
  <c r="Q327" i="9" a="1"/>
  <c r="Q327" i="9" s="1"/>
  <c r="Q97" i="9" a="1"/>
  <c r="Q97" i="9" s="1"/>
  <c r="S97" i="9" a="1"/>
  <c r="S97" i="9" s="1"/>
  <c r="S134" i="9" a="1"/>
  <c r="S134" i="9" s="1"/>
  <c r="T134" i="9" s="1"/>
  <c r="Q134" i="9" a="1"/>
  <c r="Q134" i="9" s="1"/>
  <c r="S302" i="9" a="1"/>
  <c r="S302" i="9" s="1"/>
  <c r="T302" i="9" s="1"/>
  <c r="Q302" i="9" a="1"/>
  <c r="Q302" i="9" s="1"/>
  <c r="S279" i="9" a="1"/>
  <c r="S279" i="9" s="1"/>
  <c r="T279" i="9" s="1"/>
  <c r="Q279" i="9" a="1"/>
  <c r="Q279" i="9" s="1"/>
  <c r="R363" i="9" a="1"/>
  <c r="R363" i="9" s="1"/>
  <c r="S366" i="9" a="1"/>
  <c r="S366" i="9" s="1"/>
  <c r="Q366" i="9" a="1"/>
  <c r="Q366" i="9" s="1"/>
  <c r="S124" i="9" a="1"/>
  <c r="S124" i="9" s="1"/>
  <c r="T124" i="9" s="1"/>
  <c r="Q124" i="9" a="1"/>
  <c r="Q124" i="9" s="1"/>
  <c r="S184" i="9" a="1"/>
  <c r="S184" i="9" s="1"/>
  <c r="T184" i="9" s="1"/>
  <c r="Q184" i="9" a="1"/>
  <c r="Q184" i="9" s="1"/>
  <c r="Q54" i="9" a="1"/>
  <c r="Q54" i="9" s="1"/>
  <c r="S54" i="9" a="1"/>
  <c r="S54" i="9" s="1"/>
  <c r="Q160" i="9" a="1"/>
  <c r="Q160" i="9" s="1"/>
  <c r="S160" i="9" a="1"/>
  <c r="S160" i="9" s="1"/>
  <c r="S298" i="9" a="1"/>
  <c r="S298" i="9" s="1"/>
  <c r="Q298" i="9" a="1"/>
  <c r="Q298" i="9" s="1"/>
  <c r="Q231" i="9" a="1"/>
  <c r="Q231" i="9" s="1"/>
  <c r="S231" i="9" a="1"/>
  <c r="S231" i="9" s="1"/>
  <c r="T231" i="9" s="1"/>
  <c r="Q286" i="9" a="1"/>
  <c r="Q286" i="9" s="1"/>
  <c r="S286" i="9" a="1"/>
  <c r="S286" i="9" s="1"/>
  <c r="Q386" i="9" a="1"/>
  <c r="Q386" i="9" s="1"/>
  <c r="S386" i="9" a="1"/>
  <c r="S386" i="9" s="1"/>
  <c r="T386" i="9" s="1"/>
  <c r="Q110" i="9" a="1"/>
  <c r="Q110" i="9" s="1"/>
  <c r="S110" i="9" a="1"/>
  <c r="S110" i="9" s="1"/>
  <c r="S390" i="9" a="1"/>
  <c r="S390" i="9" s="1"/>
  <c r="Q390" i="9" a="1"/>
  <c r="Q390" i="9" s="1"/>
  <c r="R341" i="9" a="1"/>
  <c r="R341" i="9" s="1"/>
  <c r="S317" i="9" a="1"/>
  <c r="S317" i="9" s="1"/>
  <c r="Q317" i="9" a="1"/>
  <c r="Q317" i="9" s="1"/>
  <c r="S276" i="9" a="1"/>
  <c r="S276" i="9" s="1"/>
  <c r="T276" i="9" s="1"/>
  <c r="Q276" i="9" a="1"/>
  <c r="Q276" i="9" s="1"/>
  <c r="S117" i="9" a="1"/>
  <c r="S117" i="9" s="1"/>
  <c r="T117" i="9" s="1"/>
  <c r="Q117" i="9" a="1"/>
  <c r="Q117" i="9" s="1"/>
  <c r="Q33" i="9" a="1"/>
  <c r="Q33" i="9" s="1"/>
  <c r="S33" i="9" a="1"/>
  <c r="S33" i="9" s="1"/>
  <c r="T33" i="9" s="1"/>
  <c r="S108" i="9" a="1"/>
  <c r="S108" i="9" s="1"/>
  <c r="T108" i="9" s="1"/>
  <c r="Q108" i="9" a="1"/>
  <c r="Q108" i="9" s="1"/>
  <c r="S380" i="9" a="1"/>
  <c r="S380" i="9" s="1"/>
  <c r="Q380" i="9" a="1"/>
  <c r="Q380" i="9" s="1"/>
  <c r="Q20" i="9" a="1"/>
  <c r="Q20" i="9" s="1"/>
  <c r="S20" i="9" a="1"/>
  <c r="S20" i="9" s="1"/>
  <c r="T20" i="9" s="1"/>
  <c r="S365" i="9" a="1"/>
  <c r="S365" i="9" s="1"/>
  <c r="Q365" i="9" a="1"/>
  <c r="Q365" i="9" s="1"/>
  <c r="Q90" i="9" a="1"/>
  <c r="Q90" i="9" s="1"/>
  <c r="S90" i="9" a="1"/>
  <c r="S90" i="9" s="1"/>
  <c r="T90" i="9" s="1"/>
  <c r="R380" i="9" a="1"/>
  <c r="R380" i="9" s="1"/>
  <c r="T328" i="9"/>
  <c r="S307" i="9" a="1"/>
  <c r="S307" i="9" s="1"/>
  <c r="T307" i="9" s="1"/>
  <c r="Q307" i="9" a="1"/>
  <c r="Q307" i="9" s="1"/>
  <c r="S367" i="9" a="1"/>
  <c r="S367" i="9" s="1"/>
  <c r="Q367" i="9" a="1"/>
  <c r="Q367" i="9" s="1"/>
  <c r="T367" i="9" s="1"/>
  <c r="Q320" i="9" a="1"/>
  <c r="Q320" i="9" s="1"/>
  <c r="S320" i="9" a="1"/>
  <c r="S320" i="9" s="1"/>
  <c r="T320" i="9" s="1"/>
  <c r="Q144" i="9" a="1"/>
  <c r="Q144" i="9" s="1"/>
  <c r="S144" i="9" a="1"/>
  <c r="S144" i="9" s="1"/>
  <c r="T235" i="9"/>
  <c r="S131" i="9" a="1"/>
  <c r="S131" i="9" s="1"/>
  <c r="T131" i="9" s="1"/>
  <c r="Q131" i="9" a="1"/>
  <c r="Q131" i="9" s="1"/>
  <c r="R332" i="9" a="1"/>
  <c r="R332" i="9" s="1"/>
  <c r="T237" i="9"/>
  <c r="S357" i="9" a="1"/>
  <c r="S357" i="9" s="1"/>
  <c r="Q357" i="9" a="1"/>
  <c r="Q357" i="9" s="1"/>
  <c r="S36" i="9" a="1"/>
  <c r="S36" i="9" s="1"/>
  <c r="T36" i="9" s="1"/>
  <c r="Q36" i="9" a="1"/>
  <c r="Q36" i="9" s="1"/>
  <c r="S173" i="9" a="1"/>
  <c r="S173" i="9" s="1"/>
  <c r="Q173" i="9" a="1"/>
  <c r="Q173" i="9" s="1"/>
  <c r="S199" i="9" a="1"/>
  <c r="S199" i="9" s="1"/>
  <c r="Q199" i="9" a="1"/>
  <c r="Q199" i="9" s="1"/>
  <c r="S12" i="9" a="1"/>
  <c r="S12" i="9" s="1"/>
  <c r="T12" i="9" s="1"/>
  <c r="Q12" i="9" a="1"/>
  <c r="Q12" i="9" s="1"/>
  <c r="Q344" i="9" a="1"/>
  <c r="Q344" i="9" s="1"/>
  <c r="T344" i="9" s="1"/>
  <c r="S344" i="9" a="1"/>
  <c r="S344" i="9" s="1"/>
  <c r="S63" i="9" a="1"/>
  <c r="S63" i="9" s="1"/>
  <c r="S257" i="9" a="1"/>
  <c r="S257" i="9" s="1"/>
  <c r="T257" i="9" s="1"/>
  <c r="Q257" i="9" a="1"/>
  <c r="Q257" i="9" s="1"/>
  <c r="Q58" i="9" a="1"/>
  <c r="Q58" i="9" s="1"/>
  <c r="S58" i="9" a="1"/>
  <c r="S58" i="9" s="1"/>
  <c r="T58" i="9" s="1"/>
  <c r="S321" i="9" a="1"/>
  <c r="S321" i="9" s="1"/>
  <c r="Q321" i="9" a="1"/>
  <c r="Q321" i="9" s="1"/>
  <c r="T321" i="9" s="1"/>
  <c r="S55" i="9" a="1"/>
  <c r="S55" i="9" s="1"/>
  <c r="Q55" i="9" a="1"/>
  <c r="Q55" i="9" s="1"/>
  <c r="T55" i="9" s="1"/>
  <c r="Q363" i="9" a="1"/>
  <c r="Q363" i="9" s="1"/>
  <c r="S363" i="9" a="1"/>
  <c r="S363" i="9" s="1"/>
  <c r="S277" i="9" a="1"/>
  <c r="S277" i="9" s="1"/>
  <c r="Q277" i="9" a="1"/>
  <c r="Q277" i="9" s="1"/>
  <c r="S174" i="9" a="1"/>
  <c r="S174" i="9" s="1"/>
  <c r="Q174" i="9" a="1"/>
  <c r="Q174" i="9" s="1"/>
  <c r="Q24" i="9" a="1"/>
  <c r="Q24" i="9" s="1"/>
  <c r="S24" i="9" a="1"/>
  <c r="S24" i="9" s="1"/>
  <c r="T24" i="9" s="1"/>
  <c r="Q308" i="9" a="1"/>
  <c r="Q308" i="9" s="1"/>
  <c r="S308" i="9" a="1"/>
  <c r="S308" i="9" s="1"/>
  <c r="S300" i="9" a="1"/>
  <c r="S300" i="9" s="1"/>
  <c r="Q300" i="9" a="1"/>
  <c r="Q300" i="9" s="1"/>
  <c r="S349" i="9" a="1"/>
  <c r="S349" i="9" s="1"/>
  <c r="T349" i="9" s="1"/>
  <c r="Q349" i="9" a="1"/>
  <c r="Q349" i="9" s="1"/>
  <c r="S242" i="9" a="1"/>
  <c r="S242" i="9" s="1"/>
  <c r="Q242" i="9" a="1"/>
  <c r="Q242" i="9" s="1"/>
  <c r="S116" i="9" a="1"/>
  <c r="S116" i="9" s="1"/>
  <c r="T116" i="9" s="1"/>
  <c r="Q116" i="9" a="1"/>
  <c r="Q116" i="9" s="1"/>
  <c r="R353" i="9" a="1"/>
  <c r="R353" i="9" s="1"/>
  <c r="Q182" i="9" a="1"/>
  <c r="Q182" i="9" s="1"/>
  <c r="S182" i="9" a="1"/>
  <c r="S182" i="9" s="1"/>
  <c r="T333" i="9"/>
  <c r="S135" i="9" a="1"/>
  <c r="S135" i="9" s="1"/>
  <c r="Q135" i="9" a="1"/>
  <c r="Q135" i="9" s="1"/>
  <c r="T135" i="9" s="1"/>
  <c r="S263" i="9" a="1"/>
  <c r="S263" i="9" s="1"/>
  <c r="Q263" i="9" a="1"/>
  <c r="Q263" i="9" s="1"/>
  <c r="S74" i="9" a="1"/>
  <c r="S74" i="9" s="1"/>
  <c r="Q74" i="9" a="1"/>
  <c r="Q74" i="9" s="1"/>
  <c r="T74" i="9" s="1"/>
  <c r="Q42" i="9" a="1"/>
  <c r="Q42" i="9" s="1"/>
  <c r="S42" i="9" a="1"/>
  <c r="S42" i="9" s="1"/>
  <c r="T42" i="9" s="1"/>
  <c r="S23" i="9" a="1"/>
  <c r="S23" i="9" s="1"/>
  <c r="Q23" i="9" a="1"/>
  <c r="Q23" i="9" s="1"/>
  <c r="S57" i="9" a="1"/>
  <c r="S57" i="9" s="1"/>
  <c r="T57" i="9" s="1"/>
  <c r="Q57" i="9" a="1"/>
  <c r="Q57" i="9" s="1"/>
  <c r="S391" i="9" a="1"/>
  <c r="S391" i="9" s="1"/>
  <c r="Q391" i="9" a="1"/>
  <c r="Q391" i="9" s="1"/>
  <c r="S9" i="9" a="1"/>
  <c r="S9" i="9" s="1"/>
  <c r="Q9" i="9" a="1"/>
  <c r="Q9" i="9" s="1"/>
  <c r="Q127" i="9" a="1"/>
  <c r="Q127" i="9" s="1"/>
  <c r="S127" i="9" a="1"/>
  <c r="S127" i="9" s="1"/>
  <c r="T127" i="9" s="1"/>
  <c r="S14" i="9" a="1"/>
  <c r="S14" i="9" s="1"/>
  <c r="T14" i="9" s="1"/>
  <c r="Q14" i="9" a="1"/>
  <c r="Q14" i="9" s="1"/>
  <c r="Q372" i="9" a="1"/>
  <c r="Q372" i="9" s="1"/>
  <c r="S372" i="9" a="1"/>
  <c r="S372" i="9" s="1"/>
  <c r="Q247" i="9" a="1"/>
  <c r="Q247" i="9" s="1"/>
  <c r="S247" i="9" a="1"/>
  <c r="S247" i="9" s="1"/>
  <c r="T247" i="9" s="1"/>
  <c r="Q319" i="9" a="1"/>
  <c r="Q319" i="9" s="1"/>
  <c r="S319" i="9" a="1"/>
  <c r="S319" i="9" s="1"/>
  <c r="T319" i="9" s="1"/>
  <c r="S50" i="9" a="1"/>
  <c r="S50" i="9" s="1"/>
  <c r="Q50" i="9" a="1"/>
  <c r="Q50" i="9" s="1"/>
  <c r="S83" i="9" a="1"/>
  <c r="S83" i="9" s="1"/>
  <c r="Q83" i="9" a="1"/>
  <c r="Q83" i="9" s="1"/>
  <c r="R174" i="9" a="1"/>
  <c r="R174" i="9" s="1"/>
  <c r="R160" i="9" a="1"/>
  <c r="R160" i="9" s="1"/>
  <c r="T160" i="9" s="1"/>
  <c r="S95" i="9" a="1"/>
  <c r="S95" i="9" s="1"/>
  <c r="Q95" i="9" a="1"/>
  <c r="Q95" i="9" s="1"/>
  <c r="R270" i="9" a="1"/>
  <c r="R270" i="9" s="1"/>
  <c r="S342" i="9" a="1"/>
  <c r="S342" i="9" s="1"/>
  <c r="T342" i="9" s="1"/>
  <c r="Q342" i="9" a="1"/>
  <c r="Q342" i="9" s="1"/>
  <c r="S172" i="9" a="1"/>
  <c r="S172" i="9" s="1"/>
  <c r="Q172" i="9" a="1"/>
  <c r="Q172" i="9" s="1"/>
  <c r="S157" i="9" a="1"/>
  <c r="S157" i="9" s="1"/>
  <c r="T157" i="9" s="1"/>
  <c r="Q157" i="9" a="1"/>
  <c r="Q157" i="9" s="1"/>
  <c r="R199" i="9" a="1"/>
  <c r="R199" i="9" s="1"/>
  <c r="Q200" i="9" a="1"/>
  <c r="Q200" i="9" s="1"/>
  <c r="S200" i="9" a="1"/>
  <c r="S200" i="9" s="1"/>
  <c r="T200" i="9" s="1"/>
  <c r="S104" i="9" a="1"/>
  <c r="S104" i="9" s="1"/>
  <c r="Q104" i="9" a="1"/>
  <c r="Q104" i="9" s="1"/>
  <c r="Q19" i="9" a="1"/>
  <c r="Q19" i="9" s="1"/>
  <c r="S19" i="9" a="1"/>
  <c r="S19" i="9" s="1"/>
  <c r="T19" i="9" s="1"/>
  <c r="R186" i="9" a="1"/>
  <c r="R186" i="9" s="1"/>
  <c r="Q5" i="9" a="1"/>
  <c r="Q5" i="9" s="1"/>
  <c r="S5" i="9" a="1"/>
  <c r="S5" i="9" s="1"/>
  <c r="S92" i="9" a="1"/>
  <c r="S92" i="9" s="1"/>
  <c r="T92" i="9" s="1"/>
  <c r="Q92" i="9" a="1"/>
  <c r="Q92" i="9" s="1"/>
  <c r="S150" i="9" a="1"/>
  <c r="S150" i="9" s="1"/>
  <c r="T150" i="9" s="1"/>
  <c r="Q150" i="9" a="1"/>
  <c r="Q150" i="9" s="1"/>
  <c r="S81" i="9" a="1"/>
  <c r="S81" i="9" s="1"/>
  <c r="T81" i="9" s="1"/>
  <c r="Q81" i="9" a="1"/>
  <c r="Q81" i="9" s="1"/>
  <c r="Q190" i="9" a="1"/>
  <c r="Q190" i="9" s="1"/>
  <c r="S190" i="9" a="1"/>
  <c r="S190" i="9" s="1"/>
  <c r="T190" i="9" s="1"/>
  <c r="Q212" i="9" a="1"/>
  <c r="Q212" i="9" s="1"/>
  <c r="S212" i="9" a="1"/>
  <c r="S212" i="9" s="1"/>
  <c r="Q215" i="9" a="1"/>
  <c r="Q215" i="9" s="1"/>
  <c r="S215" i="9" a="1"/>
  <c r="S215" i="9" s="1"/>
  <c r="T215" i="9" s="1"/>
  <c r="S361" i="9" a="1"/>
  <c r="S361" i="9" s="1"/>
  <c r="T361" i="9" s="1"/>
  <c r="Q361" i="9" a="1"/>
  <c r="Q361" i="9" s="1"/>
  <c r="Q393" i="9" a="1"/>
  <c r="Q393" i="9" s="1"/>
  <c r="S393" i="9" a="1"/>
  <c r="S393" i="9" s="1"/>
  <c r="T393" i="9" s="1"/>
  <c r="S245" i="9" a="1"/>
  <c r="S245" i="9" s="1"/>
  <c r="T245" i="9" s="1"/>
  <c r="Q245" i="9" a="1"/>
  <c r="Q245" i="9" s="1"/>
  <c r="S3" i="9" a="1"/>
  <c r="S3" i="9" s="1"/>
  <c r="Q3" i="9" a="1"/>
  <c r="Q3" i="9" s="1"/>
  <c r="T3" i="9" s="1"/>
  <c r="U3" i="9" s="1"/>
  <c r="W3" i="9" s="1"/>
  <c r="E4" i="8" s="1"/>
  <c r="T170" i="9"/>
  <c r="T251" i="9"/>
  <c r="T94" i="9"/>
  <c r="T65" i="9"/>
  <c r="S143" i="9" a="1"/>
  <c r="S143" i="9" s="1"/>
  <c r="T143" i="9" s="1"/>
  <c r="Q143" i="9" a="1"/>
  <c r="Q143" i="9" s="1"/>
  <c r="Q6" i="9" a="1"/>
  <c r="Q6" i="9" s="1"/>
  <c r="T6" i="9" s="1"/>
  <c r="S6" i="9" a="1"/>
  <c r="S6" i="9" s="1"/>
  <c r="S177" i="9" a="1"/>
  <c r="S177" i="9" s="1"/>
  <c r="Q177" i="9" a="1"/>
  <c r="Q177" i="9" s="1"/>
  <c r="S267" i="9" a="1"/>
  <c r="S267" i="9" s="1"/>
  <c r="T267" i="9" s="1"/>
  <c r="Q267" i="9" a="1"/>
  <c r="Q267" i="9" s="1"/>
  <c r="Q294" i="9" a="1"/>
  <c r="Q294" i="9" s="1"/>
  <c r="S294" i="9" a="1"/>
  <c r="S294" i="9" s="1"/>
  <c r="T294" i="9" s="1"/>
  <c r="S186" i="9" a="1"/>
  <c r="S186" i="9" s="1"/>
  <c r="Q186" i="9" a="1"/>
  <c r="Q186" i="9" s="1"/>
  <c r="R391" i="9" a="1"/>
  <c r="R391" i="9" s="1"/>
  <c r="T9" i="9"/>
  <c r="S72" i="9" a="1"/>
  <c r="S72" i="9" s="1"/>
  <c r="T72" i="9" s="1"/>
  <c r="Q72" i="9" a="1"/>
  <c r="Q72" i="9" s="1"/>
  <c r="R372" i="9" a="1"/>
  <c r="R372" i="9" s="1"/>
  <c r="R371" i="9" a="1"/>
  <c r="R371" i="9" s="1"/>
  <c r="T371" i="9" s="1"/>
  <c r="S64" i="9" a="1"/>
  <c r="S64" i="9" s="1"/>
  <c r="Q64" i="9" a="1"/>
  <c r="Q64" i="9" s="1"/>
  <c r="T64" i="9" s="1"/>
  <c r="S195" i="9" a="1"/>
  <c r="S195" i="9" s="1"/>
  <c r="T195" i="9" s="1"/>
  <c r="Q195" i="9" a="1"/>
  <c r="Q195" i="9" s="1"/>
  <c r="S146" i="9" a="1"/>
  <c r="S146" i="9" s="1"/>
  <c r="Q146" i="9" a="1"/>
  <c r="Q146" i="9" s="1"/>
  <c r="R212" i="9" a="1"/>
  <c r="R212" i="9" s="1"/>
  <c r="Q10" i="9" a="1"/>
  <c r="Q10" i="9" s="1"/>
  <c r="S10" i="9" a="1"/>
  <c r="S10" i="9" s="1"/>
  <c r="T10" i="9" s="1"/>
  <c r="S176" i="9" a="1"/>
  <c r="S176" i="9" s="1"/>
  <c r="T176" i="9" s="1"/>
  <c r="Q176" i="9" a="1"/>
  <c r="Q176" i="9" s="1"/>
  <c r="S115" i="9" a="1"/>
  <c r="S115" i="9" s="1"/>
  <c r="Q115" i="9" a="1"/>
  <c r="Q115" i="9" s="1"/>
  <c r="Q204" i="9" a="1"/>
  <c r="Q204" i="9" s="1"/>
  <c r="S204" i="9" a="1"/>
  <c r="S204" i="9" s="1"/>
  <c r="T204" i="9" s="1"/>
  <c r="S60" i="9" a="1"/>
  <c r="S60" i="9" s="1"/>
  <c r="Q60" i="9" a="1"/>
  <c r="Q60" i="9" s="1"/>
  <c r="S335" i="9" a="1"/>
  <c r="S335" i="9" s="1"/>
  <c r="Q335" i="9" a="1"/>
  <c r="Q335" i="9" s="1"/>
  <c r="S153" i="9" a="1"/>
  <c r="S153" i="9" s="1"/>
  <c r="Q153" i="9" a="1"/>
  <c r="Q153" i="9" s="1"/>
  <c r="Q79" i="9" a="1"/>
  <c r="Q79" i="9" s="1"/>
  <c r="S79" i="9" a="1"/>
  <c r="S79" i="9" s="1"/>
  <c r="T79" i="9" s="1"/>
  <c r="Q254" i="9" a="1"/>
  <c r="Q254" i="9" s="1"/>
  <c r="S254" i="9" a="1"/>
  <c r="S254" i="9" s="1"/>
  <c r="Q255" i="9" a="1"/>
  <c r="Q255" i="9" s="1"/>
  <c r="S255" i="9" a="1"/>
  <c r="S255" i="9" s="1"/>
  <c r="Q339" i="9" a="1"/>
  <c r="Q339" i="9" s="1"/>
  <c r="S339" i="9" a="1"/>
  <c r="S339" i="9" s="1"/>
  <c r="T339" i="9" s="1"/>
  <c r="R5" i="9" a="1"/>
  <c r="R5" i="9" s="1"/>
  <c r="S218" i="9" a="1"/>
  <c r="S218" i="9" s="1"/>
  <c r="T218" i="9" s="1"/>
  <c r="Q218" i="9" a="1"/>
  <c r="Q218" i="9" s="1"/>
  <c r="Q284" i="9" a="1"/>
  <c r="Q284" i="9" s="1"/>
  <c r="S284" i="9" a="1"/>
  <c r="S284" i="9" s="1"/>
  <c r="T284" i="9" s="1"/>
  <c r="Q356" i="9" a="1"/>
  <c r="Q356" i="9" s="1"/>
  <c r="S356" i="9" a="1"/>
  <c r="S356" i="9" s="1"/>
  <c r="T356" i="9" s="1"/>
  <c r="S238" i="9" a="1"/>
  <c r="S238" i="9" s="1"/>
  <c r="Q238" i="9" a="1"/>
  <c r="Q238" i="9" s="1"/>
  <c r="S16" i="9" a="1"/>
  <c r="S16" i="9" s="1"/>
  <c r="Q16" i="9" a="1"/>
  <c r="Q16" i="9" s="1"/>
  <c r="Q371" i="9" a="1"/>
  <c r="Q371" i="9" s="1"/>
  <c r="S371" i="9" a="1"/>
  <c r="S371" i="9" s="1"/>
  <c r="S101" i="9" a="1"/>
  <c r="S101" i="9" s="1"/>
  <c r="Q101" i="9" a="1"/>
  <c r="Q101" i="9" s="1"/>
  <c r="T101" i="9" s="1"/>
  <c r="S148" i="9" a="1"/>
  <c r="S148" i="9" s="1"/>
  <c r="Q148" i="9" a="1"/>
  <c r="Q148" i="9" s="1"/>
  <c r="S377" i="9" a="1"/>
  <c r="S377" i="9" s="1"/>
  <c r="Q377" i="9" a="1"/>
  <c r="Q377" i="9" s="1"/>
  <c r="S118" i="9" a="1"/>
  <c r="S118" i="9" s="1"/>
  <c r="T118" i="9" s="1"/>
  <c r="Q118" i="9" a="1"/>
  <c r="Q118" i="9" s="1"/>
  <c r="Q387" i="9" a="1"/>
  <c r="Q387" i="9" s="1"/>
  <c r="S387" i="9" a="1"/>
  <c r="S387" i="9" s="1"/>
  <c r="T387" i="9" s="1"/>
  <c r="V4" i="10"/>
  <c r="E383" i="9"/>
  <c r="E309" i="9"/>
  <c r="G309" i="9" s="1"/>
  <c r="F355" i="9"/>
  <c r="H355" i="9" s="1"/>
  <c r="T17" i="10"/>
  <c r="T18" i="10"/>
  <c r="T19" i="10"/>
  <c r="T20" i="10"/>
  <c r="T21" i="10"/>
  <c r="T22" i="10"/>
  <c r="T5" i="10"/>
  <c r="T14" i="10"/>
  <c r="T15" i="10"/>
  <c r="T24" i="10"/>
  <c r="T6" i="10"/>
  <c r="T7" i="10"/>
  <c r="T8" i="10"/>
  <c r="T13" i="10"/>
  <c r="T16" i="10"/>
  <c r="T9" i="10"/>
  <c r="T10" i="10"/>
  <c r="T11" i="10"/>
  <c r="T12" i="10"/>
  <c r="T23" i="10"/>
  <c r="J376" i="9"/>
  <c r="F376" i="9"/>
  <c r="H376" i="9" s="1"/>
  <c r="E376" i="9"/>
  <c r="J348" i="9"/>
  <c r="F348" i="9"/>
  <c r="H348" i="9" s="1"/>
  <c r="E348" i="9"/>
  <c r="J320" i="9"/>
  <c r="F320" i="9"/>
  <c r="H320" i="9" s="1"/>
  <c r="E320" i="9"/>
  <c r="J292" i="9"/>
  <c r="F292" i="9"/>
  <c r="H292" i="9" s="1"/>
  <c r="E292" i="9"/>
  <c r="J264" i="9"/>
  <c r="F264" i="9"/>
  <c r="H264" i="9" s="1"/>
  <c r="E264" i="9"/>
  <c r="J236" i="9"/>
  <c r="E236" i="9"/>
  <c r="F236" i="9"/>
  <c r="H236" i="9" s="1"/>
  <c r="J208" i="9"/>
  <c r="F208" i="9"/>
  <c r="H208" i="9" s="1"/>
  <c r="E208" i="9"/>
  <c r="J180" i="9"/>
  <c r="F180" i="9"/>
  <c r="H180" i="9" s="1"/>
  <c r="E180" i="9"/>
  <c r="J152" i="9"/>
  <c r="F152" i="9"/>
  <c r="H152" i="9" s="1"/>
  <c r="E152" i="9"/>
  <c r="J124" i="9"/>
  <c r="F124" i="9"/>
  <c r="H124" i="9" s="1"/>
  <c r="E124" i="9"/>
  <c r="J96" i="9"/>
  <c r="F96" i="9"/>
  <c r="H96" i="9" s="1"/>
  <c r="E96" i="9"/>
  <c r="J68" i="9"/>
  <c r="E68" i="9"/>
  <c r="F68" i="9"/>
  <c r="H68" i="9" s="1"/>
  <c r="J40" i="9"/>
  <c r="F40" i="9"/>
  <c r="H40" i="9" s="1"/>
  <c r="E40" i="9"/>
  <c r="J12" i="9"/>
  <c r="F12" i="9"/>
  <c r="H12" i="9" s="1"/>
  <c r="E12" i="9"/>
  <c r="J377" i="9"/>
  <c r="F377" i="9"/>
  <c r="H377" i="9" s="1"/>
  <c r="E377" i="9"/>
  <c r="J293" i="9"/>
  <c r="F293" i="9"/>
  <c r="H293" i="9" s="1"/>
  <c r="E293" i="9"/>
  <c r="J181" i="9"/>
  <c r="F181" i="9"/>
  <c r="H181" i="9" s="1"/>
  <c r="E181" i="9"/>
  <c r="J69" i="9"/>
  <c r="E69" i="9"/>
  <c r="F69" i="9"/>
  <c r="H69" i="9" s="1"/>
  <c r="J375" i="9"/>
  <c r="F375" i="9"/>
  <c r="H375" i="9" s="1"/>
  <c r="E375" i="9"/>
  <c r="J347" i="9"/>
  <c r="F347" i="9"/>
  <c r="H347" i="9" s="1"/>
  <c r="J319" i="9"/>
  <c r="F319" i="9"/>
  <c r="H319" i="9" s="1"/>
  <c r="E319" i="9"/>
  <c r="J291" i="9"/>
  <c r="F291" i="9"/>
  <c r="H291" i="9" s="1"/>
  <c r="E291" i="9"/>
  <c r="J263" i="9"/>
  <c r="F263" i="9"/>
  <c r="H263" i="9" s="1"/>
  <c r="E263" i="9"/>
  <c r="J235" i="9"/>
  <c r="E235" i="9"/>
  <c r="F235" i="9"/>
  <c r="H235" i="9" s="1"/>
  <c r="J207" i="9"/>
  <c r="F207" i="9"/>
  <c r="H207" i="9" s="1"/>
  <c r="E207" i="9"/>
  <c r="J179" i="9"/>
  <c r="F179" i="9"/>
  <c r="H179" i="9" s="1"/>
  <c r="E179" i="9"/>
  <c r="J151" i="9"/>
  <c r="F151" i="9"/>
  <c r="H151" i="9" s="1"/>
  <c r="E151" i="9"/>
  <c r="J123" i="9"/>
  <c r="F123" i="9"/>
  <c r="H123" i="9" s="1"/>
  <c r="E123" i="9"/>
  <c r="J95" i="9"/>
  <c r="F95" i="9"/>
  <c r="H95" i="9" s="1"/>
  <c r="E95" i="9"/>
  <c r="J67" i="9"/>
  <c r="E67" i="9"/>
  <c r="F67" i="9"/>
  <c r="H67" i="9" s="1"/>
  <c r="J39" i="9"/>
  <c r="F39" i="9"/>
  <c r="H39" i="9" s="1"/>
  <c r="E39" i="9"/>
  <c r="J11" i="9"/>
  <c r="F11" i="9"/>
  <c r="H11" i="9" s="1"/>
  <c r="E11" i="9"/>
  <c r="K374" i="9"/>
  <c r="G374" i="9"/>
  <c r="K84" i="9"/>
  <c r="G84" i="9"/>
  <c r="J349" i="9"/>
  <c r="F349" i="9"/>
  <c r="H349" i="9" s="1"/>
  <c r="E349" i="9"/>
  <c r="J237" i="9"/>
  <c r="F237" i="9"/>
  <c r="H237" i="9" s="1"/>
  <c r="E237" i="9"/>
  <c r="J153" i="9"/>
  <c r="F153" i="9"/>
  <c r="H153" i="9" s="1"/>
  <c r="E153" i="9"/>
  <c r="J13" i="9"/>
  <c r="F13" i="9"/>
  <c r="H13" i="9" s="1"/>
  <c r="E13" i="9"/>
  <c r="K83" i="9"/>
  <c r="G83" i="9"/>
  <c r="K82" i="9"/>
  <c r="G82" i="9"/>
  <c r="K347" i="9"/>
  <c r="G347" i="9"/>
  <c r="K346" i="9"/>
  <c r="G346" i="9"/>
  <c r="J41" i="9"/>
  <c r="F41" i="9"/>
  <c r="H41" i="9" s="1"/>
  <c r="E41" i="9"/>
  <c r="J97" i="9"/>
  <c r="E97" i="9"/>
  <c r="F97" i="9"/>
  <c r="H97" i="9" s="1"/>
  <c r="K228" i="9"/>
  <c r="G228" i="9"/>
  <c r="J321" i="9"/>
  <c r="F321" i="9"/>
  <c r="H321" i="9" s="1"/>
  <c r="E321" i="9"/>
  <c r="J209" i="9"/>
  <c r="F209" i="9"/>
  <c r="H209" i="9" s="1"/>
  <c r="E209" i="9"/>
  <c r="J125" i="9"/>
  <c r="F125" i="9"/>
  <c r="H125" i="9" s="1"/>
  <c r="E125" i="9"/>
  <c r="K227" i="9"/>
  <c r="G227" i="9"/>
  <c r="J265" i="9"/>
  <c r="F265" i="9"/>
  <c r="H265" i="9" s="1"/>
  <c r="E265" i="9"/>
  <c r="J346" i="9"/>
  <c r="F346" i="9"/>
  <c r="H346" i="9" s="1"/>
  <c r="J260" i="9"/>
  <c r="F260" i="9"/>
  <c r="H260" i="9" s="1"/>
  <c r="E260" i="9"/>
  <c r="J203" i="9"/>
  <c r="F203" i="9"/>
  <c r="H203" i="9" s="1"/>
  <c r="E203" i="9"/>
  <c r="J202" i="9"/>
  <c r="F202" i="9"/>
  <c r="H202" i="9" s="1"/>
  <c r="E202" i="9"/>
  <c r="J61" i="9"/>
  <c r="F61" i="9"/>
  <c r="H61" i="9" s="1"/>
  <c r="E61" i="9"/>
  <c r="J396" i="9"/>
  <c r="F396" i="9"/>
  <c r="H396" i="9" s="1"/>
  <c r="E396" i="9"/>
  <c r="J60" i="9"/>
  <c r="F60" i="9"/>
  <c r="H60" i="9" s="1"/>
  <c r="E60" i="9"/>
  <c r="J367" i="9"/>
  <c r="F367" i="9"/>
  <c r="H367" i="9" s="1"/>
  <c r="E367" i="9"/>
  <c r="J87" i="9"/>
  <c r="F87" i="9"/>
  <c r="H87" i="9" s="1"/>
  <c r="E87" i="9"/>
  <c r="K308" i="9"/>
  <c r="G308" i="9"/>
  <c r="K307" i="9"/>
  <c r="G307" i="9"/>
  <c r="K224" i="9"/>
  <c r="G224" i="9"/>
  <c r="K223" i="9"/>
  <c r="G223" i="9"/>
  <c r="K165" i="9"/>
  <c r="G165" i="9"/>
  <c r="K222" i="9"/>
  <c r="G222" i="9"/>
  <c r="J234" i="9"/>
  <c r="E234" i="9"/>
  <c r="F234" i="9"/>
  <c r="H234" i="9" s="1"/>
  <c r="J38" i="9"/>
  <c r="F38" i="9"/>
  <c r="H38" i="9" s="1"/>
  <c r="E38" i="9"/>
  <c r="J317" i="9"/>
  <c r="F317" i="9"/>
  <c r="H317" i="9" s="1"/>
  <c r="E317" i="9"/>
  <c r="J233" i="9"/>
  <c r="E233" i="9"/>
  <c r="F233" i="9"/>
  <c r="H233" i="9" s="1"/>
  <c r="J149" i="9"/>
  <c r="F149" i="9"/>
  <c r="H149" i="9" s="1"/>
  <c r="E149" i="9"/>
  <c r="J9" i="9"/>
  <c r="F9" i="9"/>
  <c r="H9" i="9" s="1"/>
  <c r="E9" i="9"/>
  <c r="J288" i="9"/>
  <c r="F288" i="9"/>
  <c r="H288" i="9" s="1"/>
  <c r="E288" i="9"/>
  <c r="J148" i="9"/>
  <c r="F148" i="9"/>
  <c r="H148" i="9" s="1"/>
  <c r="E148" i="9"/>
  <c r="J8" i="9"/>
  <c r="F8" i="9"/>
  <c r="H8" i="9" s="1"/>
  <c r="E8" i="9"/>
  <c r="K56" i="9"/>
  <c r="G56" i="9"/>
  <c r="J315" i="9"/>
  <c r="F315" i="9"/>
  <c r="H315" i="9" s="1"/>
  <c r="E315" i="9"/>
  <c r="J147" i="9"/>
  <c r="F147" i="9"/>
  <c r="H147" i="9" s="1"/>
  <c r="E147" i="9"/>
  <c r="J286" i="9"/>
  <c r="F286" i="9"/>
  <c r="H286" i="9" s="1"/>
  <c r="E286" i="9"/>
  <c r="J34" i="9"/>
  <c r="F34" i="9"/>
  <c r="H34" i="9" s="1"/>
  <c r="E34" i="9"/>
  <c r="J341" i="9"/>
  <c r="F341" i="9"/>
  <c r="H341" i="9" s="1"/>
  <c r="E341" i="9"/>
  <c r="J201" i="9"/>
  <c r="F201" i="9"/>
  <c r="H201" i="9" s="1"/>
  <c r="E201" i="9"/>
  <c r="J33" i="9"/>
  <c r="F33" i="9"/>
  <c r="H33" i="9" s="1"/>
  <c r="E33" i="9"/>
  <c r="J312" i="9"/>
  <c r="F312" i="9"/>
  <c r="H312" i="9" s="1"/>
  <c r="E312" i="9"/>
  <c r="J200" i="9"/>
  <c r="F200" i="9"/>
  <c r="H200" i="9" s="1"/>
  <c r="E200" i="9"/>
  <c r="J339" i="9"/>
  <c r="F339" i="9"/>
  <c r="H339" i="9" s="1"/>
  <c r="E339" i="9"/>
  <c r="J171" i="9"/>
  <c r="F171" i="9"/>
  <c r="H171" i="9" s="1"/>
  <c r="E171" i="9"/>
  <c r="J59" i="9"/>
  <c r="F59" i="9"/>
  <c r="H59" i="9" s="1"/>
  <c r="E59" i="9"/>
  <c r="J254" i="9"/>
  <c r="F254" i="9"/>
  <c r="H254" i="9" s="1"/>
  <c r="E254" i="9"/>
  <c r="J142" i="9"/>
  <c r="F142" i="9"/>
  <c r="H142" i="9" s="1"/>
  <c r="E142" i="9"/>
  <c r="J58" i="9"/>
  <c r="F58" i="9"/>
  <c r="H58" i="9" s="1"/>
  <c r="E58" i="9"/>
  <c r="K381" i="9"/>
  <c r="G381" i="9"/>
  <c r="K220" i="9"/>
  <c r="G220" i="9"/>
  <c r="K380" i="9"/>
  <c r="G380" i="9"/>
  <c r="K212" i="9"/>
  <c r="G212" i="9"/>
  <c r="J206" i="9"/>
  <c r="F206" i="9"/>
  <c r="H206" i="9" s="1"/>
  <c r="J373" i="9"/>
  <c r="F373" i="9"/>
  <c r="H373" i="9" s="1"/>
  <c r="J261" i="9"/>
  <c r="F261" i="9"/>
  <c r="H261" i="9" s="1"/>
  <c r="E261" i="9"/>
  <c r="J121" i="9"/>
  <c r="F121" i="9"/>
  <c r="H121" i="9" s="1"/>
  <c r="J316" i="9"/>
  <c r="F316" i="9"/>
  <c r="H316" i="9" s="1"/>
  <c r="E316" i="9"/>
  <c r="J176" i="9"/>
  <c r="F176" i="9"/>
  <c r="H176" i="9" s="1"/>
  <c r="E176" i="9"/>
  <c r="J36" i="9"/>
  <c r="F36" i="9"/>
  <c r="H36" i="9" s="1"/>
  <c r="E36" i="9"/>
  <c r="J343" i="9"/>
  <c r="F343" i="9"/>
  <c r="H343" i="9" s="1"/>
  <c r="E343" i="9"/>
  <c r="J231" i="9"/>
  <c r="F231" i="9"/>
  <c r="H231" i="9" s="1"/>
  <c r="E231" i="9"/>
  <c r="J63" i="9"/>
  <c r="F63" i="9"/>
  <c r="H63" i="9" s="1"/>
  <c r="E63" i="9"/>
  <c r="J370" i="9"/>
  <c r="F370" i="9"/>
  <c r="H370" i="9" s="1"/>
  <c r="E370" i="9"/>
  <c r="J174" i="9"/>
  <c r="F174" i="9"/>
  <c r="H174" i="9" s="1"/>
  <c r="E174" i="9"/>
  <c r="J285" i="9"/>
  <c r="F285" i="9"/>
  <c r="H285" i="9" s="1"/>
  <c r="E285" i="9"/>
  <c r="J145" i="9"/>
  <c r="F145" i="9"/>
  <c r="H145" i="9" s="1"/>
  <c r="E145" i="9"/>
  <c r="K53" i="9"/>
  <c r="G53" i="9"/>
  <c r="J340" i="9"/>
  <c r="F340" i="9"/>
  <c r="H340" i="9" s="1"/>
  <c r="E340" i="9"/>
  <c r="J284" i="9"/>
  <c r="F284" i="9"/>
  <c r="H284" i="9" s="1"/>
  <c r="E284" i="9"/>
  <c r="J172" i="9"/>
  <c r="F172" i="9"/>
  <c r="H172" i="9" s="1"/>
  <c r="E172" i="9"/>
  <c r="J4" i="9"/>
  <c r="F4" i="9"/>
  <c r="H4" i="9" s="1"/>
  <c r="E4" i="9"/>
  <c r="J395" i="9"/>
  <c r="F395" i="9"/>
  <c r="H395" i="9" s="1"/>
  <c r="E395" i="9"/>
  <c r="J255" i="9"/>
  <c r="F255" i="9"/>
  <c r="H255" i="9" s="1"/>
  <c r="E255" i="9"/>
  <c r="J115" i="9"/>
  <c r="F115" i="9"/>
  <c r="H115" i="9" s="1"/>
  <c r="E115" i="9"/>
  <c r="K250" i="9"/>
  <c r="G250" i="9"/>
  <c r="J338" i="9"/>
  <c r="F338" i="9"/>
  <c r="H338" i="9" s="1"/>
  <c r="E338" i="9"/>
  <c r="J226" i="9"/>
  <c r="F226" i="9"/>
  <c r="H226" i="9" s="1"/>
  <c r="J86" i="9"/>
  <c r="F86" i="9"/>
  <c r="H86" i="9" s="1"/>
  <c r="E86" i="9"/>
  <c r="K49" i="9"/>
  <c r="G49" i="9"/>
  <c r="K378" i="9"/>
  <c r="G378" i="9"/>
  <c r="K210" i="9"/>
  <c r="G210" i="9"/>
  <c r="J318" i="9"/>
  <c r="F318" i="9"/>
  <c r="H318" i="9" s="1"/>
  <c r="E318" i="9"/>
  <c r="J178" i="9"/>
  <c r="F178" i="9"/>
  <c r="H178" i="9" s="1"/>
  <c r="E178" i="9"/>
  <c r="J10" i="9"/>
  <c r="F10" i="9"/>
  <c r="H10" i="9" s="1"/>
  <c r="E10" i="9"/>
  <c r="J289" i="9"/>
  <c r="F289" i="9"/>
  <c r="H289" i="9" s="1"/>
  <c r="E289" i="9"/>
  <c r="J205" i="9"/>
  <c r="F205" i="9"/>
  <c r="H205" i="9" s="1"/>
  <c r="E205" i="9"/>
  <c r="J65" i="9"/>
  <c r="F65" i="9"/>
  <c r="H65" i="9" s="1"/>
  <c r="E65" i="9"/>
  <c r="K79" i="9"/>
  <c r="G79" i="9"/>
  <c r="J344" i="9"/>
  <c r="F344" i="9"/>
  <c r="H344" i="9" s="1"/>
  <c r="E344" i="9"/>
  <c r="J232" i="9"/>
  <c r="E232" i="9"/>
  <c r="J120" i="9"/>
  <c r="F120" i="9"/>
  <c r="H120" i="9" s="1"/>
  <c r="E120" i="9"/>
  <c r="J287" i="9"/>
  <c r="F287" i="9"/>
  <c r="H287" i="9" s="1"/>
  <c r="E287" i="9"/>
  <c r="J175" i="9"/>
  <c r="F175" i="9"/>
  <c r="H175" i="9" s="1"/>
  <c r="E175" i="9"/>
  <c r="J342" i="9"/>
  <c r="F342" i="9"/>
  <c r="H342" i="9" s="1"/>
  <c r="E342" i="9"/>
  <c r="J258" i="9"/>
  <c r="F258" i="9"/>
  <c r="H258" i="9" s="1"/>
  <c r="E258" i="9"/>
  <c r="J62" i="9"/>
  <c r="E62" i="9"/>
  <c r="F62" i="9"/>
  <c r="H62" i="9" s="1"/>
  <c r="F232" i="9"/>
  <c r="H232" i="9" s="1"/>
  <c r="J369" i="9"/>
  <c r="F369" i="9"/>
  <c r="H369" i="9" s="1"/>
  <c r="E369" i="9"/>
  <c r="J257" i="9"/>
  <c r="F257" i="9"/>
  <c r="H257" i="9" s="1"/>
  <c r="E257" i="9"/>
  <c r="J89" i="9"/>
  <c r="F89" i="9"/>
  <c r="H89" i="9" s="1"/>
  <c r="E89" i="9"/>
  <c r="J228" i="9"/>
  <c r="F228" i="9"/>
  <c r="H228" i="9" s="1"/>
  <c r="J199" i="9"/>
  <c r="F199" i="9"/>
  <c r="H199" i="9" s="1"/>
  <c r="E199" i="9"/>
  <c r="J3" i="9"/>
  <c r="F3" i="9"/>
  <c r="H3" i="9" s="1"/>
  <c r="E3" i="9"/>
  <c r="J394" i="9"/>
  <c r="F394" i="9"/>
  <c r="H394" i="9" s="1"/>
  <c r="E394" i="9"/>
  <c r="J282" i="9"/>
  <c r="F282" i="9"/>
  <c r="H282" i="9" s="1"/>
  <c r="E282" i="9"/>
  <c r="J198" i="9"/>
  <c r="F198" i="9"/>
  <c r="H198" i="9" s="1"/>
  <c r="E198" i="9"/>
  <c r="J114" i="9"/>
  <c r="F114" i="9"/>
  <c r="H114" i="9" s="1"/>
  <c r="E114" i="9"/>
  <c r="J94" i="9"/>
  <c r="F94" i="9"/>
  <c r="H94" i="9" s="1"/>
  <c r="E94" i="9"/>
  <c r="J37" i="9"/>
  <c r="F37" i="9"/>
  <c r="H37" i="9" s="1"/>
  <c r="E37" i="9"/>
  <c r="J118" i="9"/>
  <c r="F118" i="9"/>
  <c r="H118" i="9" s="1"/>
  <c r="E118" i="9"/>
  <c r="J397" i="9"/>
  <c r="F397" i="9"/>
  <c r="H397" i="9" s="1"/>
  <c r="E397" i="9"/>
  <c r="J32" i="9"/>
  <c r="F32" i="9"/>
  <c r="H32" i="9" s="1"/>
  <c r="E32" i="9"/>
  <c r="J143" i="9"/>
  <c r="F143" i="9"/>
  <c r="H143" i="9" s="1"/>
  <c r="E143" i="9"/>
  <c r="J150" i="9"/>
  <c r="F150" i="9"/>
  <c r="H150" i="9" s="1"/>
  <c r="E150" i="9"/>
  <c r="K81" i="9"/>
  <c r="G81" i="9"/>
  <c r="J177" i="9"/>
  <c r="F177" i="9"/>
  <c r="H177" i="9" s="1"/>
  <c r="E177" i="9"/>
  <c r="J204" i="9"/>
  <c r="F204" i="9"/>
  <c r="H204" i="9" s="1"/>
  <c r="E204" i="9"/>
  <c r="J259" i="9"/>
  <c r="F259" i="9"/>
  <c r="H259" i="9" s="1"/>
  <c r="E259" i="9"/>
  <c r="J35" i="9"/>
  <c r="F35" i="9"/>
  <c r="H35" i="9" s="1"/>
  <c r="E35" i="9"/>
  <c r="K55" i="9"/>
  <c r="G55" i="9"/>
  <c r="J314" i="9"/>
  <c r="F314" i="9"/>
  <c r="H314" i="9" s="1"/>
  <c r="E314" i="9"/>
  <c r="J146" i="9"/>
  <c r="F146" i="9"/>
  <c r="H146" i="9" s="1"/>
  <c r="E146" i="9"/>
  <c r="J6" i="9"/>
  <c r="F6" i="9"/>
  <c r="H6" i="9" s="1"/>
  <c r="E6" i="9"/>
  <c r="K54" i="9"/>
  <c r="G54" i="9"/>
  <c r="J173" i="9"/>
  <c r="F173" i="9"/>
  <c r="H173" i="9" s="1"/>
  <c r="E173" i="9"/>
  <c r="J88" i="9"/>
  <c r="F88" i="9"/>
  <c r="H88" i="9" s="1"/>
  <c r="E88" i="9"/>
  <c r="K52" i="9"/>
  <c r="G52" i="9"/>
  <c r="J283" i="9"/>
  <c r="F283" i="9"/>
  <c r="H283" i="9" s="1"/>
  <c r="E283" i="9"/>
  <c r="J31" i="9"/>
  <c r="F31" i="9"/>
  <c r="H31" i="9" s="1"/>
  <c r="E31" i="9"/>
  <c r="K50" i="9"/>
  <c r="G50" i="9"/>
  <c r="J310" i="9"/>
  <c r="E310" i="9"/>
  <c r="F310" i="9"/>
  <c r="H310" i="9" s="1"/>
  <c r="J170" i="9"/>
  <c r="F170" i="9"/>
  <c r="H170" i="9" s="1"/>
  <c r="E170" i="9"/>
  <c r="J30" i="9"/>
  <c r="F30" i="9"/>
  <c r="H30" i="9" s="1"/>
  <c r="E30" i="9"/>
  <c r="E226" i="9"/>
  <c r="E206" i="9"/>
  <c r="J374" i="9"/>
  <c r="F374" i="9"/>
  <c r="H374" i="9" s="1"/>
  <c r="J122" i="9"/>
  <c r="F122" i="9"/>
  <c r="H122" i="9" s="1"/>
  <c r="J345" i="9"/>
  <c r="F345" i="9"/>
  <c r="H345" i="9" s="1"/>
  <c r="E345" i="9"/>
  <c r="J93" i="9"/>
  <c r="F93" i="9"/>
  <c r="H93" i="9" s="1"/>
  <c r="E93" i="9"/>
  <c r="J372" i="9"/>
  <c r="F372" i="9"/>
  <c r="H372" i="9" s="1"/>
  <c r="J64" i="9"/>
  <c r="F64" i="9"/>
  <c r="H64" i="9" s="1"/>
  <c r="E64" i="9"/>
  <c r="J371" i="9"/>
  <c r="F371" i="9"/>
  <c r="H371" i="9" s="1"/>
  <c r="J91" i="9"/>
  <c r="F91" i="9"/>
  <c r="H91" i="9" s="1"/>
  <c r="E91" i="9"/>
  <c r="J90" i="9"/>
  <c r="F90" i="9"/>
  <c r="H90" i="9" s="1"/>
  <c r="E90" i="9"/>
  <c r="J313" i="9"/>
  <c r="F313" i="9"/>
  <c r="H313" i="9" s="1"/>
  <c r="E313" i="9"/>
  <c r="J5" i="9"/>
  <c r="F5" i="9"/>
  <c r="H5" i="9" s="1"/>
  <c r="E5" i="9"/>
  <c r="J368" i="9"/>
  <c r="F368" i="9"/>
  <c r="H368" i="9" s="1"/>
  <c r="E368" i="9"/>
  <c r="J116" i="9"/>
  <c r="F116" i="9"/>
  <c r="H116" i="9" s="1"/>
  <c r="E116" i="9"/>
  <c r="J227" i="9"/>
  <c r="F227" i="9"/>
  <c r="H227" i="9" s="1"/>
  <c r="J366" i="9"/>
  <c r="F366" i="9"/>
  <c r="H366" i="9" s="1"/>
  <c r="E366" i="9"/>
  <c r="E373" i="9"/>
  <c r="J66" i="9"/>
  <c r="E66" i="9"/>
  <c r="F66" i="9"/>
  <c r="H66" i="9" s="1"/>
  <c r="J117" i="9"/>
  <c r="F117" i="9"/>
  <c r="H117" i="9" s="1"/>
  <c r="E117" i="9"/>
  <c r="E372" i="9"/>
  <c r="J290" i="9"/>
  <c r="F290" i="9"/>
  <c r="H290" i="9" s="1"/>
  <c r="E290" i="9"/>
  <c r="J119" i="9"/>
  <c r="F119" i="9"/>
  <c r="H119" i="9" s="1"/>
  <c r="E119" i="9"/>
  <c r="J229" i="9"/>
  <c r="F229" i="9"/>
  <c r="H229" i="9" s="1"/>
  <c r="E229" i="9"/>
  <c r="J256" i="9"/>
  <c r="F256" i="9"/>
  <c r="H256" i="9" s="1"/>
  <c r="E256" i="9"/>
  <c r="J311" i="9"/>
  <c r="F311" i="9"/>
  <c r="H311" i="9" s="1"/>
  <c r="E311" i="9"/>
  <c r="E371" i="9"/>
  <c r="E122" i="9"/>
  <c r="J262" i="9"/>
  <c r="F262" i="9"/>
  <c r="H262" i="9" s="1"/>
  <c r="E262" i="9"/>
  <c r="J92" i="9"/>
  <c r="F92" i="9"/>
  <c r="H92" i="9" s="1"/>
  <c r="E92" i="9"/>
  <c r="J7" i="9"/>
  <c r="F7" i="9"/>
  <c r="H7" i="9" s="1"/>
  <c r="E7" i="9"/>
  <c r="J230" i="9"/>
  <c r="F230" i="9"/>
  <c r="H230" i="9" s="1"/>
  <c r="E230" i="9"/>
  <c r="J144" i="9"/>
  <c r="F144" i="9"/>
  <c r="H144" i="9" s="1"/>
  <c r="E144" i="9"/>
  <c r="E121" i="9"/>
  <c r="J393" i="9"/>
  <c r="F393" i="9"/>
  <c r="H393" i="9" s="1"/>
  <c r="E393" i="9"/>
  <c r="J365" i="9"/>
  <c r="F365" i="9"/>
  <c r="H365" i="9" s="1"/>
  <c r="E365" i="9"/>
  <c r="J337" i="9"/>
  <c r="F337" i="9"/>
  <c r="H337" i="9" s="1"/>
  <c r="E337" i="9"/>
  <c r="J281" i="9"/>
  <c r="F281" i="9"/>
  <c r="H281" i="9" s="1"/>
  <c r="E281" i="9"/>
  <c r="J253" i="9"/>
  <c r="F253" i="9"/>
  <c r="H253" i="9" s="1"/>
  <c r="E253" i="9"/>
  <c r="J225" i="9"/>
  <c r="F225" i="9"/>
  <c r="H225" i="9" s="1"/>
  <c r="E225" i="9"/>
  <c r="J197" i="9"/>
  <c r="F197" i="9"/>
  <c r="H197" i="9" s="1"/>
  <c r="E197" i="9"/>
  <c r="J169" i="9"/>
  <c r="F169" i="9"/>
  <c r="H169" i="9" s="1"/>
  <c r="E169" i="9"/>
  <c r="J141" i="9"/>
  <c r="F141" i="9"/>
  <c r="H141" i="9" s="1"/>
  <c r="J113" i="9"/>
  <c r="F113" i="9"/>
  <c r="H113" i="9" s="1"/>
  <c r="E113" i="9"/>
  <c r="J85" i="9"/>
  <c r="F85" i="9"/>
  <c r="H85" i="9" s="1"/>
  <c r="E85" i="9"/>
  <c r="J57" i="9"/>
  <c r="F57" i="9"/>
  <c r="H57" i="9" s="1"/>
  <c r="E57" i="9"/>
  <c r="J29" i="9"/>
  <c r="F29" i="9"/>
  <c r="H29" i="9" s="1"/>
  <c r="E29" i="9"/>
  <c r="K48" i="9"/>
  <c r="G48" i="9"/>
  <c r="J392" i="9"/>
  <c r="F392" i="9"/>
  <c r="H392" i="9" s="1"/>
  <c r="E392" i="9"/>
  <c r="J364" i="9"/>
  <c r="F364" i="9"/>
  <c r="H364" i="9" s="1"/>
  <c r="E364" i="9"/>
  <c r="J336" i="9"/>
  <c r="F336" i="9"/>
  <c r="H336" i="9" s="1"/>
  <c r="E336" i="9"/>
  <c r="J308" i="9"/>
  <c r="F308" i="9"/>
  <c r="H308" i="9" s="1"/>
  <c r="J280" i="9"/>
  <c r="F280" i="9"/>
  <c r="H280" i="9" s="1"/>
  <c r="E280" i="9"/>
  <c r="J252" i="9"/>
  <c r="F252" i="9"/>
  <c r="H252" i="9" s="1"/>
  <c r="E252" i="9"/>
  <c r="J224" i="9"/>
  <c r="F224" i="9"/>
  <c r="H224" i="9" s="1"/>
  <c r="J196" i="9"/>
  <c r="F196" i="9"/>
  <c r="H196" i="9" s="1"/>
  <c r="E196" i="9"/>
  <c r="J168" i="9"/>
  <c r="F168" i="9"/>
  <c r="H168" i="9" s="1"/>
  <c r="J140" i="9"/>
  <c r="F140" i="9"/>
  <c r="H140" i="9" s="1"/>
  <c r="J112" i="9"/>
  <c r="F112" i="9"/>
  <c r="H112" i="9" s="1"/>
  <c r="E112" i="9"/>
  <c r="J84" i="9"/>
  <c r="F84" i="9"/>
  <c r="H84" i="9" s="1"/>
  <c r="J56" i="9"/>
  <c r="F56" i="9"/>
  <c r="H56" i="9" s="1"/>
  <c r="J28" i="9"/>
  <c r="F28" i="9"/>
  <c r="H28" i="9" s="1"/>
  <c r="E28" i="9"/>
  <c r="E168" i="9"/>
  <c r="K46" i="9"/>
  <c r="G46" i="9"/>
  <c r="J391" i="9"/>
  <c r="F391" i="9"/>
  <c r="H391" i="9" s="1"/>
  <c r="E391" i="9"/>
  <c r="J363" i="9"/>
  <c r="F363" i="9"/>
  <c r="H363" i="9" s="1"/>
  <c r="E363" i="9"/>
  <c r="J335" i="9"/>
  <c r="F335" i="9"/>
  <c r="H335" i="9" s="1"/>
  <c r="E335" i="9"/>
  <c r="J307" i="9"/>
  <c r="F307" i="9"/>
  <c r="H307" i="9" s="1"/>
  <c r="J279" i="9"/>
  <c r="F279" i="9"/>
  <c r="H279" i="9" s="1"/>
  <c r="E279" i="9"/>
  <c r="J251" i="9"/>
  <c r="F251" i="9"/>
  <c r="H251" i="9" s="1"/>
  <c r="E251" i="9"/>
  <c r="J223" i="9"/>
  <c r="F223" i="9"/>
  <c r="H223" i="9" s="1"/>
  <c r="J195" i="9"/>
  <c r="E195" i="9"/>
  <c r="F195" i="9"/>
  <c r="H195" i="9" s="1"/>
  <c r="J167" i="9"/>
  <c r="F167" i="9"/>
  <c r="H167" i="9" s="1"/>
  <c r="E167" i="9"/>
  <c r="J139" i="9"/>
  <c r="F139" i="9"/>
  <c r="H139" i="9" s="1"/>
  <c r="J111" i="9"/>
  <c r="F111" i="9"/>
  <c r="H111" i="9" s="1"/>
  <c r="E111" i="9"/>
  <c r="J83" i="9"/>
  <c r="F83" i="9"/>
  <c r="H83" i="9" s="1"/>
  <c r="J55" i="9"/>
  <c r="F55" i="9"/>
  <c r="H55" i="9" s="1"/>
  <c r="J27" i="9"/>
  <c r="F27" i="9"/>
  <c r="H27" i="9" s="1"/>
  <c r="E27" i="9"/>
  <c r="K299" i="9"/>
  <c r="G299" i="9"/>
  <c r="K166" i="9"/>
  <c r="G166" i="9"/>
  <c r="K298" i="9"/>
  <c r="G298" i="9"/>
  <c r="J389" i="9"/>
  <c r="F389" i="9"/>
  <c r="H389" i="9" s="1"/>
  <c r="E389" i="9"/>
  <c r="J361" i="9"/>
  <c r="F361" i="9"/>
  <c r="H361" i="9" s="1"/>
  <c r="E361" i="9"/>
  <c r="J333" i="9"/>
  <c r="F333" i="9"/>
  <c r="H333" i="9" s="1"/>
  <c r="E333" i="9"/>
  <c r="J305" i="9"/>
  <c r="E305" i="9"/>
  <c r="J277" i="9"/>
  <c r="F277" i="9"/>
  <c r="H277" i="9" s="1"/>
  <c r="E277" i="9"/>
  <c r="J249" i="9"/>
  <c r="F249" i="9"/>
  <c r="H249" i="9" s="1"/>
  <c r="E249" i="9"/>
  <c r="J221" i="9"/>
  <c r="E221" i="9"/>
  <c r="F221" i="9"/>
  <c r="H221" i="9" s="1"/>
  <c r="J193" i="9"/>
  <c r="E193" i="9"/>
  <c r="F193" i="9"/>
  <c r="H193" i="9" s="1"/>
  <c r="J165" i="9"/>
  <c r="F165" i="9"/>
  <c r="H165" i="9" s="1"/>
  <c r="J137" i="9"/>
  <c r="F137" i="9"/>
  <c r="H137" i="9" s="1"/>
  <c r="J109" i="9"/>
  <c r="F109" i="9"/>
  <c r="H109" i="9" s="1"/>
  <c r="E109" i="9"/>
  <c r="J81" i="9"/>
  <c r="F81" i="9"/>
  <c r="H81" i="9" s="1"/>
  <c r="J53" i="9"/>
  <c r="F53" i="9"/>
  <c r="H53" i="9" s="1"/>
  <c r="J25" i="9"/>
  <c r="F25" i="9"/>
  <c r="H25" i="9" s="1"/>
  <c r="E25" i="9"/>
  <c r="K297" i="9"/>
  <c r="G297" i="9"/>
  <c r="J388" i="9"/>
  <c r="F388" i="9"/>
  <c r="H388" i="9" s="1"/>
  <c r="E388" i="9"/>
  <c r="J360" i="9"/>
  <c r="E360" i="9"/>
  <c r="F360" i="9"/>
  <c r="H360" i="9" s="1"/>
  <c r="J332" i="9"/>
  <c r="F332" i="9"/>
  <c r="H332" i="9" s="1"/>
  <c r="E332" i="9"/>
  <c r="J304" i="9"/>
  <c r="E304" i="9"/>
  <c r="F304" i="9"/>
  <c r="H304" i="9" s="1"/>
  <c r="J276" i="9"/>
  <c r="F276" i="9"/>
  <c r="H276" i="9" s="1"/>
  <c r="E276" i="9"/>
  <c r="J248" i="9"/>
  <c r="F248" i="9"/>
  <c r="H248" i="9" s="1"/>
  <c r="E248" i="9"/>
  <c r="J220" i="9"/>
  <c r="F220" i="9"/>
  <c r="H220" i="9" s="1"/>
  <c r="J192" i="9"/>
  <c r="E192" i="9"/>
  <c r="F192" i="9"/>
  <c r="H192" i="9" s="1"/>
  <c r="J164" i="9"/>
  <c r="F164" i="9"/>
  <c r="H164" i="9" s="1"/>
  <c r="E164" i="9"/>
  <c r="J136" i="9"/>
  <c r="F136" i="9"/>
  <c r="H136" i="9" s="1"/>
  <c r="J108" i="9"/>
  <c r="F108" i="9"/>
  <c r="H108" i="9" s="1"/>
  <c r="E108" i="9"/>
  <c r="J80" i="9"/>
  <c r="F80" i="9"/>
  <c r="H80" i="9" s="1"/>
  <c r="E80" i="9"/>
  <c r="J52" i="9"/>
  <c r="F52" i="9"/>
  <c r="H52" i="9" s="1"/>
  <c r="J24" i="9"/>
  <c r="F24" i="9"/>
  <c r="H24" i="9" s="1"/>
  <c r="E24" i="9"/>
  <c r="K296" i="9"/>
  <c r="G296" i="9"/>
  <c r="E141" i="9"/>
  <c r="J387" i="9"/>
  <c r="F387" i="9"/>
  <c r="H387" i="9" s="1"/>
  <c r="E387" i="9"/>
  <c r="J359" i="9"/>
  <c r="E359" i="9"/>
  <c r="F359" i="9"/>
  <c r="H359" i="9" s="1"/>
  <c r="J331" i="9"/>
  <c r="F331" i="9"/>
  <c r="H331" i="9" s="1"/>
  <c r="E331" i="9"/>
  <c r="J303" i="9"/>
  <c r="E303" i="9"/>
  <c r="F303" i="9"/>
  <c r="H303" i="9" s="1"/>
  <c r="J275" i="9"/>
  <c r="F275" i="9"/>
  <c r="H275" i="9" s="1"/>
  <c r="E275" i="9"/>
  <c r="J247" i="9"/>
  <c r="F247" i="9"/>
  <c r="H247" i="9" s="1"/>
  <c r="E247" i="9"/>
  <c r="J219" i="9"/>
  <c r="E219" i="9"/>
  <c r="F219" i="9"/>
  <c r="H219" i="9" s="1"/>
  <c r="J191" i="9"/>
  <c r="F191" i="9"/>
  <c r="H191" i="9" s="1"/>
  <c r="E191" i="9"/>
  <c r="J163" i="9"/>
  <c r="F163" i="9"/>
  <c r="H163" i="9" s="1"/>
  <c r="E163" i="9"/>
  <c r="J135" i="9"/>
  <c r="F135" i="9"/>
  <c r="H135" i="9" s="1"/>
  <c r="J107" i="9"/>
  <c r="F107" i="9"/>
  <c r="H107" i="9" s="1"/>
  <c r="E107" i="9"/>
  <c r="J79" i="9"/>
  <c r="F79" i="9"/>
  <c r="H79" i="9" s="1"/>
  <c r="J51" i="9"/>
  <c r="F51" i="9"/>
  <c r="H51" i="9" s="1"/>
  <c r="E51" i="9"/>
  <c r="J23" i="9"/>
  <c r="F23" i="9"/>
  <c r="H23" i="9" s="1"/>
  <c r="E23" i="9"/>
  <c r="K294" i="9"/>
  <c r="G294" i="9"/>
  <c r="E140" i="9"/>
  <c r="J386" i="9"/>
  <c r="F386" i="9"/>
  <c r="H386" i="9" s="1"/>
  <c r="E386" i="9"/>
  <c r="J358" i="9"/>
  <c r="E358" i="9"/>
  <c r="F358" i="9"/>
  <c r="H358" i="9" s="1"/>
  <c r="J330" i="9"/>
  <c r="F330" i="9"/>
  <c r="H330" i="9" s="1"/>
  <c r="E330" i="9"/>
  <c r="J302" i="9"/>
  <c r="E302" i="9"/>
  <c r="F302" i="9"/>
  <c r="H302" i="9" s="1"/>
  <c r="J274" i="9"/>
  <c r="F274" i="9"/>
  <c r="H274" i="9" s="1"/>
  <c r="E274" i="9"/>
  <c r="J246" i="9"/>
  <c r="F246" i="9"/>
  <c r="H246" i="9" s="1"/>
  <c r="E246" i="9"/>
  <c r="J218" i="9"/>
  <c r="E218" i="9"/>
  <c r="F218" i="9"/>
  <c r="H218" i="9" s="1"/>
  <c r="J190" i="9"/>
  <c r="E190" i="9"/>
  <c r="F190" i="9"/>
  <c r="H190" i="9" s="1"/>
  <c r="J162" i="9"/>
  <c r="F162" i="9"/>
  <c r="H162" i="9" s="1"/>
  <c r="E162" i="9"/>
  <c r="J134" i="9"/>
  <c r="E134" i="9"/>
  <c r="F134" i="9"/>
  <c r="H134" i="9" s="1"/>
  <c r="J106" i="9"/>
  <c r="F106" i="9"/>
  <c r="H106" i="9" s="1"/>
  <c r="E106" i="9"/>
  <c r="J78" i="9"/>
  <c r="F78" i="9"/>
  <c r="H78" i="9" s="1"/>
  <c r="E78" i="9"/>
  <c r="J50" i="9"/>
  <c r="F50" i="9"/>
  <c r="H50" i="9" s="1"/>
  <c r="J22" i="9"/>
  <c r="F22" i="9"/>
  <c r="H22" i="9" s="1"/>
  <c r="E22" i="9"/>
  <c r="E139" i="9"/>
  <c r="F309" i="9"/>
  <c r="H309" i="9" s="1"/>
  <c r="J385" i="9"/>
  <c r="F385" i="9"/>
  <c r="H385" i="9" s="1"/>
  <c r="E385" i="9"/>
  <c r="J357" i="9"/>
  <c r="E357" i="9"/>
  <c r="J329" i="9"/>
  <c r="F329" i="9"/>
  <c r="H329" i="9" s="1"/>
  <c r="E329" i="9"/>
  <c r="J301" i="9"/>
  <c r="E301" i="9"/>
  <c r="F301" i="9"/>
  <c r="H301" i="9" s="1"/>
  <c r="J273" i="9"/>
  <c r="F273" i="9"/>
  <c r="H273" i="9" s="1"/>
  <c r="E273" i="9"/>
  <c r="J245" i="9"/>
  <c r="F245" i="9"/>
  <c r="H245" i="9" s="1"/>
  <c r="E245" i="9"/>
  <c r="J217" i="9"/>
  <c r="E217" i="9"/>
  <c r="F217" i="9"/>
  <c r="H217" i="9" s="1"/>
  <c r="J189" i="9"/>
  <c r="F189" i="9"/>
  <c r="H189" i="9" s="1"/>
  <c r="E189" i="9"/>
  <c r="J161" i="9"/>
  <c r="F161" i="9"/>
  <c r="H161" i="9" s="1"/>
  <c r="E161" i="9"/>
  <c r="J133" i="9"/>
  <c r="F133" i="9"/>
  <c r="H133" i="9" s="1"/>
  <c r="J105" i="9"/>
  <c r="F105" i="9"/>
  <c r="H105" i="9" s="1"/>
  <c r="E105" i="9"/>
  <c r="J77" i="9"/>
  <c r="F77" i="9"/>
  <c r="H77" i="9" s="1"/>
  <c r="E77" i="9"/>
  <c r="J49" i="9"/>
  <c r="F49" i="9"/>
  <c r="H49" i="9" s="1"/>
  <c r="J21" i="9"/>
  <c r="F21" i="9"/>
  <c r="H21" i="9" s="1"/>
  <c r="E21" i="9"/>
  <c r="E137" i="9"/>
  <c r="F305" i="9"/>
  <c r="H305" i="9" s="1"/>
  <c r="E136" i="9"/>
  <c r="E135" i="9"/>
  <c r="K383" i="9"/>
  <c r="G383" i="9"/>
  <c r="E133" i="9"/>
  <c r="K382" i="9"/>
  <c r="G382" i="9"/>
  <c r="J390" i="9"/>
  <c r="F390" i="9"/>
  <c r="H390" i="9" s="1"/>
  <c r="E390" i="9"/>
  <c r="J362" i="9"/>
  <c r="F362" i="9"/>
  <c r="H362" i="9" s="1"/>
  <c r="E362" i="9"/>
  <c r="J334" i="9"/>
  <c r="F334" i="9"/>
  <c r="H334" i="9" s="1"/>
  <c r="E334" i="9"/>
  <c r="J306" i="9"/>
  <c r="F306" i="9"/>
  <c r="H306" i="9" s="1"/>
  <c r="E306" i="9"/>
  <c r="J278" i="9"/>
  <c r="F278" i="9"/>
  <c r="H278" i="9" s="1"/>
  <c r="E278" i="9"/>
  <c r="J250" i="9"/>
  <c r="F250" i="9"/>
  <c r="H250" i="9" s="1"/>
  <c r="J222" i="9"/>
  <c r="F222" i="9"/>
  <c r="H222" i="9" s="1"/>
  <c r="J194" i="9"/>
  <c r="F194" i="9"/>
  <c r="H194" i="9" s="1"/>
  <c r="E194" i="9"/>
  <c r="J166" i="9"/>
  <c r="F166" i="9"/>
  <c r="H166" i="9" s="1"/>
  <c r="J138" i="9"/>
  <c r="F138" i="9"/>
  <c r="H138" i="9" s="1"/>
  <c r="E138" i="9"/>
  <c r="J110" i="9"/>
  <c r="F110" i="9"/>
  <c r="H110" i="9" s="1"/>
  <c r="E110" i="9"/>
  <c r="J82" i="9"/>
  <c r="F82" i="9"/>
  <c r="H82" i="9" s="1"/>
  <c r="J54" i="9"/>
  <c r="F54" i="9"/>
  <c r="H54" i="9" s="1"/>
  <c r="J26" i="9"/>
  <c r="F26" i="9"/>
  <c r="H26" i="9" s="1"/>
  <c r="E26" i="9"/>
  <c r="J384" i="9"/>
  <c r="F384" i="9"/>
  <c r="H384" i="9" s="1"/>
  <c r="J356" i="9"/>
  <c r="E356" i="9"/>
  <c r="J328" i="9"/>
  <c r="F328" i="9"/>
  <c r="H328" i="9" s="1"/>
  <c r="J300" i="9"/>
  <c r="E300" i="9"/>
  <c r="F300" i="9"/>
  <c r="H300" i="9" s="1"/>
  <c r="J272" i="9"/>
  <c r="F272" i="9"/>
  <c r="H272" i="9" s="1"/>
  <c r="E272" i="9"/>
  <c r="J244" i="9"/>
  <c r="F244" i="9"/>
  <c r="H244" i="9" s="1"/>
  <c r="E244" i="9"/>
  <c r="J216" i="9"/>
  <c r="F216" i="9"/>
  <c r="H216" i="9" s="1"/>
  <c r="E216" i="9"/>
  <c r="J188" i="9"/>
  <c r="F188" i="9"/>
  <c r="H188" i="9" s="1"/>
  <c r="E188" i="9"/>
  <c r="J160" i="9"/>
  <c r="F160" i="9"/>
  <c r="H160" i="9" s="1"/>
  <c r="E160" i="9"/>
  <c r="J132" i="9"/>
  <c r="F132" i="9"/>
  <c r="H132" i="9" s="1"/>
  <c r="E132" i="9"/>
  <c r="J104" i="9"/>
  <c r="F104" i="9"/>
  <c r="H104" i="9" s="1"/>
  <c r="E104" i="9"/>
  <c r="J76" i="9"/>
  <c r="F76" i="9"/>
  <c r="H76" i="9" s="1"/>
  <c r="E76" i="9"/>
  <c r="J48" i="9"/>
  <c r="F48" i="9"/>
  <c r="H48" i="9" s="1"/>
  <c r="J20" i="9"/>
  <c r="F20" i="9"/>
  <c r="H20" i="9" s="1"/>
  <c r="E20" i="9"/>
  <c r="K75" i="9"/>
  <c r="G75" i="9"/>
  <c r="K19" i="9"/>
  <c r="G19" i="9"/>
  <c r="J382" i="9"/>
  <c r="F382" i="9"/>
  <c r="H382" i="9" s="1"/>
  <c r="J354" i="9"/>
  <c r="E354" i="9"/>
  <c r="J326" i="9"/>
  <c r="F326" i="9"/>
  <c r="H326" i="9" s="1"/>
  <c r="J298" i="9"/>
  <c r="F298" i="9"/>
  <c r="H298" i="9" s="1"/>
  <c r="J270" i="9"/>
  <c r="F270" i="9"/>
  <c r="H270" i="9" s="1"/>
  <c r="E270" i="9"/>
  <c r="J242" i="9"/>
  <c r="F242" i="9"/>
  <c r="H242" i="9" s="1"/>
  <c r="E242" i="9"/>
  <c r="J214" i="9"/>
  <c r="F214" i="9"/>
  <c r="H214" i="9" s="1"/>
  <c r="E214" i="9"/>
  <c r="J186" i="9"/>
  <c r="F186" i="9"/>
  <c r="H186" i="9" s="1"/>
  <c r="E186" i="9"/>
  <c r="J158" i="9"/>
  <c r="F158" i="9"/>
  <c r="H158" i="9" s="1"/>
  <c r="E158" i="9"/>
  <c r="J130" i="9"/>
  <c r="F130" i="9"/>
  <c r="H130" i="9" s="1"/>
  <c r="E130" i="9"/>
  <c r="J102" i="9"/>
  <c r="F102" i="9"/>
  <c r="H102" i="9" s="1"/>
  <c r="E102" i="9"/>
  <c r="J74" i="9"/>
  <c r="E74" i="9"/>
  <c r="J46" i="9"/>
  <c r="F46" i="9"/>
  <c r="H46" i="9" s="1"/>
  <c r="J18" i="9"/>
  <c r="F18" i="9"/>
  <c r="H18" i="9" s="1"/>
  <c r="E18" i="9"/>
  <c r="J381" i="9"/>
  <c r="F381" i="9"/>
  <c r="H381" i="9" s="1"/>
  <c r="J353" i="9"/>
  <c r="F353" i="9"/>
  <c r="H353" i="9" s="1"/>
  <c r="E353" i="9"/>
  <c r="J325" i="9"/>
  <c r="F325" i="9"/>
  <c r="H325" i="9" s="1"/>
  <c r="E325" i="9"/>
  <c r="J297" i="9"/>
  <c r="F297" i="9"/>
  <c r="H297" i="9" s="1"/>
  <c r="J269" i="9"/>
  <c r="F269" i="9"/>
  <c r="H269" i="9" s="1"/>
  <c r="E269" i="9"/>
  <c r="J241" i="9"/>
  <c r="F241" i="9"/>
  <c r="H241" i="9" s="1"/>
  <c r="E241" i="9"/>
  <c r="J213" i="9"/>
  <c r="F213" i="9"/>
  <c r="H213" i="9" s="1"/>
  <c r="E213" i="9"/>
  <c r="J185" i="9"/>
  <c r="F185" i="9"/>
  <c r="H185" i="9" s="1"/>
  <c r="E185" i="9"/>
  <c r="J157" i="9"/>
  <c r="F157" i="9"/>
  <c r="H157" i="9" s="1"/>
  <c r="E157" i="9"/>
  <c r="J129" i="9"/>
  <c r="F129" i="9"/>
  <c r="H129" i="9" s="1"/>
  <c r="E129" i="9"/>
  <c r="J101" i="9"/>
  <c r="F101" i="9"/>
  <c r="H101" i="9" s="1"/>
  <c r="E101" i="9"/>
  <c r="J73" i="9"/>
  <c r="E73" i="9"/>
  <c r="J45" i="9"/>
  <c r="F45" i="9"/>
  <c r="H45" i="9" s="1"/>
  <c r="E45" i="9"/>
  <c r="J17" i="9"/>
  <c r="F17" i="9"/>
  <c r="H17" i="9" s="1"/>
  <c r="E17" i="9"/>
  <c r="E328" i="9"/>
  <c r="J380" i="9"/>
  <c r="F380" i="9"/>
  <c r="H380" i="9" s="1"/>
  <c r="J352" i="9"/>
  <c r="F352" i="9"/>
  <c r="H352" i="9" s="1"/>
  <c r="E352" i="9"/>
  <c r="J324" i="9"/>
  <c r="F324" i="9"/>
  <c r="H324" i="9" s="1"/>
  <c r="E324" i="9"/>
  <c r="J296" i="9"/>
  <c r="F296" i="9"/>
  <c r="H296" i="9" s="1"/>
  <c r="J268" i="9"/>
  <c r="F268" i="9"/>
  <c r="H268" i="9" s="1"/>
  <c r="E268" i="9"/>
  <c r="J240" i="9"/>
  <c r="F240" i="9"/>
  <c r="H240" i="9" s="1"/>
  <c r="E240" i="9"/>
  <c r="J212" i="9"/>
  <c r="F212" i="9"/>
  <c r="H212" i="9" s="1"/>
  <c r="J184" i="9"/>
  <c r="F184" i="9"/>
  <c r="H184" i="9" s="1"/>
  <c r="E184" i="9"/>
  <c r="J156" i="9"/>
  <c r="E156" i="9"/>
  <c r="F156" i="9"/>
  <c r="H156" i="9" s="1"/>
  <c r="J128" i="9"/>
  <c r="F128" i="9"/>
  <c r="H128" i="9" s="1"/>
  <c r="E128" i="9"/>
  <c r="J100" i="9"/>
  <c r="F100" i="9"/>
  <c r="H100" i="9" s="1"/>
  <c r="E100" i="9"/>
  <c r="J72" i="9"/>
  <c r="E72" i="9"/>
  <c r="J44" i="9"/>
  <c r="F44" i="9"/>
  <c r="H44" i="9" s="1"/>
  <c r="E44" i="9"/>
  <c r="J16" i="9"/>
  <c r="E16" i="9"/>
  <c r="F16" i="9"/>
  <c r="H16" i="9" s="1"/>
  <c r="K327" i="9"/>
  <c r="G327" i="9"/>
  <c r="J379" i="9"/>
  <c r="F379" i="9"/>
  <c r="H379" i="9" s="1"/>
  <c r="E379" i="9"/>
  <c r="J351" i="9"/>
  <c r="E351" i="9"/>
  <c r="J323" i="9"/>
  <c r="F323" i="9"/>
  <c r="H323" i="9" s="1"/>
  <c r="E323" i="9"/>
  <c r="J295" i="9"/>
  <c r="F295" i="9"/>
  <c r="H295" i="9" s="1"/>
  <c r="E295" i="9"/>
  <c r="J267" i="9"/>
  <c r="E267" i="9"/>
  <c r="F267" i="9"/>
  <c r="H267" i="9" s="1"/>
  <c r="J239" i="9"/>
  <c r="E239" i="9"/>
  <c r="F239" i="9"/>
  <c r="H239" i="9" s="1"/>
  <c r="J211" i="9"/>
  <c r="F211" i="9"/>
  <c r="H211" i="9" s="1"/>
  <c r="E211" i="9"/>
  <c r="J183" i="9"/>
  <c r="E183" i="9"/>
  <c r="F183" i="9"/>
  <c r="H183" i="9" s="1"/>
  <c r="J155" i="9"/>
  <c r="E155" i="9"/>
  <c r="F155" i="9"/>
  <c r="H155" i="9" s="1"/>
  <c r="J127" i="9"/>
  <c r="F127" i="9"/>
  <c r="H127" i="9" s="1"/>
  <c r="E127" i="9"/>
  <c r="J99" i="9"/>
  <c r="E99" i="9"/>
  <c r="F99" i="9"/>
  <c r="H99" i="9" s="1"/>
  <c r="J71" i="9"/>
  <c r="E71" i="9"/>
  <c r="J43" i="9"/>
  <c r="F43" i="9"/>
  <c r="H43" i="9" s="1"/>
  <c r="E43" i="9"/>
  <c r="J15" i="9"/>
  <c r="E15" i="9"/>
  <c r="F15" i="9"/>
  <c r="H15" i="9" s="1"/>
  <c r="E326" i="9"/>
  <c r="J378" i="9"/>
  <c r="F378" i="9"/>
  <c r="H378" i="9" s="1"/>
  <c r="J350" i="9"/>
  <c r="F350" i="9"/>
  <c r="H350" i="9" s="1"/>
  <c r="E350" i="9"/>
  <c r="J322" i="9"/>
  <c r="F322" i="9"/>
  <c r="H322" i="9" s="1"/>
  <c r="E322" i="9"/>
  <c r="J294" i="9"/>
  <c r="F294" i="9"/>
  <c r="H294" i="9" s="1"/>
  <c r="J266" i="9"/>
  <c r="F266" i="9"/>
  <c r="H266" i="9" s="1"/>
  <c r="E266" i="9"/>
  <c r="J238" i="9"/>
  <c r="F238" i="9"/>
  <c r="H238" i="9" s="1"/>
  <c r="E238" i="9"/>
  <c r="J210" i="9"/>
  <c r="F210" i="9"/>
  <c r="H210" i="9" s="1"/>
  <c r="J182" i="9"/>
  <c r="F182" i="9"/>
  <c r="H182" i="9" s="1"/>
  <c r="E182" i="9"/>
  <c r="J154" i="9"/>
  <c r="E154" i="9"/>
  <c r="F154" i="9"/>
  <c r="H154" i="9" s="1"/>
  <c r="J126" i="9"/>
  <c r="F126" i="9"/>
  <c r="H126" i="9" s="1"/>
  <c r="E126" i="9"/>
  <c r="J98" i="9"/>
  <c r="F98" i="9"/>
  <c r="H98" i="9" s="1"/>
  <c r="E98" i="9"/>
  <c r="J70" i="9"/>
  <c r="E70" i="9"/>
  <c r="J42" i="9"/>
  <c r="F42" i="9"/>
  <c r="H42" i="9" s="1"/>
  <c r="E42" i="9"/>
  <c r="J14" i="9"/>
  <c r="F14" i="9"/>
  <c r="H14" i="9" s="1"/>
  <c r="E14" i="9"/>
  <c r="E384" i="9"/>
  <c r="E355" i="9"/>
  <c r="F383" i="9"/>
  <c r="H383" i="9" s="1"/>
  <c r="J327" i="9"/>
  <c r="F327" i="9"/>
  <c r="H327" i="9" s="1"/>
  <c r="J299" i="9"/>
  <c r="F299" i="9"/>
  <c r="H299" i="9" s="1"/>
  <c r="J271" i="9"/>
  <c r="F271" i="9"/>
  <c r="H271" i="9" s="1"/>
  <c r="E271" i="9"/>
  <c r="J243" i="9"/>
  <c r="F243" i="9"/>
  <c r="H243" i="9" s="1"/>
  <c r="E243" i="9"/>
  <c r="J215" i="9"/>
  <c r="F215" i="9"/>
  <c r="H215" i="9" s="1"/>
  <c r="E215" i="9"/>
  <c r="J187" i="9"/>
  <c r="F187" i="9"/>
  <c r="H187" i="9" s="1"/>
  <c r="E187" i="9"/>
  <c r="J159" i="9"/>
  <c r="F159" i="9"/>
  <c r="H159" i="9" s="1"/>
  <c r="E159" i="9"/>
  <c r="J131" i="9"/>
  <c r="F131" i="9"/>
  <c r="H131" i="9" s="1"/>
  <c r="E131" i="9"/>
  <c r="J103" i="9"/>
  <c r="F103" i="9"/>
  <c r="H103" i="9" s="1"/>
  <c r="E103" i="9"/>
  <c r="J75" i="9"/>
  <c r="F75" i="9"/>
  <c r="H75" i="9" s="1"/>
  <c r="J47" i="9"/>
  <c r="F47" i="9"/>
  <c r="H47" i="9" s="1"/>
  <c r="E47" i="9"/>
  <c r="J19" i="9"/>
  <c r="F19" i="9"/>
  <c r="H19" i="9" s="1"/>
  <c r="I6" i="7"/>
  <c r="T95" i="9" l="1"/>
  <c r="T295" i="9"/>
  <c r="T133" i="9"/>
  <c r="T126" i="9"/>
  <c r="V126" i="9" s="1"/>
  <c r="Y126" i="9" s="1"/>
  <c r="T391" i="9"/>
  <c r="T46" i="9"/>
  <c r="T311" i="9"/>
  <c r="T142" i="9"/>
  <c r="Z142" i="9" s="1"/>
  <c r="T145" i="9"/>
  <c r="Z145" i="9" s="1"/>
  <c r="T59" i="9"/>
  <c r="T312" i="9"/>
  <c r="T141" i="9"/>
  <c r="V141" i="9" s="1"/>
  <c r="Y141" i="9" s="1"/>
  <c r="T316" i="9"/>
  <c r="T277" i="9"/>
  <c r="T341" i="9"/>
  <c r="T153" i="9"/>
  <c r="T232" i="9"/>
  <c r="V232" i="9" s="1"/>
  <c r="Y232" i="9" s="1"/>
  <c r="T244" i="9"/>
  <c r="T377" i="9"/>
  <c r="T174" i="9"/>
  <c r="V174" i="9" s="1"/>
  <c r="Y174" i="9" s="1"/>
  <c r="T390" i="9"/>
  <c r="Z390" i="9" s="1"/>
  <c r="T224" i="9"/>
  <c r="V224" i="9" s="1"/>
  <c r="Y224" i="9" s="1"/>
  <c r="T394" i="9"/>
  <c r="Z394" i="9" s="1"/>
  <c r="T193" i="9"/>
  <c r="U193" i="9" s="1"/>
  <c r="W193" i="9" s="1"/>
  <c r="T13" i="9"/>
  <c r="Z13" i="9" s="1"/>
  <c r="T172" i="9"/>
  <c r="U172" i="9" s="1"/>
  <c r="W172" i="9" s="1"/>
  <c r="T148" i="9"/>
  <c r="U148" i="9" s="1"/>
  <c r="W148" i="9" s="1"/>
  <c r="T335" i="9"/>
  <c r="U335" i="9" s="1"/>
  <c r="W335" i="9" s="1"/>
  <c r="T83" i="9"/>
  <c r="T263" i="9"/>
  <c r="V263" i="9" s="1"/>
  <c r="Y263" i="9" s="1"/>
  <c r="T97" i="9"/>
  <c r="T310" i="9"/>
  <c r="T220" i="9"/>
  <c r="T165" i="9"/>
  <c r="T60" i="9"/>
  <c r="T177" i="9"/>
  <c r="Z177" i="9" s="1"/>
  <c r="T50" i="9"/>
  <c r="V50" i="9" s="1"/>
  <c r="Y50" i="9" s="1"/>
  <c r="T7" i="9"/>
  <c r="Z7" i="9" s="1"/>
  <c r="T48" i="9"/>
  <c r="T259" i="9"/>
  <c r="T198" i="9"/>
  <c r="Z198" i="9" s="1"/>
  <c r="T194" i="9"/>
  <c r="Z194" i="9" s="1"/>
  <c r="T56" i="9"/>
  <c r="T182" i="9"/>
  <c r="Z182" i="9" s="1"/>
  <c r="T380" i="9"/>
  <c r="T286" i="9"/>
  <c r="Z286" i="9" s="1"/>
  <c r="T358" i="9"/>
  <c r="V358" i="9" s="1"/>
  <c r="Y358" i="9" s="1"/>
  <c r="T337" i="9"/>
  <c r="Z337" i="9" s="1"/>
  <c r="T73" i="9"/>
  <c r="Z73" i="9" s="1"/>
  <c r="T299" i="9"/>
  <c r="U299" i="9" s="1"/>
  <c r="W299" i="9" s="1"/>
  <c r="T109" i="9"/>
  <c r="V109" i="9" s="1"/>
  <c r="Y109" i="9" s="1"/>
  <c r="T249" i="9"/>
  <c r="Z249" i="9" s="1"/>
  <c r="T216" i="9"/>
  <c r="U216" i="9" s="1"/>
  <c r="W216" i="9" s="1"/>
  <c r="T334" i="9"/>
  <c r="Z334" i="9" s="1"/>
  <c r="T202" i="9"/>
  <c r="U202" i="9" s="1"/>
  <c r="W202" i="9" s="1"/>
  <c r="T285" i="9"/>
  <c r="Z285" i="9" s="1"/>
  <c r="T125" i="9"/>
  <c r="T16" i="9"/>
  <c r="T115" i="9"/>
  <c r="V115" i="9" s="1"/>
  <c r="Y115" i="9" s="1"/>
  <c r="T186" i="9"/>
  <c r="T353" i="9"/>
  <c r="T111" i="9"/>
  <c r="T159" i="9"/>
  <c r="U159" i="9" s="1"/>
  <c r="W159" i="9" s="1"/>
  <c r="T373" i="9"/>
  <c r="T53" i="9"/>
  <c r="V53" i="9" s="1"/>
  <c r="Y53" i="9" s="1"/>
  <c r="T113" i="9"/>
  <c r="T282" i="9"/>
  <c r="T114" i="9"/>
  <c r="T229" i="9"/>
  <c r="T365" i="9"/>
  <c r="Z365" i="9" s="1"/>
  <c r="T329" i="9"/>
  <c r="T89" i="9"/>
  <c r="T217" i="9"/>
  <c r="T324" i="9"/>
  <c r="T15" i="9"/>
  <c r="V15" i="9" s="1"/>
  <c r="Y15" i="9" s="1"/>
  <c r="T283" i="9"/>
  <c r="V283" i="9" s="1"/>
  <c r="Y283" i="9" s="1"/>
  <c r="T30" i="9"/>
  <c r="Z30" i="9" s="1"/>
  <c r="T326" i="9"/>
  <c r="V326" i="9" s="1"/>
  <c r="Y326" i="9" s="1"/>
  <c r="T185" i="9"/>
  <c r="T256" i="9"/>
  <c r="Z256" i="9" s="1"/>
  <c r="T288" i="9"/>
  <c r="V288" i="9" s="1"/>
  <c r="Y288" i="9" s="1"/>
  <c r="T275" i="9"/>
  <c r="Z275" i="9" s="1"/>
  <c r="T241" i="9"/>
  <c r="U241" i="9" s="1"/>
  <c r="W241" i="9" s="1"/>
  <c r="T238" i="9"/>
  <c r="V238" i="9" s="1"/>
  <c r="Y238" i="9" s="1"/>
  <c r="T384" i="9"/>
  <c r="T104" i="9"/>
  <c r="Z104" i="9" s="1"/>
  <c r="T298" i="9"/>
  <c r="T146" i="9"/>
  <c r="V146" i="9" s="1"/>
  <c r="Y146" i="9" s="1"/>
  <c r="T173" i="9"/>
  <c r="V173" i="9" s="1"/>
  <c r="Y173" i="9" s="1"/>
  <c r="T234" i="9"/>
  <c r="V234" i="9" s="1"/>
  <c r="Y234" i="9" s="1"/>
  <c r="T28" i="9"/>
  <c r="T300" i="9"/>
  <c r="Z300" i="9" s="1"/>
  <c r="T54" i="9"/>
  <c r="T27" i="9"/>
  <c r="U27" i="9" s="1"/>
  <c r="W27" i="9" s="1"/>
  <c r="E28" i="8" s="1"/>
  <c r="T297" i="9"/>
  <c r="T308" i="9"/>
  <c r="T395" i="9"/>
  <c r="V395" i="9" s="1"/>
  <c r="T181" i="9"/>
  <c r="Z181" i="9" s="1"/>
  <c r="T32" i="9"/>
  <c r="T357" i="9"/>
  <c r="T120" i="9"/>
  <c r="Z120" i="9" s="1"/>
  <c r="T293" i="9"/>
  <c r="T255" i="9"/>
  <c r="T191" i="9"/>
  <c r="Z191" i="9" s="1"/>
  <c r="T262" i="9"/>
  <c r="V262" i="9" s="1"/>
  <c r="Y262" i="9" s="1"/>
  <c r="T301" i="9"/>
  <c r="Z301" i="9" s="1"/>
  <c r="T372" i="9"/>
  <c r="V372" i="9" s="1"/>
  <c r="Y372" i="9" s="1"/>
  <c r="T296" i="9"/>
  <c r="U296" i="9" s="1"/>
  <c r="W296" i="9" s="1"/>
  <c r="T254" i="9"/>
  <c r="T23" i="9"/>
  <c r="Z23" i="9" s="1"/>
  <c r="T366" i="9"/>
  <c r="Z366" i="9" s="1"/>
  <c r="T290" i="9"/>
  <c r="U290" i="9" s="1"/>
  <c r="W290" i="9" s="1"/>
  <c r="T49" i="9"/>
  <c r="T359" i="9"/>
  <c r="T156" i="9"/>
  <c r="T351" i="9"/>
  <c r="T84" i="9"/>
  <c r="U84" i="9" s="1"/>
  <c r="W84" i="9" s="1"/>
  <c r="E85" i="8" s="1"/>
  <c r="T211" i="9"/>
  <c r="Z211" i="9" s="1"/>
  <c r="V347" i="9"/>
  <c r="Y347" i="9" s="1"/>
  <c r="Z347" i="9"/>
  <c r="U347" i="9"/>
  <c r="W347" i="9" s="1"/>
  <c r="V101" i="9"/>
  <c r="Y101" i="9" s="1"/>
  <c r="U101" i="9"/>
  <c r="W101" i="9" s="1"/>
  <c r="Z101" i="9"/>
  <c r="Z62" i="9"/>
  <c r="U62" i="9"/>
  <c r="W62" i="9" s="1"/>
  <c r="E63" i="8" s="1"/>
  <c r="V62" i="9"/>
  <c r="Y62" i="9" s="1"/>
  <c r="V129" i="9"/>
  <c r="Y129" i="9" s="1"/>
  <c r="U129" i="9"/>
  <c r="W129" i="9" s="1"/>
  <c r="Z129" i="9"/>
  <c r="Z149" i="9"/>
  <c r="V149" i="9"/>
  <c r="Y149" i="9" s="1"/>
  <c r="U149" i="9"/>
  <c r="W149" i="9" s="1"/>
  <c r="Z32" i="9"/>
  <c r="V32" i="9"/>
  <c r="Y32" i="9" s="1"/>
  <c r="U32" i="9"/>
  <c r="W32" i="9" s="1"/>
  <c r="E33" i="8" s="1"/>
  <c r="Z229" i="9"/>
  <c r="U229" i="9"/>
  <c r="W229" i="9" s="1"/>
  <c r="V229" i="9"/>
  <c r="Y229" i="9" s="1"/>
  <c r="Z85" i="9"/>
  <c r="U85" i="9"/>
  <c r="W85" i="9" s="1"/>
  <c r="E86" i="8" s="1"/>
  <c r="V85" i="9"/>
  <c r="Y85" i="9" s="1"/>
  <c r="U379" i="9"/>
  <c r="W379" i="9" s="1"/>
  <c r="Z379" i="9"/>
  <c r="V379" i="9"/>
  <c r="Y379" i="9" s="1"/>
  <c r="V162" i="9"/>
  <c r="Y162" i="9" s="1"/>
  <c r="U162" i="9"/>
  <c r="W162" i="9" s="1"/>
  <c r="Z162" i="9"/>
  <c r="V361" i="9"/>
  <c r="Y361" i="9" s="1"/>
  <c r="U361" i="9"/>
  <c r="W361" i="9" s="1"/>
  <c r="Z361" i="9"/>
  <c r="Z90" i="9"/>
  <c r="U90" i="9"/>
  <c r="W90" i="9" s="1"/>
  <c r="V90" i="9"/>
  <c r="Y90" i="9" s="1"/>
  <c r="Z113" i="9"/>
  <c r="V113" i="9"/>
  <c r="Y113" i="9" s="1"/>
  <c r="U113" i="9"/>
  <c r="W113" i="9" s="1"/>
  <c r="Z282" i="9"/>
  <c r="V282" i="9"/>
  <c r="Y282" i="9" s="1"/>
  <c r="U282" i="9"/>
  <c r="W282" i="9" s="1"/>
  <c r="Z214" i="9"/>
  <c r="U214" i="9"/>
  <c r="W214" i="9" s="1"/>
  <c r="V214" i="9"/>
  <c r="Y214" i="9" s="1"/>
  <c r="Z172" i="9"/>
  <c r="V172" i="9"/>
  <c r="Y172" i="9" s="1"/>
  <c r="V134" i="9"/>
  <c r="Y134" i="9" s="1"/>
  <c r="U134" i="9"/>
  <c r="W134" i="9" s="1"/>
  <c r="Z134" i="9"/>
  <c r="V392" i="9"/>
  <c r="Y392" i="9" s="1"/>
  <c r="U392" i="9"/>
  <c r="W392" i="9" s="1"/>
  <c r="Z392" i="9"/>
  <c r="Z201" i="9"/>
  <c r="U201" i="9"/>
  <c r="W201" i="9" s="1"/>
  <c r="V201" i="9"/>
  <c r="Y201" i="9" s="1"/>
  <c r="V295" i="9"/>
  <c r="Y295" i="9" s="1"/>
  <c r="U295" i="9"/>
  <c r="W295" i="9" s="1"/>
  <c r="Z295" i="9"/>
  <c r="V120" i="9"/>
  <c r="Y120" i="9" s="1"/>
  <c r="Z338" i="9"/>
  <c r="V338" i="9"/>
  <c r="Y338" i="9" s="1"/>
  <c r="U338" i="9"/>
  <c r="W338" i="9" s="1"/>
  <c r="Z52" i="9"/>
  <c r="V52" i="9"/>
  <c r="Y52" i="9" s="1"/>
  <c r="U52" i="9"/>
  <c r="W52" i="9" s="1"/>
  <c r="E53" i="8" s="1"/>
  <c r="U232" i="9"/>
  <c r="W232" i="9" s="1"/>
  <c r="Z46" i="9"/>
  <c r="U46" i="9"/>
  <c r="W46" i="9" s="1"/>
  <c r="E47" i="8" s="1"/>
  <c r="V46" i="9"/>
  <c r="Y46" i="9" s="1"/>
  <c r="Z311" i="9"/>
  <c r="V311" i="9"/>
  <c r="Y311" i="9" s="1"/>
  <c r="U311" i="9"/>
  <c r="W311" i="9" s="1"/>
  <c r="V230" i="9"/>
  <c r="Y230" i="9" s="1"/>
  <c r="Z230" i="9"/>
  <c r="U230" i="9"/>
  <c r="W230" i="9" s="1"/>
  <c r="Z331" i="9"/>
  <c r="U331" i="9"/>
  <c r="W331" i="9" s="1"/>
  <c r="V331" i="9"/>
  <c r="Y331" i="9" s="1"/>
  <c r="Z68" i="9"/>
  <c r="U68" i="9"/>
  <c r="W68" i="9" s="1"/>
  <c r="E69" i="8" s="1"/>
  <c r="V68" i="9"/>
  <c r="Y68" i="9" s="1"/>
  <c r="Z97" i="9"/>
  <c r="V97" i="9"/>
  <c r="Y97" i="9" s="1"/>
  <c r="U97" i="9"/>
  <c r="W97" i="9" s="1"/>
  <c r="V71" i="9"/>
  <c r="Y71" i="9" s="1"/>
  <c r="U71" i="9"/>
  <c r="W71" i="9" s="1"/>
  <c r="E72" i="8" s="1"/>
  <c r="Z71" i="9"/>
  <c r="Z163" i="9"/>
  <c r="V163" i="9"/>
  <c r="Y163" i="9" s="1"/>
  <c r="U163" i="9"/>
  <c r="W163" i="9" s="1"/>
  <c r="U145" i="9"/>
  <c r="W145" i="9" s="1"/>
  <c r="V145" i="9"/>
  <c r="Y145" i="9" s="1"/>
  <c r="Z281" i="9"/>
  <c r="U281" i="9"/>
  <c r="W281" i="9" s="1"/>
  <c r="V281" i="9"/>
  <c r="Y281" i="9" s="1"/>
  <c r="U95" i="9"/>
  <c r="W95" i="9" s="1"/>
  <c r="V95" i="9"/>
  <c r="Y95" i="9" s="1"/>
  <c r="Z95" i="9"/>
  <c r="Z24" i="9"/>
  <c r="V24" i="9"/>
  <c r="Y24" i="9" s="1"/>
  <c r="U24" i="9"/>
  <c r="W24" i="9" s="1"/>
  <c r="E25" i="8" s="1"/>
  <c r="V36" i="9"/>
  <c r="Y36" i="9" s="1"/>
  <c r="U36" i="9"/>
  <c r="W36" i="9" s="1"/>
  <c r="E37" i="8" s="1"/>
  <c r="Z36" i="9"/>
  <c r="Z123" i="9"/>
  <c r="U123" i="9"/>
  <c r="W123" i="9" s="1"/>
  <c r="V123" i="9"/>
  <c r="Y123" i="9" s="1"/>
  <c r="V152" i="9"/>
  <c r="Y152" i="9" s="1"/>
  <c r="U152" i="9"/>
  <c r="W152" i="9" s="1"/>
  <c r="Z152" i="9"/>
  <c r="Z141" i="9"/>
  <c r="U141" i="9"/>
  <c r="W141" i="9" s="1"/>
  <c r="Z267" i="9"/>
  <c r="U267" i="9"/>
  <c r="W267" i="9" s="1"/>
  <c r="V267" i="9"/>
  <c r="Y267" i="9" s="1"/>
  <c r="Z261" i="9"/>
  <c r="U261" i="9"/>
  <c r="W261" i="9" s="1"/>
  <c r="V261" i="9"/>
  <c r="Y261" i="9" s="1"/>
  <c r="V240" i="9"/>
  <c r="Y240" i="9" s="1"/>
  <c r="U240" i="9"/>
  <c r="W240" i="9" s="1"/>
  <c r="Z240" i="9"/>
  <c r="V375" i="9"/>
  <c r="Y375" i="9" s="1"/>
  <c r="Z375" i="9"/>
  <c r="U375" i="9"/>
  <c r="W375" i="9" s="1"/>
  <c r="V198" i="9"/>
  <c r="Y198" i="9" s="1"/>
  <c r="U198" i="9"/>
  <c r="W198" i="9" s="1"/>
  <c r="V28" i="9"/>
  <c r="Y28" i="9" s="1"/>
  <c r="U28" i="9"/>
  <c r="W28" i="9" s="1"/>
  <c r="E29" i="8" s="1"/>
  <c r="Z28" i="9"/>
  <c r="Z114" i="9"/>
  <c r="V114" i="9"/>
  <c r="Y114" i="9" s="1"/>
  <c r="U114" i="9"/>
  <c r="W114" i="9" s="1"/>
  <c r="Z316" i="9"/>
  <c r="V316" i="9"/>
  <c r="Y316" i="9" s="1"/>
  <c r="U316" i="9"/>
  <c r="W316" i="9" s="1"/>
  <c r="U286" i="9"/>
  <c r="W286" i="9" s="1"/>
  <c r="V286" i="9"/>
  <c r="Y286" i="9" s="1"/>
  <c r="V156" i="9"/>
  <c r="Y156" i="9" s="1"/>
  <c r="Z156" i="9"/>
  <c r="U156" i="9"/>
  <c r="W156" i="9" s="1"/>
  <c r="V16" i="9"/>
  <c r="Y16" i="9" s="1"/>
  <c r="U16" i="9"/>
  <c r="W16" i="9" s="1"/>
  <c r="E17" i="8" s="1"/>
  <c r="Z16" i="9"/>
  <c r="V190" i="9"/>
  <c r="Y190" i="9" s="1"/>
  <c r="U190" i="9"/>
  <c r="W190" i="9" s="1"/>
  <c r="Z190" i="9"/>
  <c r="V268" i="9"/>
  <c r="Y268" i="9" s="1"/>
  <c r="Z268" i="9"/>
  <c r="U268" i="9"/>
  <c r="W268" i="9" s="1"/>
  <c r="Z209" i="9"/>
  <c r="U209" i="9"/>
  <c r="W209" i="9" s="1"/>
  <c r="V209" i="9"/>
  <c r="Y209" i="9" s="1"/>
  <c r="Z115" i="9"/>
  <c r="V177" i="9"/>
  <c r="Y177" i="9" s="1"/>
  <c r="Z81" i="9"/>
  <c r="U81" i="9"/>
  <c r="W81" i="9" s="1"/>
  <c r="E82" i="8" s="1"/>
  <c r="V81" i="9"/>
  <c r="Y81" i="9" s="1"/>
  <c r="V357" i="9"/>
  <c r="Y357" i="9" s="1"/>
  <c r="Z357" i="9"/>
  <c r="U357" i="9"/>
  <c r="W357" i="9" s="1"/>
  <c r="Z265" i="9"/>
  <c r="V265" i="9"/>
  <c r="Y265" i="9" s="1"/>
  <c r="U265" i="9"/>
  <c r="W265" i="9" s="1"/>
  <c r="Z299" i="9"/>
  <c r="V299" i="9"/>
  <c r="Y299" i="9" s="1"/>
  <c r="V183" i="9"/>
  <c r="Y183" i="9" s="1"/>
  <c r="Z183" i="9"/>
  <c r="U183" i="9"/>
  <c r="W183" i="9" s="1"/>
  <c r="Z173" i="9"/>
  <c r="U173" i="9"/>
  <c r="W173" i="9" s="1"/>
  <c r="V204" i="9"/>
  <c r="Y204" i="9" s="1"/>
  <c r="Z204" i="9"/>
  <c r="U204" i="9"/>
  <c r="W204" i="9" s="1"/>
  <c r="Z4" i="9"/>
  <c r="V4" i="9"/>
  <c r="Y4" i="9" s="1"/>
  <c r="U4" i="9"/>
  <c r="W4" i="9" s="1"/>
  <c r="E5" i="8" s="1"/>
  <c r="Z37" i="9"/>
  <c r="U37" i="9"/>
  <c r="W37" i="9" s="1"/>
  <c r="E38" i="8" s="1"/>
  <c r="V37" i="9"/>
  <c r="Y37" i="9" s="1"/>
  <c r="V42" i="9"/>
  <c r="Y42" i="9" s="1"/>
  <c r="Z42" i="9"/>
  <c r="U42" i="9"/>
  <c r="W42" i="9" s="1"/>
  <c r="E43" i="8" s="1"/>
  <c r="Z395" i="9"/>
  <c r="V185" i="9"/>
  <c r="Y185" i="9" s="1"/>
  <c r="Z185" i="9"/>
  <c r="U185" i="9"/>
  <c r="W185" i="9" s="1"/>
  <c r="Z362" i="9"/>
  <c r="V362" i="9"/>
  <c r="Y362" i="9" s="1"/>
  <c r="U362" i="9"/>
  <c r="W362" i="9" s="1"/>
  <c r="U287" i="9"/>
  <c r="W287" i="9" s="1"/>
  <c r="V287" i="9"/>
  <c r="Y287" i="9" s="1"/>
  <c r="Z287" i="9"/>
  <c r="Z298" i="9"/>
  <c r="U298" i="9"/>
  <c r="W298" i="9" s="1"/>
  <c r="V298" i="9"/>
  <c r="Y298" i="9" s="1"/>
  <c r="V48" i="9"/>
  <c r="Y48" i="9" s="1"/>
  <c r="Z48" i="9"/>
  <c r="U48" i="9"/>
  <c r="W48" i="9" s="1"/>
  <c r="E49" i="8" s="1"/>
  <c r="U175" i="9"/>
  <c r="W175" i="9" s="1"/>
  <c r="V175" i="9"/>
  <c r="Y175" i="9" s="1"/>
  <c r="Z175" i="9"/>
  <c r="U53" i="9"/>
  <c r="W53" i="9" s="1"/>
  <c r="E54" i="8" s="1"/>
  <c r="Z53" i="9"/>
  <c r="U370" i="9"/>
  <c r="W370" i="9" s="1"/>
  <c r="V370" i="9"/>
  <c r="Y370" i="9" s="1"/>
  <c r="Z370" i="9"/>
  <c r="Z284" i="9"/>
  <c r="V284" i="9"/>
  <c r="Y284" i="9" s="1"/>
  <c r="U284" i="9"/>
  <c r="W284" i="9" s="1"/>
  <c r="V277" i="9"/>
  <c r="Y277" i="9" s="1"/>
  <c r="U277" i="9"/>
  <c r="W277" i="9" s="1"/>
  <c r="Z277" i="9"/>
  <c r="Z108" i="9"/>
  <c r="V108" i="9"/>
  <c r="Y108" i="9" s="1"/>
  <c r="U108" i="9"/>
  <c r="W108" i="9" s="1"/>
  <c r="Z228" i="9"/>
  <c r="V228" i="9"/>
  <c r="Y228" i="9" s="1"/>
  <c r="U228" i="9"/>
  <c r="W228" i="9" s="1"/>
  <c r="V142" i="9"/>
  <c r="Y142" i="9" s="1"/>
  <c r="V66" i="9"/>
  <c r="Y66" i="9" s="1"/>
  <c r="Z66" i="9"/>
  <c r="U66" i="9"/>
  <c r="W66" i="9" s="1"/>
  <c r="E67" i="8" s="1"/>
  <c r="V18" i="9"/>
  <c r="Y18" i="9" s="1"/>
  <c r="U18" i="9"/>
  <c r="W18" i="9" s="1"/>
  <c r="E19" i="8" s="1"/>
  <c r="Z18" i="9"/>
  <c r="Z59" i="9"/>
  <c r="V59" i="9"/>
  <c r="Y59" i="9" s="1"/>
  <c r="U59" i="9"/>
  <c r="W59" i="9" s="1"/>
  <c r="E60" i="8" s="1"/>
  <c r="V292" i="9"/>
  <c r="Y292" i="9" s="1"/>
  <c r="Z292" i="9"/>
  <c r="U292" i="9"/>
  <c r="W292" i="9" s="1"/>
  <c r="V105" i="9"/>
  <c r="Y105" i="9" s="1"/>
  <c r="U105" i="9"/>
  <c r="W105" i="9" s="1"/>
  <c r="Z105" i="9"/>
  <c r="V74" i="9"/>
  <c r="Y74" i="9" s="1"/>
  <c r="Z74" i="9"/>
  <c r="U74" i="9"/>
  <c r="W74" i="9" s="1"/>
  <c r="E75" i="8" s="1"/>
  <c r="V119" i="9"/>
  <c r="Y119" i="9" s="1"/>
  <c r="Z119" i="9"/>
  <c r="U119" i="9"/>
  <c r="W119" i="9" s="1"/>
  <c r="U244" i="9"/>
  <c r="W244" i="9" s="1"/>
  <c r="V244" i="9"/>
  <c r="Y244" i="9" s="1"/>
  <c r="Z244" i="9"/>
  <c r="Z89" i="9"/>
  <c r="U89" i="9"/>
  <c r="W89" i="9" s="1"/>
  <c r="V89" i="9"/>
  <c r="Y89" i="9" s="1"/>
  <c r="Z197" i="9"/>
  <c r="V197" i="9"/>
  <c r="Y197" i="9" s="1"/>
  <c r="U197" i="9"/>
  <c r="W197" i="9" s="1"/>
  <c r="V300" i="9"/>
  <c r="Y300" i="9" s="1"/>
  <c r="U300" i="9"/>
  <c r="W300" i="9" s="1"/>
  <c r="Z60" i="9"/>
  <c r="V60" i="9"/>
  <c r="Y60" i="9" s="1"/>
  <c r="U60" i="9"/>
  <c r="W60" i="9" s="1"/>
  <c r="E61" i="8" s="1"/>
  <c r="V308" i="9"/>
  <c r="Y308" i="9" s="1"/>
  <c r="U308" i="9"/>
  <c r="W308" i="9" s="1"/>
  <c r="Z308" i="9"/>
  <c r="Z350" i="9"/>
  <c r="U350" i="9"/>
  <c r="W350" i="9" s="1"/>
  <c r="V350" i="9"/>
  <c r="Y350" i="9" s="1"/>
  <c r="V21" i="9"/>
  <c r="Y21" i="9" s="1"/>
  <c r="Z21" i="9"/>
  <c r="U21" i="9"/>
  <c r="W21" i="9" s="1"/>
  <c r="E22" i="8" s="1"/>
  <c r="Z93" i="9"/>
  <c r="U93" i="9"/>
  <c r="W93" i="9" s="1"/>
  <c r="V93" i="9"/>
  <c r="Y93" i="9" s="1"/>
  <c r="U102" i="9"/>
  <c r="W102" i="9" s="1"/>
  <c r="V102" i="9"/>
  <c r="Y102" i="9" s="1"/>
  <c r="Z102" i="9"/>
  <c r="Z203" i="9"/>
  <c r="U203" i="9"/>
  <c r="W203" i="9" s="1"/>
  <c r="V203" i="9"/>
  <c r="Y203" i="9" s="1"/>
  <c r="Z297" i="9"/>
  <c r="U297" i="9"/>
  <c r="W297" i="9" s="1"/>
  <c r="V297" i="9"/>
  <c r="Y297" i="9" s="1"/>
  <c r="Z342" i="9"/>
  <c r="U342" i="9"/>
  <c r="W342" i="9" s="1"/>
  <c r="V342" i="9"/>
  <c r="Y342" i="9" s="1"/>
  <c r="U20" i="9"/>
  <c r="W20" i="9" s="1"/>
  <c r="E21" i="8" s="1"/>
  <c r="V20" i="9"/>
  <c r="Y20" i="9" s="1"/>
  <c r="Z20" i="9"/>
  <c r="Z234" i="9"/>
  <c r="U146" i="9"/>
  <c r="W146" i="9" s="1"/>
  <c r="Z146" i="9"/>
  <c r="V83" i="9"/>
  <c r="Y83" i="9" s="1"/>
  <c r="U83" i="9"/>
  <c r="W83" i="9" s="1"/>
  <c r="E84" i="8" s="1"/>
  <c r="Z83" i="9"/>
  <c r="U131" i="9"/>
  <c r="W131" i="9" s="1"/>
  <c r="Z131" i="9"/>
  <c r="V131" i="9"/>
  <c r="Y131" i="9" s="1"/>
  <c r="V374" i="9"/>
  <c r="Y374" i="9" s="1"/>
  <c r="Z374" i="9"/>
  <c r="U374" i="9"/>
  <c r="W374" i="9" s="1"/>
  <c r="Z121" i="9"/>
  <c r="U121" i="9"/>
  <c r="W121" i="9" s="1"/>
  <c r="V121" i="9"/>
  <c r="Y121" i="9" s="1"/>
  <c r="V56" i="9"/>
  <c r="Y56" i="9" s="1"/>
  <c r="U56" i="9"/>
  <c r="W56" i="9" s="1"/>
  <c r="E57" i="8" s="1"/>
  <c r="Z56" i="9"/>
  <c r="V38" i="9"/>
  <c r="Y38" i="9" s="1"/>
  <c r="U38" i="9"/>
  <c r="W38" i="9" s="1"/>
  <c r="E39" i="8" s="1"/>
  <c r="Z38" i="9"/>
  <c r="Z263" i="9"/>
  <c r="U263" i="9"/>
  <c r="W263" i="9" s="1"/>
  <c r="V55" i="9"/>
  <c r="Y55" i="9" s="1"/>
  <c r="Z55" i="9"/>
  <c r="U55" i="9"/>
  <c r="W55" i="9" s="1"/>
  <c r="E56" i="8" s="1"/>
  <c r="Z54" i="9"/>
  <c r="V54" i="9"/>
  <c r="Y54" i="9" s="1"/>
  <c r="U54" i="9"/>
  <c r="W54" i="9" s="1"/>
  <c r="E55" i="8" s="1"/>
  <c r="Z310" i="9"/>
  <c r="V310" i="9"/>
  <c r="Y310" i="9" s="1"/>
  <c r="U310" i="9"/>
  <c r="W310" i="9" s="1"/>
  <c r="Z40" i="9"/>
  <c r="V40" i="9"/>
  <c r="Y40" i="9" s="1"/>
  <c r="U40" i="9"/>
  <c r="W40" i="9" s="1"/>
  <c r="E41" i="8" s="1"/>
  <c r="V195" i="9"/>
  <c r="Y195" i="9" s="1"/>
  <c r="Z195" i="9"/>
  <c r="U195" i="9"/>
  <c r="W195" i="9" s="1"/>
  <c r="U50" i="9"/>
  <c r="W50" i="9" s="1"/>
  <c r="E51" i="8" s="1"/>
  <c r="Z50" i="9"/>
  <c r="Z135" i="9"/>
  <c r="V135" i="9"/>
  <c r="Y135" i="9" s="1"/>
  <c r="U135" i="9"/>
  <c r="W135" i="9" s="1"/>
  <c r="Z26" i="9"/>
  <c r="U26" i="9"/>
  <c r="W26" i="9" s="1"/>
  <c r="E27" i="8" s="1"/>
  <c r="V26" i="9"/>
  <c r="Y26" i="9" s="1"/>
  <c r="Z217" i="9"/>
  <c r="V217" i="9"/>
  <c r="Y217" i="9" s="1"/>
  <c r="U217" i="9"/>
  <c r="W217" i="9" s="1"/>
  <c r="V167" i="9"/>
  <c r="Y167" i="9" s="1"/>
  <c r="Z167" i="9"/>
  <c r="U167" i="9"/>
  <c r="W167" i="9" s="1"/>
  <c r="V34" i="9"/>
  <c r="Y34" i="9" s="1"/>
  <c r="Z34" i="9"/>
  <c r="U34" i="9"/>
  <c r="W34" i="9" s="1"/>
  <c r="E35" i="8" s="1"/>
  <c r="Z91" i="9"/>
  <c r="U91" i="9"/>
  <c r="W91" i="9" s="1"/>
  <c r="V91" i="9"/>
  <c r="Y91" i="9" s="1"/>
  <c r="Z222" i="9"/>
  <c r="V222" i="9"/>
  <c r="Y222" i="9" s="1"/>
  <c r="U222" i="9"/>
  <c r="W222" i="9" s="1"/>
  <c r="Z352" i="9"/>
  <c r="U352" i="9"/>
  <c r="W352" i="9" s="1"/>
  <c r="V352" i="9"/>
  <c r="Y352" i="9" s="1"/>
  <c r="V280" i="9"/>
  <c r="Y280" i="9" s="1"/>
  <c r="U280" i="9"/>
  <c r="W280" i="9" s="1"/>
  <c r="Z280" i="9"/>
  <c r="Z226" i="9"/>
  <c r="V226" i="9"/>
  <c r="Y226" i="9" s="1"/>
  <c r="U226" i="9"/>
  <c r="W226" i="9" s="1"/>
  <c r="Z254" i="9"/>
  <c r="V254" i="9"/>
  <c r="Y254" i="9" s="1"/>
  <c r="U254" i="9"/>
  <c r="W254" i="9" s="1"/>
  <c r="V182" i="9"/>
  <c r="Y182" i="9" s="1"/>
  <c r="U182" i="9"/>
  <c r="W182" i="9" s="1"/>
  <c r="V320" i="9"/>
  <c r="Y320" i="9" s="1"/>
  <c r="U320" i="9"/>
  <c r="W320" i="9" s="1"/>
  <c r="Z320" i="9"/>
  <c r="Z31" i="9"/>
  <c r="V31" i="9"/>
  <c r="Y31" i="9" s="1"/>
  <c r="U31" i="9"/>
  <c r="W31" i="9" s="1"/>
  <c r="E32" i="8" s="1"/>
  <c r="V49" i="9"/>
  <c r="Y49" i="9" s="1"/>
  <c r="Z49" i="9"/>
  <c r="U49" i="9"/>
  <c r="W49" i="9" s="1"/>
  <c r="E50" i="8" s="1"/>
  <c r="V99" i="9"/>
  <c r="Y99" i="9" s="1"/>
  <c r="Z99" i="9"/>
  <c r="U99" i="9"/>
  <c r="W99" i="9" s="1"/>
  <c r="V364" i="9"/>
  <c r="Y364" i="9" s="1"/>
  <c r="U364" i="9"/>
  <c r="W364" i="9" s="1"/>
  <c r="Z364" i="9"/>
  <c r="Z210" i="9"/>
  <c r="U210" i="9"/>
  <c r="W210" i="9" s="1"/>
  <c r="V210" i="9"/>
  <c r="Y210" i="9" s="1"/>
  <c r="V118" i="9"/>
  <c r="Y118" i="9" s="1"/>
  <c r="U118" i="9"/>
  <c r="W118" i="9" s="1"/>
  <c r="Z118" i="9"/>
  <c r="V3" i="9"/>
  <c r="Y3" i="9" s="1"/>
  <c r="Z3" i="9"/>
  <c r="V106" i="9"/>
  <c r="Y106" i="9" s="1"/>
  <c r="U106" i="9"/>
  <c r="W106" i="9" s="1"/>
  <c r="Z106" i="9"/>
  <c r="Z147" i="9"/>
  <c r="V147" i="9"/>
  <c r="Y147" i="9" s="1"/>
  <c r="U147" i="9"/>
  <c r="W147" i="9" s="1"/>
  <c r="V322" i="9"/>
  <c r="Y322" i="9" s="1"/>
  <c r="Z322" i="9"/>
  <c r="U322" i="9"/>
  <c r="W322" i="9" s="1"/>
  <c r="V389" i="9"/>
  <c r="Y389" i="9" s="1"/>
  <c r="U389" i="9"/>
  <c r="W389" i="9" s="1"/>
  <c r="Z389" i="9"/>
  <c r="Z323" i="9"/>
  <c r="U323" i="9"/>
  <c r="W323" i="9" s="1"/>
  <c r="V323" i="9"/>
  <c r="Y323" i="9" s="1"/>
  <c r="Z312" i="9"/>
  <c r="V312" i="9"/>
  <c r="Y312" i="9" s="1"/>
  <c r="U312" i="9"/>
  <c r="W312" i="9" s="1"/>
  <c r="Z125" i="9"/>
  <c r="V125" i="9"/>
  <c r="Y125" i="9" s="1"/>
  <c r="U125" i="9"/>
  <c r="W125" i="9" s="1"/>
  <c r="Z79" i="9"/>
  <c r="V79" i="9"/>
  <c r="Y79" i="9" s="1"/>
  <c r="U79" i="9"/>
  <c r="W79" i="9" s="1"/>
  <c r="E80" i="8" s="1"/>
  <c r="V104" i="9"/>
  <c r="Y104" i="9" s="1"/>
  <c r="U104" i="9"/>
  <c r="W104" i="9" s="1"/>
  <c r="V111" i="9"/>
  <c r="Y111" i="9" s="1"/>
  <c r="U111" i="9"/>
  <c r="W111" i="9" s="1"/>
  <c r="Z111" i="9"/>
  <c r="U165" i="9"/>
  <c r="W165" i="9" s="1"/>
  <c r="Z165" i="9"/>
  <c r="V165" i="9"/>
  <c r="Y165" i="9" s="1"/>
  <c r="V293" i="9"/>
  <c r="Y293" i="9" s="1"/>
  <c r="U293" i="9"/>
  <c r="W293" i="9" s="1"/>
  <c r="Z293" i="9"/>
  <c r="Z130" i="9"/>
  <c r="U130" i="9"/>
  <c r="W130" i="9" s="1"/>
  <c r="V130" i="9"/>
  <c r="Y130" i="9" s="1"/>
  <c r="Z41" i="9"/>
  <c r="V41" i="9"/>
  <c r="Y41" i="9" s="1"/>
  <c r="U41" i="9"/>
  <c r="W41" i="9" s="1"/>
  <c r="E42" i="8" s="1"/>
  <c r="V315" i="9"/>
  <c r="Y315" i="9" s="1"/>
  <c r="Z315" i="9"/>
  <c r="U315" i="9"/>
  <c r="W315" i="9" s="1"/>
  <c r="V64" i="9"/>
  <c r="Y64" i="9" s="1"/>
  <c r="Z64" i="9"/>
  <c r="U64" i="9"/>
  <c r="W64" i="9" s="1"/>
  <c r="E65" i="8" s="1"/>
  <c r="U7" i="9"/>
  <c r="W7" i="9" s="1"/>
  <c r="E8" i="8" s="1"/>
  <c r="Z122" i="9"/>
  <c r="V122" i="9"/>
  <c r="Y122" i="9" s="1"/>
  <c r="U122" i="9"/>
  <c r="W122" i="9" s="1"/>
  <c r="Z259" i="9"/>
  <c r="U259" i="9"/>
  <c r="W259" i="9" s="1"/>
  <c r="V259" i="9"/>
  <c r="Y259" i="9" s="1"/>
  <c r="V196" i="9"/>
  <c r="Y196" i="9" s="1"/>
  <c r="U196" i="9"/>
  <c r="W196" i="9" s="1"/>
  <c r="Z196" i="9"/>
  <c r="U47" i="9"/>
  <c r="W47" i="9" s="1"/>
  <c r="E48" i="8" s="1"/>
  <c r="Z47" i="9"/>
  <c r="V47" i="9"/>
  <c r="Y47" i="9" s="1"/>
  <c r="V39" i="9"/>
  <c r="Y39" i="9" s="1"/>
  <c r="Z39" i="9"/>
  <c r="U39" i="9"/>
  <c r="W39" i="9" s="1"/>
  <c r="E40" i="8" s="1"/>
  <c r="Z82" i="9"/>
  <c r="V82" i="9"/>
  <c r="Y82" i="9" s="1"/>
  <c r="U82" i="9"/>
  <c r="W82" i="9" s="1"/>
  <c r="E83" i="8" s="1"/>
  <c r="Z377" i="9"/>
  <c r="V377" i="9"/>
  <c r="Y377" i="9" s="1"/>
  <c r="U377" i="9"/>
  <c r="W377" i="9" s="1"/>
  <c r="Z200" i="9"/>
  <c r="V200" i="9"/>
  <c r="Y200" i="9" s="1"/>
  <c r="U200" i="9"/>
  <c r="W200" i="9" s="1"/>
  <c r="V154" i="9"/>
  <c r="Y154" i="9" s="1"/>
  <c r="Z154" i="9"/>
  <c r="U154" i="9"/>
  <c r="W154" i="9" s="1"/>
  <c r="Z107" i="9"/>
  <c r="V107" i="9"/>
  <c r="Y107" i="9" s="1"/>
  <c r="U107" i="9"/>
  <c r="W107" i="9" s="1"/>
  <c r="Z86" i="9"/>
  <c r="V86" i="9"/>
  <c r="Y86" i="9" s="1"/>
  <c r="U86" i="9"/>
  <c r="W86" i="9" s="1"/>
  <c r="E87" i="8" s="1"/>
  <c r="V27" i="9"/>
  <c r="Y27" i="9" s="1"/>
  <c r="Z69" i="9"/>
  <c r="V69" i="9"/>
  <c r="Y69" i="9" s="1"/>
  <c r="U69" i="9"/>
  <c r="W69" i="9" s="1"/>
  <c r="E70" i="8" s="1"/>
  <c r="Z255" i="9"/>
  <c r="V255" i="9"/>
  <c r="Y255" i="9" s="1"/>
  <c r="U255" i="9"/>
  <c r="W255" i="9" s="1"/>
  <c r="V184" i="9"/>
  <c r="Y184" i="9" s="1"/>
  <c r="Z184" i="9"/>
  <c r="U184" i="9"/>
  <c r="W184" i="9" s="1"/>
  <c r="U329" i="9"/>
  <c r="W329" i="9" s="1"/>
  <c r="Z329" i="9"/>
  <c r="V329" i="9"/>
  <c r="Y329" i="9" s="1"/>
  <c r="U245" i="9"/>
  <c r="W245" i="9" s="1"/>
  <c r="Z245" i="9"/>
  <c r="V245" i="9"/>
  <c r="Y245" i="9" s="1"/>
  <c r="Z359" i="9"/>
  <c r="U359" i="9"/>
  <c r="W359" i="9" s="1"/>
  <c r="V359" i="9"/>
  <c r="Y359" i="9" s="1"/>
  <c r="Z351" i="9"/>
  <c r="V351" i="9"/>
  <c r="Y351" i="9" s="1"/>
  <c r="U351" i="9"/>
  <c r="W351" i="9" s="1"/>
  <c r="Z354" i="9"/>
  <c r="U354" i="9"/>
  <c r="W354" i="9" s="1"/>
  <c r="V354" i="9"/>
  <c r="Y354" i="9" s="1"/>
  <c r="Z303" i="9"/>
  <c r="U303" i="9"/>
  <c r="W303" i="9" s="1"/>
  <c r="V303" i="9"/>
  <c r="Y303" i="9" s="1"/>
  <c r="Z387" i="9"/>
  <c r="U387" i="9"/>
  <c r="W387" i="9" s="1"/>
  <c r="V387" i="9"/>
  <c r="Y387" i="9" s="1"/>
  <c r="Z321" i="9"/>
  <c r="V321" i="9"/>
  <c r="Y321" i="9" s="1"/>
  <c r="U321" i="9"/>
  <c r="W321" i="9" s="1"/>
  <c r="Z153" i="9"/>
  <c r="U153" i="9"/>
  <c r="W153" i="9" s="1"/>
  <c r="V153" i="9"/>
  <c r="Y153" i="9" s="1"/>
  <c r="Z397" i="9"/>
  <c r="U397" i="9"/>
  <c r="W397" i="9" s="1"/>
  <c r="V397" i="9"/>
  <c r="Z304" i="9"/>
  <c r="U304" i="9"/>
  <c r="W304" i="9" s="1"/>
  <c r="V304" i="9"/>
  <c r="Y304" i="9" s="1"/>
  <c r="V84" i="9"/>
  <c r="Y84" i="9" s="1"/>
  <c r="U211" i="9"/>
  <c r="W211" i="9" s="1"/>
  <c r="V211" i="9"/>
  <c r="Y211" i="9" s="1"/>
  <c r="U262" i="9"/>
  <c r="W262" i="9" s="1"/>
  <c r="Z262" i="9"/>
  <c r="V272" i="9"/>
  <c r="Y272" i="9" s="1"/>
  <c r="Z272" i="9"/>
  <c r="U272" i="9"/>
  <c r="W272" i="9" s="1"/>
  <c r="Z241" i="9"/>
  <c r="V241" i="9"/>
  <c r="Y241" i="9" s="1"/>
  <c r="U318" i="9"/>
  <c r="W318" i="9" s="1"/>
  <c r="V318" i="9"/>
  <c r="Y318" i="9" s="1"/>
  <c r="Z318" i="9"/>
  <c r="K309" i="9"/>
  <c r="Z65" i="9"/>
  <c r="U65" i="9"/>
  <c r="W65" i="9" s="1"/>
  <c r="E66" i="8" s="1"/>
  <c r="V65" i="9"/>
  <c r="Y65" i="9" s="1"/>
  <c r="V160" i="9"/>
  <c r="Y160" i="9" s="1"/>
  <c r="Z160" i="9"/>
  <c r="U160" i="9"/>
  <c r="W160" i="9" s="1"/>
  <c r="T355" i="9"/>
  <c r="T345" i="9"/>
  <c r="Z346" i="9"/>
  <c r="U346" i="9"/>
  <c r="W346" i="9" s="1"/>
  <c r="V346" i="9"/>
  <c r="Y346" i="9" s="1"/>
  <c r="V314" i="9"/>
  <c r="Y314" i="9" s="1"/>
  <c r="U314" i="9"/>
  <c r="W314" i="9" s="1"/>
  <c r="Z314" i="9"/>
  <c r="Z339" i="9"/>
  <c r="V339" i="9"/>
  <c r="Y339" i="9" s="1"/>
  <c r="U339" i="9"/>
  <c r="W339" i="9" s="1"/>
  <c r="U383" i="9"/>
  <c r="W383" i="9" s="1"/>
  <c r="Z383" i="9"/>
  <c r="V383" i="9"/>
  <c r="Y383" i="9" s="1"/>
  <c r="Z117" i="9"/>
  <c r="U117" i="9"/>
  <c r="W117" i="9" s="1"/>
  <c r="V117" i="9"/>
  <c r="Y117" i="9" s="1"/>
  <c r="V208" i="9"/>
  <c r="Y208" i="9" s="1"/>
  <c r="U208" i="9"/>
  <c r="W208" i="9" s="1"/>
  <c r="Z208" i="9"/>
  <c r="V72" i="9"/>
  <c r="Y72" i="9" s="1"/>
  <c r="Z72" i="9"/>
  <c r="U72" i="9"/>
  <c r="W72" i="9" s="1"/>
  <c r="E73" i="8" s="1"/>
  <c r="Z88" i="9"/>
  <c r="V88" i="9"/>
  <c r="Y88" i="9" s="1"/>
  <c r="U88" i="9"/>
  <c r="W88" i="9" s="1"/>
  <c r="E89" i="8" s="1"/>
  <c r="Z247" i="9"/>
  <c r="U247" i="9"/>
  <c r="W247" i="9" s="1"/>
  <c r="V247" i="9"/>
  <c r="Y247" i="9" s="1"/>
  <c r="Z343" i="9"/>
  <c r="V343" i="9"/>
  <c r="Y343" i="9" s="1"/>
  <c r="U343" i="9"/>
  <c r="W343" i="9" s="1"/>
  <c r="Z307" i="9"/>
  <c r="U307" i="9"/>
  <c r="W307" i="9" s="1"/>
  <c r="V307" i="9"/>
  <c r="Y307" i="9" s="1"/>
  <c r="Z138" i="9"/>
  <c r="U138" i="9"/>
  <c r="W138" i="9" s="1"/>
  <c r="V138" i="9"/>
  <c r="Y138" i="9" s="1"/>
  <c r="Z276" i="9"/>
  <c r="V276" i="9"/>
  <c r="Y276" i="9" s="1"/>
  <c r="U276" i="9"/>
  <c r="W276" i="9" s="1"/>
  <c r="Z396" i="9"/>
  <c r="V396" i="9"/>
  <c r="U396" i="9"/>
  <c r="W396" i="9" s="1"/>
  <c r="V188" i="9"/>
  <c r="Y188" i="9" s="1"/>
  <c r="Z188" i="9"/>
  <c r="U188" i="9"/>
  <c r="W188" i="9" s="1"/>
  <c r="T110" i="9"/>
  <c r="U179" i="9"/>
  <c r="W179" i="9" s="1"/>
  <c r="Z179" i="9"/>
  <c r="V179" i="9"/>
  <c r="Y179" i="9" s="1"/>
  <c r="V274" i="9"/>
  <c r="Y274" i="9" s="1"/>
  <c r="U274" i="9"/>
  <c r="W274" i="9" s="1"/>
  <c r="Z274" i="9"/>
  <c r="V155" i="9"/>
  <c r="Y155" i="9" s="1"/>
  <c r="Z155" i="9"/>
  <c r="U155" i="9"/>
  <c r="W155" i="9" s="1"/>
  <c r="Z348" i="9"/>
  <c r="V348" i="9"/>
  <c r="Y348" i="9" s="1"/>
  <c r="U348" i="9"/>
  <c r="W348" i="9" s="1"/>
  <c r="V305" i="9"/>
  <c r="Y305" i="9" s="1"/>
  <c r="U305" i="9"/>
  <c r="W305" i="9" s="1"/>
  <c r="Z305" i="9"/>
  <c r="V140" i="9"/>
  <c r="Y140" i="9" s="1"/>
  <c r="U140" i="9"/>
  <c r="W140" i="9" s="1"/>
  <c r="Z140" i="9"/>
  <c r="Z360" i="9"/>
  <c r="V360" i="9"/>
  <c r="Y360" i="9" s="1"/>
  <c r="U360" i="9"/>
  <c r="W360" i="9" s="1"/>
  <c r="T363" i="9"/>
  <c r="Z178" i="9"/>
  <c r="V178" i="9"/>
  <c r="Y178" i="9" s="1"/>
  <c r="U178" i="9"/>
  <c r="W178" i="9" s="1"/>
  <c r="V22" i="9"/>
  <c r="Y22" i="9" s="1"/>
  <c r="U22" i="9"/>
  <c r="W22" i="9" s="1"/>
  <c r="E23" i="8" s="1"/>
  <c r="Z22" i="9"/>
  <c r="Z12" i="9"/>
  <c r="V12" i="9"/>
  <c r="Y12" i="9" s="1"/>
  <c r="U12" i="9"/>
  <c r="W12" i="9" s="1"/>
  <c r="E13" i="8" s="1"/>
  <c r="Z164" i="9"/>
  <c r="V164" i="9"/>
  <c r="Y164" i="9" s="1"/>
  <c r="U164" i="9"/>
  <c r="W164" i="9" s="1"/>
  <c r="V237" i="9"/>
  <c r="Y237" i="9" s="1"/>
  <c r="U237" i="9"/>
  <c r="W237" i="9" s="1"/>
  <c r="Z237" i="9"/>
  <c r="Z279" i="9"/>
  <c r="U279" i="9"/>
  <c r="W279" i="9" s="1"/>
  <c r="V279" i="9"/>
  <c r="Y279" i="9" s="1"/>
  <c r="Z136" i="9"/>
  <c r="V136" i="9"/>
  <c r="Y136" i="9" s="1"/>
  <c r="U136" i="9"/>
  <c r="W136" i="9" s="1"/>
  <c r="Z192" i="9"/>
  <c r="V192" i="9"/>
  <c r="Y192" i="9" s="1"/>
  <c r="U192" i="9"/>
  <c r="W192" i="9" s="1"/>
  <c r="T332" i="9"/>
  <c r="Z373" i="9"/>
  <c r="U373" i="9"/>
  <c r="W373" i="9" s="1"/>
  <c r="V373" i="9"/>
  <c r="Y373" i="9" s="1"/>
  <c r="Z87" i="9"/>
  <c r="V87" i="9"/>
  <c r="Y87" i="9" s="1"/>
  <c r="U87" i="9"/>
  <c r="W87" i="9" s="1"/>
  <c r="E88" i="8" s="1"/>
  <c r="Z139" i="9"/>
  <c r="U139" i="9"/>
  <c r="W139" i="9" s="1"/>
  <c r="V139" i="9"/>
  <c r="Y139" i="9" s="1"/>
  <c r="Z313" i="9"/>
  <c r="U313" i="9"/>
  <c r="W313" i="9" s="1"/>
  <c r="V313" i="9"/>
  <c r="Y313" i="9" s="1"/>
  <c r="Z205" i="9"/>
  <c r="U205" i="9"/>
  <c r="W205" i="9" s="1"/>
  <c r="V205" i="9"/>
  <c r="Y205" i="9" s="1"/>
  <c r="Z220" i="9"/>
  <c r="V220" i="9"/>
  <c r="Y220" i="9" s="1"/>
  <c r="U220" i="9"/>
  <c r="W220" i="9" s="1"/>
  <c r="Z294" i="9"/>
  <c r="U294" i="9"/>
  <c r="W294" i="9" s="1"/>
  <c r="V294" i="9"/>
  <c r="Y294" i="9" s="1"/>
  <c r="U19" i="9"/>
  <c r="W19" i="9" s="1"/>
  <c r="E20" i="8" s="1"/>
  <c r="Z19" i="9"/>
  <c r="V19" i="9"/>
  <c r="Y19" i="9" s="1"/>
  <c r="V386" i="9"/>
  <c r="Y386" i="9" s="1"/>
  <c r="U386" i="9"/>
  <c r="W386" i="9" s="1"/>
  <c r="Z386" i="9"/>
  <c r="V264" i="9"/>
  <c r="Y264" i="9" s="1"/>
  <c r="U264" i="9"/>
  <c r="W264" i="9" s="1"/>
  <c r="Z264" i="9"/>
  <c r="Z369" i="9"/>
  <c r="U369" i="9"/>
  <c r="W369" i="9" s="1"/>
  <c r="V369" i="9"/>
  <c r="Y369" i="9" s="1"/>
  <c r="V302" i="9"/>
  <c r="Y302" i="9" s="1"/>
  <c r="U302" i="9"/>
  <c r="W302" i="9" s="1"/>
  <c r="Z302" i="9"/>
  <c r="Z381" i="9"/>
  <c r="V381" i="9"/>
  <c r="Y381" i="9" s="1"/>
  <c r="U381" i="9"/>
  <c r="W381" i="9" s="1"/>
  <c r="Z116" i="9"/>
  <c r="V116" i="9"/>
  <c r="Y116" i="9" s="1"/>
  <c r="U116" i="9"/>
  <c r="W116" i="9" s="1"/>
  <c r="Z9" i="9"/>
  <c r="U9" i="9"/>
  <c r="W9" i="9" s="1"/>
  <c r="E10" i="8" s="1"/>
  <c r="V9" i="9"/>
  <c r="Y9" i="9" s="1"/>
  <c r="V189" i="9"/>
  <c r="Y189" i="9" s="1"/>
  <c r="Z189" i="9"/>
  <c r="U189" i="9"/>
  <c r="W189" i="9" s="1"/>
  <c r="V161" i="9"/>
  <c r="Y161" i="9" s="1"/>
  <c r="Z161" i="9"/>
  <c r="U161" i="9"/>
  <c r="W161" i="9" s="1"/>
  <c r="U384" i="9"/>
  <c r="W384" i="9" s="1"/>
  <c r="V384" i="9"/>
  <c r="Y384" i="9" s="1"/>
  <c r="Z384" i="9"/>
  <c r="Z33" i="9"/>
  <c r="V33" i="9"/>
  <c r="Y33" i="9" s="1"/>
  <c r="U33" i="9"/>
  <c r="W33" i="9" s="1"/>
  <c r="E34" i="8" s="1"/>
  <c r="U243" i="9"/>
  <c r="W243" i="9" s="1"/>
  <c r="V243" i="9"/>
  <c r="Y243" i="9" s="1"/>
  <c r="Z243" i="9"/>
  <c r="Z340" i="9"/>
  <c r="V340" i="9"/>
  <c r="Y340" i="9" s="1"/>
  <c r="U340" i="9"/>
  <c r="W340" i="9" s="1"/>
  <c r="V92" i="9"/>
  <c r="Y92" i="9" s="1"/>
  <c r="Z92" i="9"/>
  <c r="U92" i="9"/>
  <c r="W92" i="9" s="1"/>
  <c r="V231" i="9"/>
  <c r="Y231" i="9" s="1"/>
  <c r="U231" i="9"/>
  <c r="W231" i="9" s="1"/>
  <c r="Z231" i="9"/>
  <c r="Z257" i="9"/>
  <c r="U257" i="9"/>
  <c r="W257" i="9" s="1"/>
  <c r="V257" i="9"/>
  <c r="Y257" i="9" s="1"/>
  <c r="U391" i="9"/>
  <c r="W391" i="9" s="1"/>
  <c r="V391" i="9"/>
  <c r="Y391" i="9" s="1"/>
  <c r="Z391" i="9"/>
  <c r="T199" i="9"/>
  <c r="Z223" i="9"/>
  <c r="V223" i="9"/>
  <c r="Y223" i="9" s="1"/>
  <c r="U223" i="9"/>
  <c r="W223" i="9" s="1"/>
  <c r="Z169" i="9"/>
  <c r="U169" i="9"/>
  <c r="W169" i="9" s="1"/>
  <c r="V169" i="9"/>
  <c r="Y169" i="9" s="1"/>
  <c r="Z44" i="9"/>
  <c r="V44" i="9"/>
  <c r="Y44" i="9" s="1"/>
  <c r="U44" i="9"/>
  <c r="W44" i="9" s="1"/>
  <c r="E45" i="8" s="1"/>
  <c r="V6" i="9"/>
  <c r="Y6" i="9" s="1"/>
  <c r="U6" i="9"/>
  <c r="W6" i="9" s="1"/>
  <c r="E7" i="8" s="1"/>
  <c r="Z6" i="9"/>
  <c r="U356" i="9"/>
  <c r="W356" i="9" s="1"/>
  <c r="V356" i="9"/>
  <c r="Y356" i="9" s="1"/>
  <c r="Z356" i="9"/>
  <c r="Z248" i="9"/>
  <c r="U248" i="9"/>
  <c r="W248" i="9" s="1"/>
  <c r="V248" i="9"/>
  <c r="Y248" i="9" s="1"/>
  <c r="T137" i="9"/>
  <c r="T291" i="9"/>
  <c r="V246" i="9"/>
  <c r="Y246" i="9" s="1"/>
  <c r="U246" i="9"/>
  <c r="W246" i="9" s="1"/>
  <c r="Z246" i="9"/>
  <c r="Z324" i="9"/>
  <c r="V324" i="9"/>
  <c r="Y324" i="9" s="1"/>
  <c r="U324" i="9"/>
  <c r="W324" i="9" s="1"/>
  <c r="Z333" i="9"/>
  <c r="V333" i="9"/>
  <c r="Y333" i="9" s="1"/>
  <c r="U333" i="9"/>
  <c r="W333" i="9" s="1"/>
  <c r="T317" i="9"/>
  <c r="Z296" i="9"/>
  <c r="U215" i="9"/>
  <c r="W215" i="9" s="1"/>
  <c r="Z215" i="9"/>
  <c r="V215" i="9"/>
  <c r="Y215" i="9" s="1"/>
  <c r="U151" i="9"/>
  <c r="W151" i="9" s="1"/>
  <c r="Z151" i="9"/>
  <c r="V151" i="9"/>
  <c r="Y151" i="9" s="1"/>
  <c r="V158" i="9"/>
  <c r="Y158" i="9" s="1"/>
  <c r="U158" i="9"/>
  <c r="W158" i="9" s="1"/>
  <c r="Z158" i="9"/>
  <c r="V218" i="9"/>
  <c r="Y218" i="9" s="1"/>
  <c r="U218" i="9"/>
  <c r="W218" i="9" s="1"/>
  <c r="Z218" i="9"/>
  <c r="Z176" i="9"/>
  <c r="V176" i="9"/>
  <c r="Y176" i="9" s="1"/>
  <c r="U176" i="9"/>
  <c r="W176" i="9" s="1"/>
  <c r="Z325" i="9"/>
  <c r="V325" i="9"/>
  <c r="Y325" i="9" s="1"/>
  <c r="U325" i="9"/>
  <c r="W325" i="9" s="1"/>
  <c r="Z180" i="9"/>
  <c r="V180" i="9"/>
  <c r="Y180" i="9" s="1"/>
  <c r="U180" i="9"/>
  <c r="W180" i="9" s="1"/>
  <c r="U206" i="9"/>
  <c r="W206" i="9" s="1"/>
  <c r="V206" i="9"/>
  <c r="Y206" i="9" s="1"/>
  <c r="Z206" i="9"/>
  <c r="V157" i="9"/>
  <c r="Y157" i="9" s="1"/>
  <c r="Z157" i="9"/>
  <c r="U157" i="9"/>
  <c r="W157" i="9" s="1"/>
  <c r="V14" i="9"/>
  <c r="Y14" i="9" s="1"/>
  <c r="Z14" i="9"/>
  <c r="U14" i="9"/>
  <c r="W14" i="9" s="1"/>
  <c r="E15" i="8" s="1"/>
  <c r="Z76" i="9"/>
  <c r="U76" i="9"/>
  <c r="W76" i="9" s="1"/>
  <c r="E77" i="8" s="1"/>
  <c r="V76" i="9"/>
  <c r="Y76" i="9" s="1"/>
  <c r="U128" i="9"/>
  <c r="W128" i="9" s="1"/>
  <c r="V128" i="9"/>
  <c r="Y128" i="9" s="1"/>
  <c r="Z128" i="9"/>
  <c r="V127" i="9"/>
  <c r="Y127" i="9" s="1"/>
  <c r="Z127" i="9"/>
  <c r="U127" i="9"/>
  <c r="W127" i="9" s="1"/>
  <c r="Z306" i="9"/>
  <c r="V306" i="9"/>
  <c r="Y306" i="9" s="1"/>
  <c r="U306" i="9"/>
  <c r="W306" i="9" s="1"/>
  <c r="U235" i="9"/>
  <c r="W235" i="9" s="1"/>
  <c r="Z235" i="9"/>
  <c r="V235" i="9"/>
  <c r="Y235" i="9" s="1"/>
  <c r="Z213" i="9"/>
  <c r="U213" i="9"/>
  <c r="W213" i="9" s="1"/>
  <c r="V213" i="9"/>
  <c r="Y213" i="9" s="1"/>
  <c r="Z11" i="9"/>
  <c r="U11" i="9"/>
  <c r="W11" i="9" s="1"/>
  <c r="E12" i="8" s="1"/>
  <c r="V11" i="9"/>
  <c r="Y11" i="9" s="1"/>
  <c r="T100" i="9"/>
  <c r="V78" i="9"/>
  <c r="Y78" i="9" s="1"/>
  <c r="U78" i="9"/>
  <c r="W78" i="9" s="1"/>
  <c r="E79" i="8" s="1"/>
  <c r="Z78" i="9"/>
  <c r="V168" i="9"/>
  <c r="Y168" i="9" s="1"/>
  <c r="Z168" i="9"/>
  <c r="U168" i="9"/>
  <c r="W168" i="9" s="1"/>
  <c r="V273" i="9"/>
  <c r="Y273" i="9" s="1"/>
  <c r="U273" i="9"/>
  <c r="W273" i="9" s="1"/>
  <c r="Z273" i="9"/>
  <c r="V8" i="9"/>
  <c r="Y8" i="9" s="1"/>
  <c r="U8" i="9"/>
  <c r="W8" i="9" s="1"/>
  <c r="E9" i="8" s="1"/>
  <c r="Z8" i="9"/>
  <c r="T80" i="9"/>
  <c r="U187" i="9"/>
  <c r="W187" i="9" s="1"/>
  <c r="V187" i="9"/>
  <c r="Y187" i="9" s="1"/>
  <c r="Z187" i="9"/>
  <c r="U67" i="9"/>
  <c r="W67" i="9" s="1"/>
  <c r="E68" i="8" s="1"/>
  <c r="V67" i="9"/>
  <c r="Y67" i="9" s="1"/>
  <c r="Z67" i="9"/>
  <c r="V43" i="9"/>
  <c r="Y43" i="9" s="1"/>
  <c r="Z43" i="9"/>
  <c r="U43" i="9"/>
  <c r="W43" i="9" s="1"/>
  <c r="E44" i="8" s="1"/>
  <c r="Z10" i="9"/>
  <c r="U10" i="9"/>
  <c r="W10" i="9" s="1"/>
  <c r="E11" i="8" s="1"/>
  <c r="V10" i="9"/>
  <c r="Y10" i="9" s="1"/>
  <c r="V17" i="9"/>
  <c r="Y17" i="9" s="1"/>
  <c r="Z17" i="9"/>
  <c r="U17" i="9"/>
  <c r="W17" i="9" s="1"/>
  <c r="E18" i="8" s="1"/>
  <c r="Z385" i="9"/>
  <c r="V385" i="9"/>
  <c r="Y385" i="9" s="1"/>
  <c r="U385" i="9"/>
  <c r="W385" i="9" s="1"/>
  <c r="T258" i="9"/>
  <c r="Z367" i="9"/>
  <c r="V367" i="9"/>
  <c r="Y367" i="9" s="1"/>
  <c r="U367" i="9"/>
  <c r="W367" i="9" s="1"/>
  <c r="U103" i="9"/>
  <c r="W103" i="9" s="1"/>
  <c r="Z103" i="9"/>
  <c r="V103" i="9"/>
  <c r="Y103" i="9" s="1"/>
  <c r="V344" i="9"/>
  <c r="Y344" i="9" s="1"/>
  <c r="Z344" i="9"/>
  <c r="U344" i="9"/>
  <c r="W344" i="9" s="1"/>
  <c r="Z250" i="9"/>
  <c r="V250" i="9"/>
  <c r="Y250" i="9" s="1"/>
  <c r="U250" i="9"/>
  <c r="W250" i="9" s="1"/>
  <c r="Z57" i="9"/>
  <c r="V57" i="9"/>
  <c r="Y57" i="9" s="1"/>
  <c r="U57" i="9"/>
  <c r="W57" i="9" s="1"/>
  <c r="E58" i="8" s="1"/>
  <c r="V269" i="9"/>
  <c r="Y269" i="9" s="1"/>
  <c r="U269" i="9"/>
  <c r="W269" i="9" s="1"/>
  <c r="Z269" i="9"/>
  <c r="V376" i="9"/>
  <c r="Y376" i="9" s="1"/>
  <c r="Z376" i="9"/>
  <c r="U376" i="9"/>
  <c r="W376" i="9" s="1"/>
  <c r="T270" i="9"/>
  <c r="T242" i="9"/>
  <c r="T368" i="9"/>
  <c r="Z143" i="9"/>
  <c r="U143" i="9"/>
  <c r="W143" i="9" s="1"/>
  <c r="V143" i="9"/>
  <c r="Y143" i="9" s="1"/>
  <c r="V45" i="9"/>
  <c r="Y45" i="9" s="1"/>
  <c r="Z45" i="9"/>
  <c r="U45" i="9"/>
  <c r="W45" i="9" s="1"/>
  <c r="E46" i="8" s="1"/>
  <c r="U132" i="9"/>
  <c r="W132" i="9" s="1"/>
  <c r="V132" i="9"/>
  <c r="Y132" i="9" s="1"/>
  <c r="Z132" i="9"/>
  <c r="Z233" i="9"/>
  <c r="U233" i="9"/>
  <c r="W233" i="9" s="1"/>
  <c r="V233" i="9"/>
  <c r="Y233" i="9" s="1"/>
  <c r="V35" i="9"/>
  <c r="Y35" i="9" s="1"/>
  <c r="U35" i="9"/>
  <c r="W35" i="9" s="1"/>
  <c r="E36" i="8" s="1"/>
  <c r="Z35" i="9"/>
  <c r="V252" i="9"/>
  <c r="Y252" i="9" s="1"/>
  <c r="U252" i="9"/>
  <c r="W252" i="9" s="1"/>
  <c r="Z252" i="9"/>
  <c r="Z58" i="9"/>
  <c r="V58" i="9"/>
  <c r="Y58" i="9" s="1"/>
  <c r="U58" i="9"/>
  <c r="W58" i="9" s="1"/>
  <c r="E59" i="8" s="1"/>
  <c r="V221" i="9"/>
  <c r="Y221" i="9" s="1"/>
  <c r="U221" i="9"/>
  <c r="W221" i="9" s="1"/>
  <c r="Z221" i="9"/>
  <c r="U327" i="9"/>
  <c r="W327" i="9" s="1"/>
  <c r="Z327" i="9"/>
  <c r="V327" i="9"/>
  <c r="Y327" i="9" s="1"/>
  <c r="Z96" i="9"/>
  <c r="U96" i="9"/>
  <c r="W96" i="9" s="1"/>
  <c r="V96" i="9"/>
  <c r="Y96" i="9" s="1"/>
  <c r="Z171" i="9"/>
  <c r="V171" i="9"/>
  <c r="Y171" i="9" s="1"/>
  <c r="U171" i="9"/>
  <c r="W171" i="9" s="1"/>
  <c r="U25" i="9"/>
  <c r="W25" i="9" s="1"/>
  <c r="E26" i="8" s="1"/>
  <c r="Z25" i="9"/>
  <c r="V25" i="9"/>
  <c r="Y25" i="9" s="1"/>
  <c r="T309" i="9"/>
  <c r="Z289" i="9"/>
  <c r="U289" i="9"/>
  <c r="W289" i="9" s="1"/>
  <c r="V289" i="9"/>
  <c r="Y289" i="9" s="1"/>
  <c r="Z341" i="9"/>
  <c r="U341" i="9"/>
  <c r="W341" i="9" s="1"/>
  <c r="V341" i="9"/>
  <c r="Y341" i="9" s="1"/>
  <c r="Z61" i="9"/>
  <c r="U61" i="9"/>
  <c r="W61" i="9" s="1"/>
  <c r="E62" i="8" s="1"/>
  <c r="V61" i="9"/>
  <c r="Y61" i="9" s="1"/>
  <c r="V330" i="9"/>
  <c r="Y330" i="9" s="1"/>
  <c r="U330" i="9"/>
  <c r="W330" i="9" s="1"/>
  <c r="Z330" i="9"/>
  <c r="U207" i="9"/>
  <c r="W207" i="9" s="1"/>
  <c r="V207" i="9"/>
  <c r="Y207" i="9" s="1"/>
  <c r="Z207" i="9"/>
  <c r="Z260" i="9"/>
  <c r="V260" i="9"/>
  <c r="Y260" i="9" s="1"/>
  <c r="U260" i="9"/>
  <c r="W260" i="9" s="1"/>
  <c r="V150" i="9"/>
  <c r="Y150" i="9" s="1"/>
  <c r="Z150" i="9"/>
  <c r="U150" i="9"/>
  <c r="W150" i="9" s="1"/>
  <c r="T5" i="9"/>
  <c r="T382" i="9"/>
  <c r="T144" i="9"/>
  <c r="Z94" i="9"/>
  <c r="U94" i="9"/>
  <c r="W94" i="9" s="1"/>
  <c r="V94" i="9"/>
  <c r="Y94" i="9" s="1"/>
  <c r="Z63" i="9"/>
  <c r="V63" i="9"/>
  <c r="Y63" i="9" s="1"/>
  <c r="U63" i="9"/>
  <c r="W63" i="9" s="1"/>
  <c r="E64" i="8" s="1"/>
  <c r="Z388" i="9"/>
  <c r="U388" i="9"/>
  <c r="W388" i="9" s="1"/>
  <c r="V388" i="9"/>
  <c r="Y388" i="9" s="1"/>
  <c r="Z51" i="9"/>
  <c r="V51" i="9"/>
  <c r="Y51" i="9" s="1"/>
  <c r="U51" i="9"/>
  <c r="W51" i="9" s="1"/>
  <c r="E52" i="8" s="1"/>
  <c r="Z170" i="9"/>
  <c r="V170" i="9"/>
  <c r="Y170" i="9" s="1"/>
  <c r="U170" i="9"/>
  <c r="W170" i="9" s="1"/>
  <c r="Z227" i="9"/>
  <c r="V227" i="9"/>
  <c r="Y227" i="9" s="1"/>
  <c r="U227" i="9"/>
  <c r="W227" i="9" s="1"/>
  <c r="V133" i="9"/>
  <c r="Y133" i="9" s="1"/>
  <c r="Z133" i="9"/>
  <c r="U133" i="9"/>
  <c r="W133" i="9" s="1"/>
  <c r="V239" i="9"/>
  <c r="Y239" i="9" s="1"/>
  <c r="U239" i="9"/>
  <c r="W239" i="9" s="1"/>
  <c r="Z239" i="9"/>
  <c r="Z253" i="9"/>
  <c r="U253" i="9"/>
  <c r="W253" i="9" s="1"/>
  <c r="V253" i="9"/>
  <c r="Y253" i="9" s="1"/>
  <c r="U353" i="9"/>
  <c r="W353" i="9" s="1"/>
  <c r="V353" i="9"/>
  <c r="Y353" i="9" s="1"/>
  <c r="Z353" i="9"/>
  <c r="U271" i="9"/>
  <c r="W271" i="9" s="1"/>
  <c r="Z271" i="9"/>
  <c r="V271" i="9"/>
  <c r="Y271" i="9" s="1"/>
  <c r="U75" i="9"/>
  <c r="W75" i="9" s="1"/>
  <c r="E76" i="8" s="1"/>
  <c r="V75" i="9"/>
  <c r="Y75" i="9" s="1"/>
  <c r="Z75" i="9"/>
  <c r="T219" i="9"/>
  <c r="V336" i="9"/>
  <c r="Y336" i="9" s="1"/>
  <c r="U336" i="9"/>
  <c r="W336" i="9" s="1"/>
  <c r="Z336" i="9"/>
  <c r="V124" i="9"/>
  <c r="Y124" i="9" s="1"/>
  <c r="U124" i="9"/>
  <c r="W124" i="9" s="1"/>
  <c r="Z124" i="9"/>
  <c r="Z393" i="9"/>
  <c r="U393" i="9"/>
  <c r="W393" i="9" s="1"/>
  <c r="V393" i="9"/>
  <c r="Y393" i="9" s="1"/>
  <c r="U186" i="9"/>
  <c r="W186" i="9" s="1"/>
  <c r="Z186" i="9"/>
  <c r="V186" i="9"/>
  <c r="Y186" i="9" s="1"/>
  <c r="Z29" i="9"/>
  <c r="U29" i="9"/>
  <c r="W29" i="9" s="1"/>
  <c r="E30" i="8" s="1"/>
  <c r="V29" i="9"/>
  <c r="Y29" i="9" s="1"/>
  <c r="V371" i="9"/>
  <c r="Y371" i="9" s="1"/>
  <c r="Z371" i="9"/>
  <c r="U371" i="9"/>
  <c r="W371" i="9" s="1"/>
  <c r="V319" i="9"/>
  <c r="Y319" i="9" s="1"/>
  <c r="U319" i="9"/>
  <c r="W319" i="9" s="1"/>
  <c r="Z319" i="9"/>
  <c r="U378" i="9"/>
  <c r="W378" i="9" s="1"/>
  <c r="V378" i="9"/>
  <c r="Y378" i="9" s="1"/>
  <c r="Z378" i="9"/>
  <c r="Z266" i="9"/>
  <c r="V266" i="9"/>
  <c r="Y266" i="9" s="1"/>
  <c r="U266" i="9"/>
  <c r="W266" i="9" s="1"/>
  <c r="T212" i="9"/>
  <c r="Z349" i="9"/>
  <c r="U349" i="9"/>
  <c r="W349" i="9" s="1"/>
  <c r="V349" i="9"/>
  <c r="Y349" i="9" s="1"/>
  <c r="T225" i="9"/>
  <c r="Z328" i="9"/>
  <c r="V328" i="9"/>
  <c r="Y328" i="9" s="1"/>
  <c r="U328" i="9"/>
  <c r="W328" i="9" s="1"/>
  <c r="Z251" i="9"/>
  <c r="U251" i="9"/>
  <c r="W251" i="9" s="1"/>
  <c r="V251" i="9"/>
  <c r="Y251" i="9" s="1"/>
  <c r="Z380" i="9"/>
  <c r="U380" i="9"/>
  <c r="W380" i="9" s="1"/>
  <c r="V380" i="9"/>
  <c r="Y380" i="9" s="1"/>
  <c r="V70" i="9"/>
  <c r="Y70" i="9" s="1"/>
  <c r="U70" i="9"/>
  <c r="W70" i="9" s="1"/>
  <c r="E71" i="8" s="1"/>
  <c r="Z70" i="9"/>
  <c r="V112" i="9"/>
  <c r="Y112" i="9" s="1"/>
  <c r="U112" i="9"/>
  <c r="W112" i="9" s="1"/>
  <c r="Z112" i="9"/>
  <c r="V77" i="9"/>
  <c r="Y77" i="9" s="1"/>
  <c r="Z77" i="9"/>
  <c r="U77" i="9"/>
  <c r="W77" i="9" s="1"/>
  <c r="E78" i="8" s="1"/>
  <c r="Z278" i="9"/>
  <c r="V278" i="9"/>
  <c r="Y278" i="9" s="1"/>
  <c r="U278" i="9"/>
  <c r="W278" i="9" s="1"/>
  <c r="Z166" i="9"/>
  <c r="V166" i="9"/>
  <c r="Y166" i="9" s="1"/>
  <c r="U166" i="9"/>
  <c r="W166" i="9" s="1"/>
  <c r="T236" i="9"/>
  <c r="V98" i="9"/>
  <c r="Y98" i="9" s="1"/>
  <c r="Z98" i="9"/>
  <c r="U98" i="9"/>
  <c r="W98" i="9" s="1"/>
  <c r="K154" i="9"/>
  <c r="G154" i="9"/>
  <c r="K241" i="9"/>
  <c r="G241" i="9"/>
  <c r="K20" i="9"/>
  <c r="G20" i="9"/>
  <c r="K390" i="9"/>
  <c r="G390" i="9"/>
  <c r="K393" i="9"/>
  <c r="G393" i="9"/>
  <c r="K345" i="9"/>
  <c r="G345" i="9"/>
  <c r="K226" i="9"/>
  <c r="G226" i="9"/>
  <c r="K283" i="9"/>
  <c r="G283" i="9"/>
  <c r="K173" i="9"/>
  <c r="G173" i="9"/>
  <c r="K37" i="9"/>
  <c r="G37" i="9"/>
  <c r="K115" i="9"/>
  <c r="G115" i="9"/>
  <c r="K41" i="9"/>
  <c r="G41" i="9"/>
  <c r="K291" i="9"/>
  <c r="G291" i="9"/>
  <c r="K217" i="9"/>
  <c r="G217" i="9"/>
  <c r="K162" i="9"/>
  <c r="G162" i="9"/>
  <c r="K247" i="9"/>
  <c r="G247" i="9"/>
  <c r="K389" i="9"/>
  <c r="G389" i="9"/>
  <c r="K391" i="9"/>
  <c r="G391" i="9"/>
  <c r="K186" i="9"/>
  <c r="G186" i="9"/>
  <c r="K110" i="9"/>
  <c r="G110" i="9"/>
  <c r="K261" i="9"/>
  <c r="G261" i="9"/>
  <c r="K339" i="9"/>
  <c r="G339" i="9"/>
  <c r="K321" i="9"/>
  <c r="G321" i="9"/>
  <c r="K153" i="9"/>
  <c r="G153" i="9"/>
  <c r="K329" i="9"/>
  <c r="G329" i="9"/>
  <c r="K360" i="9"/>
  <c r="G360" i="9"/>
  <c r="K10" i="9"/>
  <c r="G10" i="9"/>
  <c r="K268" i="9"/>
  <c r="G268" i="9"/>
  <c r="K300" i="9"/>
  <c r="G300" i="9"/>
  <c r="K111" i="9"/>
  <c r="G111" i="9"/>
  <c r="K91" i="9"/>
  <c r="G91" i="9"/>
  <c r="K348" i="9"/>
  <c r="G348" i="9"/>
  <c r="K175" i="9"/>
  <c r="G175" i="9"/>
  <c r="K338" i="9"/>
  <c r="G338" i="9"/>
  <c r="K30" i="9"/>
  <c r="G30" i="9"/>
  <c r="K286" i="9"/>
  <c r="G286" i="9"/>
  <c r="K125" i="9"/>
  <c r="G125" i="9"/>
  <c r="K124" i="9"/>
  <c r="G124" i="9"/>
  <c r="K211" i="9"/>
  <c r="G211" i="9"/>
  <c r="K290" i="9"/>
  <c r="G290" i="9"/>
  <c r="K206" i="9"/>
  <c r="G206" i="9"/>
  <c r="K95" i="9"/>
  <c r="G95" i="9"/>
  <c r="K257" i="9"/>
  <c r="G257" i="9"/>
  <c r="K172" i="9"/>
  <c r="G172" i="9"/>
  <c r="K260" i="9"/>
  <c r="G260" i="9"/>
  <c r="K352" i="9"/>
  <c r="G352" i="9"/>
  <c r="K301" i="9"/>
  <c r="G301" i="9"/>
  <c r="K331" i="9"/>
  <c r="G331" i="9"/>
  <c r="K353" i="9"/>
  <c r="G353" i="9"/>
  <c r="K274" i="9"/>
  <c r="G274" i="9"/>
  <c r="K221" i="9"/>
  <c r="G221" i="9"/>
  <c r="K168" i="9"/>
  <c r="G168" i="9"/>
  <c r="K280" i="9"/>
  <c r="G280" i="9"/>
  <c r="K225" i="9"/>
  <c r="G225" i="9"/>
  <c r="K122" i="9"/>
  <c r="G122" i="9"/>
  <c r="K66" i="9"/>
  <c r="G66" i="9"/>
  <c r="K174" i="9"/>
  <c r="G174" i="9"/>
  <c r="K234" i="9"/>
  <c r="G234" i="9"/>
  <c r="K151" i="9"/>
  <c r="G151" i="9"/>
  <c r="K357" i="9"/>
  <c r="G357" i="9"/>
  <c r="K22" i="9"/>
  <c r="G22" i="9"/>
  <c r="K107" i="9"/>
  <c r="G107" i="9"/>
  <c r="K249" i="9"/>
  <c r="G249" i="9"/>
  <c r="K251" i="9"/>
  <c r="G251" i="9"/>
  <c r="K324" i="9"/>
  <c r="G324" i="9"/>
  <c r="K15" i="9"/>
  <c r="G15" i="9"/>
  <c r="K295" i="9"/>
  <c r="G295" i="9"/>
  <c r="K128" i="9"/>
  <c r="G128" i="9"/>
  <c r="K129" i="9"/>
  <c r="G129" i="9"/>
  <c r="K278" i="9"/>
  <c r="G278" i="9"/>
  <c r="K133" i="9"/>
  <c r="G133" i="9"/>
  <c r="K135" i="9"/>
  <c r="G135" i="9"/>
  <c r="K387" i="9"/>
  <c r="G387" i="9"/>
  <c r="K253" i="9"/>
  <c r="G253" i="9"/>
  <c r="K354" i="9"/>
  <c r="G354" i="9"/>
  <c r="K188" i="9"/>
  <c r="G188" i="9"/>
  <c r="K105" i="9"/>
  <c r="G105" i="9"/>
  <c r="K385" i="9"/>
  <c r="G385" i="9"/>
  <c r="K302" i="9"/>
  <c r="G302" i="9"/>
  <c r="K121" i="9"/>
  <c r="G121" i="9"/>
  <c r="K277" i="9"/>
  <c r="G277" i="9"/>
  <c r="K279" i="9"/>
  <c r="G279" i="9"/>
  <c r="K336" i="9"/>
  <c r="G336" i="9"/>
  <c r="K322" i="9"/>
  <c r="G322" i="9"/>
  <c r="K157" i="9"/>
  <c r="G157" i="9"/>
  <c r="K330" i="9"/>
  <c r="G330" i="9"/>
  <c r="K164" i="9"/>
  <c r="G164" i="9"/>
  <c r="K28" i="9"/>
  <c r="G28" i="9"/>
  <c r="K281" i="9"/>
  <c r="G281" i="9"/>
  <c r="K169" i="9"/>
  <c r="G169" i="9"/>
  <c r="K195" i="9"/>
  <c r="G195" i="9"/>
  <c r="K100" i="9"/>
  <c r="G100" i="9"/>
  <c r="K39" i="9"/>
  <c r="G39" i="9"/>
  <c r="K68" i="9"/>
  <c r="G68" i="9"/>
  <c r="K69" i="9"/>
  <c r="G69" i="9"/>
  <c r="K190" i="9"/>
  <c r="G190" i="9"/>
  <c r="K198" i="9"/>
  <c r="G198" i="9"/>
  <c r="K13" i="9"/>
  <c r="G13" i="9"/>
  <c r="K282" i="9"/>
  <c r="G282" i="9"/>
  <c r="K239" i="9"/>
  <c r="G239" i="9"/>
  <c r="K72" i="9"/>
  <c r="G72" i="9"/>
  <c r="K80" i="9"/>
  <c r="G80" i="9"/>
  <c r="K103" i="9"/>
  <c r="G103" i="9"/>
  <c r="K355" i="9"/>
  <c r="G355" i="9"/>
  <c r="K98" i="9"/>
  <c r="G98" i="9"/>
  <c r="K71" i="9"/>
  <c r="G71" i="9"/>
  <c r="K344" i="9"/>
  <c r="G344" i="9"/>
  <c r="K148" i="9"/>
  <c r="G148" i="9"/>
  <c r="K16" i="9"/>
  <c r="G16" i="9"/>
  <c r="K89" i="9"/>
  <c r="G89" i="9"/>
  <c r="K395" i="9"/>
  <c r="G395" i="9"/>
  <c r="K265" i="9"/>
  <c r="G265" i="9"/>
  <c r="K242" i="9"/>
  <c r="G242" i="9"/>
  <c r="K7" i="9"/>
  <c r="G7" i="9"/>
  <c r="K318" i="9"/>
  <c r="G318" i="9"/>
  <c r="K45" i="9"/>
  <c r="G45" i="9"/>
  <c r="K43" i="9"/>
  <c r="G43" i="9"/>
  <c r="K74" i="9"/>
  <c r="G74" i="9"/>
  <c r="K351" i="9"/>
  <c r="G351" i="9"/>
  <c r="K34" i="9"/>
  <c r="G34" i="9"/>
  <c r="K118" i="9"/>
  <c r="G118" i="9"/>
  <c r="K114" i="9"/>
  <c r="G114" i="9"/>
  <c r="K92" i="9"/>
  <c r="G92" i="9"/>
  <c r="K176" i="9"/>
  <c r="G176" i="9"/>
  <c r="K215" i="9"/>
  <c r="G215" i="9"/>
  <c r="K6" i="9"/>
  <c r="G6" i="9"/>
  <c r="K23" i="9"/>
  <c r="G23" i="9"/>
  <c r="K167" i="9"/>
  <c r="G167" i="9"/>
  <c r="K287" i="9"/>
  <c r="G287" i="9"/>
  <c r="K231" i="9"/>
  <c r="G231" i="9"/>
  <c r="K316" i="9"/>
  <c r="G316" i="9"/>
  <c r="K142" i="9"/>
  <c r="G142" i="9"/>
  <c r="K303" i="9"/>
  <c r="G303" i="9"/>
  <c r="K146" i="9"/>
  <c r="G146" i="9"/>
  <c r="K149" i="9"/>
  <c r="G149" i="9"/>
  <c r="K21" i="9"/>
  <c r="G21" i="9"/>
  <c r="K119" i="9"/>
  <c r="G119" i="9"/>
  <c r="K368" i="9"/>
  <c r="G368" i="9"/>
  <c r="K193" i="9"/>
  <c r="G193" i="9"/>
  <c r="K229" i="9"/>
  <c r="G229" i="9"/>
  <c r="K343" i="9"/>
  <c r="G343" i="9"/>
  <c r="K132" i="9"/>
  <c r="G132" i="9"/>
  <c r="K323" i="9"/>
  <c r="G323" i="9"/>
  <c r="K187" i="9"/>
  <c r="G187" i="9"/>
  <c r="K109" i="9"/>
  <c r="G109" i="9"/>
  <c r="K245" i="9"/>
  <c r="G245" i="9"/>
  <c r="K255" i="9"/>
  <c r="G255" i="9"/>
  <c r="K96" i="9"/>
  <c r="G96" i="9"/>
  <c r="K178" i="9"/>
  <c r="G178" i="9"/>
  <c r="K63" i="9"/>
  <c r="G63" i="9"/>
  <c r="K58" i="9"/>
  <c r="G58" i="9"/>
  <c r="K367" i="9"/>
  <c r="G367" i="9"/>
  <c r="K17" i="9"/>
  <c r="G17" i="9"/>
  <c r="K196" i="9"/>
  <c r="G196" i="9"/>
  <c r="K59" i="9"/>
  <c r="G59" i="9"/>
  <c r="K67" i="9"/>
  <c r="G67" i="9"/>
  <c r="K376" i="9"/>
  <c r="G376" i="9"/>
  <c r="K24" i="9"/>
  <c r="G24" i="9"/>
  <c r="K238" i="9"/>
  <c r="G238" i="9"/>
  <c r="K141" i="9"/>
  <c r="G141" i="9"/>
  <c r="K170" i="9"/>
  <c r="G170" i="9"/>
  <c r="K209" i="9"/>
  <c r="G209" i="9"/>
  <c r="K375" i="9"/>
  <c r="G375" i="9"/>
  <c r="K143" i="9"/>
  <c r="G143" i="9"/>
  <c r="K293" i="9"/>
  <c r="G293" i="9"/>
  <c r="K152" i="9"/>
  <c r="G152" i="9"/>
  <c r="K270" i="9"/>
  <c r="G270" i="9"/>
  <c r="K51" i="9"/>
  <c r="G51" i="9"/>
  <c r="K271" i="9"/>
  <c r="G271" i="9"/>
  <c r="K73" i="9"/>
  <c r="G73" i="9"/>
  <c r="K256" i="9"/>
  <c r="G256" i="9"/>
  <c r="K101" i="9"/>
  <c r="G101" i="9"/>
  <c r="K306" i="9"/>
  <c r="G306" i="9"/>
  <c r="K32" i="9"/>
  <c r="G32" i="9"/>
  <c r="K87" i="9"/>
  <c r="G87" i="9"/>
  <c r="K396" i="9"/>
  <c r="G396" i="9"/>
  <c r="K155" i="9"/>
  <c r="G155" i="9"/>
  <c r="K269" i="9"/>
  <c r="G269" i="9"/>
  <c r="K138" i="9"/>
  <c r="G138" i="9"/>
  <c r="K116" i="9"/>
  <c r="G116" i="9"/>
  <c r="K4" i="9"/>
  <c r="G4" i="9"/>
  <c r="K230" i="9"/>
  <c r="G230" i="9"/>
  <c r="K332" i="9"/>
  <c r="G332" i="9"/>
  <c r="K38" i="9"/>
  <c r="G38" i="9"/>
  <c r="K123" i="9"/>
  <c r="G123" i="9"/>
  <c r="K18" i="9"/>
  <c r="G18" i="9"/>
  <c r="K203" i="9"/>
  <c r="G203" i="9"/>
  <c r="K288" i="9"/>
  <c r="G288" i="9"/>
  <c r="K76" i="9"/>
  <c r="G76" i="9"/>
  <c r="K9" i="9"/>
  <c r="G9" i="9"/>
  <c r="K136" i="9"/>
  <c r="G136" i="9"/>
  <c r="K273" i="9"/>
  <c r="G273" i="9"/>
  <c r="K304" i="9"/>
  <c r="G304" i="9"/>
  <c r="K44" i="9"/>
  <c r="G44" i="9"/>
  <c r="K325" i="9"/>
  <c r="G325" i="9"/>
  <c r="K252" i="9"/>
  <c r="G252" i="9"/>
  <c r="K197" i="9"/>
  <c r="G197" i="9"/>
  <c r="K254" i="9"/>
  <c r="G254" i="9"/>
  <c r="K350" i="9"/>
  <c r="G350" i="9"/>
  <c r="K70" i="9"/>
  <c r="G70" i="9"/>
  <c r="K158" i="9"/>
  <c r="G158" i="9"/>
  <c r="K137" i="9"/>
  <c r="G137" i="9"/>
  <c r="K361" i="9"/>
  <c r="G361" i="9"/>
  <c r="K363" i="9"/>
  <c r="G363" i="9"/>
  <c r="K112" i="9"/>
  <c r="G112" i="9"/>
  <c r="K199" i="9"/>
  <c r="G199" i="9"/>
  <c r="K36" i="9"/>
  <c r="G36" i="9"/>
  <c r="K315" i="9"/>
  <c r="G315" i="9"/>
  <c r="K182" i="9"/>
  <c r="G182" i="9"/>
  <c r="K276" i="9"/>
  <c r="G276" i="9"/>
  <c r="K113" i="9"/>
  <c r="G113" i="9"/>
  <c r="K319" i="9"/>
  <c r="G319" i="9"/>
  <c r="K214" i="9"/>
  <c r="G214" i="9"/>
  <c r="K275" i="9"/>
  <c r="G275" i="9"/>
  <c r="K183" i="9"/>
  <c r="G183" i="9"/>
  <c r="K356" i="9"/>
  <c r="G356" i="9"/>
  <c r="K181" i="9"/>
  <c r="G181" i="9"/>
  <c r="K139" i="9"/>
  <c r="G139" i="9"/>
  <c r="K243" i="9"/>
  <c r="G243" i="9"/>
  <c r="K104" i="9"/>
  <c r="G104" i="9"/>
  <c r="K218" i="9"/>
  <c r="G218" i="9"/>
  <c r="K171" i="9"/>
  <c r="G171" i="9"/>
  <c r="K194" i="9"/>
  <c r="G194" i="9"/>
  <c r="K33" i="9"/>
  <c r="G33" i="9"/>
  <c r="K266" i="9"/>
  <c r="G266" i="9"/>
  <c r="K246" i="9"/>
  <c r="G246" i="9"/>
  <c r="K314" i="9"/>
  <c r="G314" i="9"/>
  <c r="K14" i="9"/>
  <c r="G14" i="9"/>
  <c r="K47" i="9"/>
  <c r="G47" i="9"/>
  <c r="K42" i="9"/>
  <c r="G42" i="9"/>
  <c r="K127" i="9"/>
  <c r="G127" i="9"/>
  <c r="K272" i="9"/>
  <c r="G272" i="9"/>
  <c r="K262" i="9"/>
  <c r="G262" i="9"/>
  <c r="K310" i="9"/>
  <c r="G310" i="9"/>
  <c r="K394" i="9"/>
  <c r="G394" i="9"/>
  <c r="K369" i="9"/>
  <c r="G369" i="9"/>
  <c r="K62" i="9"/>
  <c r="G62" i="9"/>
  <c r="K284" i="9"/>
  <c r="G284" i="9"/>
  <c r="K145" i="9"/>
  <c r="G145" i="9"/>
  <c r="K201" i="9"/>
  <c r="G201" i="9"/>
  <c r="K233" i="9"/>
  <c r="G233" i="9"/>
  <c r="K61" i="9"/>
  <c r="G61" i="9"/>
  <c r="K377" i="9"/>
  <c r="G377" i="9"/>
  <c r="K180" i="9"/>
  <c r="G180" i="9"/>
  <c r="K267" i="9"/>
  <c r="G267" i="9"/>
  <c r="K160" i="9"/>
  <c r="G160" i="9"/>
  <c r="K77" i="9"/>
  <c r="G77" i="9"/>
  <c r="K359" i="9"/>
  <c r="G359" i="9"/>
  <c r="K108" i="9"/>
  <c r="G108" i="9"/>
  <c r="K388" i="9"/>
  <c r="G388" i="9"/>
  <c r="K371" i="9"/>
  <c r="G371" i="9"/>
  <c r="K204" i="9"/>
  <c r="G204" i="9"/>
  <c r="K258" i="9"/>
  <c r="G258" i="9"/>
  <c r="K317" i="9"/>
  <c r="G317" i="9"/>
  <c r="K237" i="9"/>
  <c r="G237" i="9"/>
  <c r="K35" i="9"/>
  <c r="G35" i="9"/>
  <c r="K340" i="9"/>
  <c r="G340" i="9"/>
  <c r="K285" i="9"/>
  <c r="G285" i="9"/>
  <c r="K341" i="9"/>
  <c r="G341" i="9"/>
  <c r="K208" i="9"/>
  <c r="G208" i="9"/>
  <c r="K311" i="9"/>
  <c r="G311" i="9"/>
  <c r="K94" i="9"/>
  <c r="G94" i="9"/>
  <c r="K370" i="9"/>
  <c r="G370" i="9"/>
  <c r="K179" i="9"/>
  <c r="G179" i="9"/>
  <c r="K150" i="9"/>
  <c r="G150" i="9"/>
  <c r="K342" i="9"/>
  <c r="G342" i="9"/>
  <c r="K349" i="9"/>
  <c r="G349" i="9"/>
  <c r="K144" i="9"/>
  <c r="G144" i="9"/>
  <c r="K88" i="9"/>
  <c r="G88" i="9"/>
  <c r="K259" i="9"/>
  <c r="G259" i="9"/>
  <c r="K117" i="9"/>
  <c r="G117" i="9"/>
  <c r="K65" i="9"/>
  <c r="G65" i="9"/>
  <c r="K202" i="9"/>
  <c r="G202" i="9"/>
  <c r="K97" i="9"/>
  <c r="G97" i="9"/>
  <c r="K207" i="9"/>
  <c r="G207" i="9"/>
  <c r="K236" i="9"/>
  <c r="G236" i="9"/>
  <c r="K156" i="9"/>
  <c r="G156" i="9"/>
  <c r="K102" i="9"/>
  <c r="G102" i="9"/>
  <c r="K216" i="9"/>
  <c r="G216" i="9"/>
  <c r="K78" i="9"/>
  <c r="G78" i="9"/>
  <c r="K163" i="9"/>
  <c r="G163" i="9"/>
  <c r="K397" i="9"/>
  <c r="G397" i="9"/>
  <c r="K140" i="9"/>
  <c r="G140" i="9"/>
  <c r="K305" i="9"/>
  <c r="G305" i="9"/>
  <c r="K364" i="9"/>
  <c r="G364" i="9"/>
  <c r="K29" i="9"/>
  <c r="G29" i="9"/>
  <c r="K90" i="9"/>
  <c r="G90" i="9"/>
  <c r="K264" i="9"/>
  <c r="G264" i="9"/>
  <c r="K184" i="9"/>
  <c r="G184" i="9"/>
  <c r="K185" i="9"/>
  <c r="G185" i="9"/>
  <c r="K26" i="9"/>
  <c r="G26" i="9"/>
  <c r="K334" i="9"/>
  <c r="G334" i="9"/>
  <c r="K161" i="9"/>
  <c r="G161" i="9"/>
  <c r="K337" i="9"/>
  <c r="G337" i="9"/>
  <c r="K205" i="9"/>
  <c r="G205" i="9"/>
  <c r="K12" i="9"/>
  <c r="G12" i="9"/>
  <c r="K328" i="9"/>
  <c r="G328" i="9"/>
  <c r="K130" i="9"/>
  <c r="G130" i="9"/>
  <c r="K244" i="9"/>
  <c r="G244" i="9"/>
  <c r="K106" i="9"/>
  <c r="G106" i="9"/>
  <c r="K358" i="9"/>
  <c r="G358" i="9"/>
  <c r="K191" i="9"/>
  <c r="G191" i="9"/>
  <c r="K192" i="9"/>
  <c r="G192" i="9"/>
  <c r="K25" i="9"/>
  <c r="G25" i="9"/>
  <c r="K333" i="9"/>
  <c r="G333" i="9"/>
  <c r="K27" i="9"/>
  <c r="G27" i="9"/>
  <c r="K335" i="9"/>
  <c r="G335" i="9"/>
  <c r="K5" i="9"/>
  <c r="G5" i="9"/>
  <c r="K200" i="9"/>
  <c r="G200" i="9"/>
  <c r="K235" i="9"/>
  <c r="G235" i="9"/>
  <c r="K126" i="9"/>
  <c r="G126" i="9"/>
  <c r="K379" i="9"/>
  <c r="G379" i="9"/>
  <c r="K392" i="9"/>
  <c r="G392" i="9"/>
  <c r="K57" i="9"/>
  <c r="G57" i="9"/>
  <c r="K366" i="9"/>
  <c r="G366" i="9"/>
  <c r="K64" i="9"/>
  <c r="G64" i="9"/>
  <c r="K120" i="9"/>
  <c r="G120" i="9"/>
  <c r="K292" i="9"/>
  <c r="G292" i="9"/>
  <c r="K131" i="9"/>
  <c r="G131" i="9"/>
  <c r="K384" i="9"/>
  <c r="G384" i="9"/>
  <c r="K99" i="9"/>
  <c r="G99" i="9"/>
  <c r="K213" i="9"/>
  <c r="G213" i="9"/>
  <c r="K362" i="9"/>
  <c r="G362" i="9"/>
  <c r="K189" i="9"/>
  <c r="G189" i="9"/>
  <c r="K386" i="9"/>
  <c r="G386" i="9"/>
  <c r="K365" i="9"/>
  <c r="G365" i="9"/>
  <c r="K93" i="9"/>
  <c r="G93" i="9"/>
  <c r="K31" i="9"/>
  <c r="G31" i="9"/>
  <c r="K289" i="9"/>
  <c r="G289" i="9"/>
  <c r="K263" i="9"/>
  <c r="G263" i="9"/>
  <c r="K40" i="9"/>
  <c r="G40" i="9"/>
  <c r="K373" i="9"/>
  <c r="G373" i="9"/>
  <c r="K313" i="9"/>
  <c r="G313" i="9"/>
  <c r="K3" i="9"/>
  <c r="G3" i="9"/>
  <c r="K312" i="9"/>
  <c r="G312" i="9"/>
  <c r="K147" i="9"/>
  <c r="G147" i="9"/>
  <c r="K8" i="9"/>
  <c r="G8" i="9"/>
  <c r="K60" i="9"/>
  <c r="G60" i="9"/>
  <c r="K11" i="9"/>
  <c r="G11" i="9"/>
  <c r="K159" i="9"/>
  <c r="G159" i="9"/>
  <c r="K326" i="9"/>
  <c r="G326" i="9"/>
  <c r="K240" i="9"/>
  <c r="G240" i="9"/>
  <c r="K134" i="9"/>
  <c r="G134" i="9"/>
  <c r="K219" i="9"/>
  <c r="G219" i="9"/>
  <c r="K248" i="9"/>
  <c r="G248" i="9"/>
  <c r="K85" i="9"/>
  <c r="G85" i="9"/>
  <c r="K372" i="9"/>
  <c r="G372" i="9"/>
  <c r="K177" i="9"/>
  <c r="G177" i="9"/>
  <c r="K232" i="9"/>
  <c r="G232" i="9"/>
  <c r="K86" i="9"/>
  <c r="G86" i="9"/>
  <c r="K320" i="9"/>
  <c r="G320" i="9"/>
  <c r="Z202" i="9" l="1"/>
  <c r="U249" i="9"/>
  <c r="W249" i="9" s="1"/>
  <c r="Z326" i="9"/>
  <c r="Z109" i="9"/>
  <c r="U73" i="9"/>
  <c r="W73" i="9" s="1"/>
  <c r="E74" i="8" s="1"/>
  <c r="Z335" i="9"/>
  <c r="U334" i="9"/>
  <c r="W334" i="9" s="1"/>
  <c r="U372" i="9"/>
  <c r="W372" i="9" s="1"/>
  <c r="Z283" i="9"/>
  <c r="U326" i="9"/>
  <c r="W326" i="9" s="1"/>
  <c r="U109" i="9"/>
  <c r="W109" i="9" s="1"/>
  <c r="U301" i="9"/>
  <c r="W301" i="9" s="1"/>
  <c r="V73" i="9"/>
  <c r="Y73" i="9" s="1"/>
  <c r="V334" i="9"/>
  <c r="Y334" i="9" s="1"/>
  <c r="Z372" i="9"/>
  <c r="V194" i="9"/>
  <c r="Y194" i="9" s="1"/>
  <c r="Z27" i="9"/>
  <c r="Z159" i="9"/>
  <c r="V301" i="9"/>
  <c r="Y301" i="9" s="1"/>
  <c r="Z224" i="9"/>
  <c r="Z84" i="9"/>
  <c r="U194" i="9"/>
  <c r="W194" i="9" s="1"/>
  <c r="Z288" i="9"/>
  <c r="U395" i="9"/>
  <c r="W395" i="9" s="1"/>
  <c r="V159" i="9"/>
  <c r="Y159" i="9" s="1"/>
  <c r="U120" i="9"/>
  <c r="W120" i="9" s="1"/>
  <c r="U224" i="9"/>
  <c r="W224" i="9" s="1"/>
  <c r="U288" i="9"/>
  <c r="W288" i="9" s="1"/>
  <c r="V249" i="9"/>
  <c r="Y249" i="9" s="1"/>
  <c r="U30" i="9"/>
  <c r="W30" i="9" s="1"/>
  <c r="E31" i="8" s="1"/>
  <c r="Z15" i="9"/>
  <c r="V290" i="9"/>
  <c r="Y290" i="9" s="1"/>
  <c r="Z238" i="9"/>
  <c r="V30" i="9"/>
  <c r="Y30" i="9" s="1"/>
  <c r="U15" i="9"/>
  <c r="W15" i="9" s="1"/>
  <c r="E16" i="8" s="1"/>
  <c r="Z290" i="9"/>
  <c r="V275" i="9"/>
  <c r="Y275" i="9" s="1"/>
  <c r="U275" i="9"/>
  <c r="W275" i="9" s="1"/>
  <c r="U256" i="9"/>
  <c r="W256" i="9" s="1"/>
  <c r="Z174" i="9"/>
  <c r="V256" i="9"/>
  <c r="Y256" i="9" s="1"/>
  <c r="U174" i="9"/>
  <c r="W174" i="9" s="1"/>
  <c r="U238" i="9"/>
  <c r="W238" i="9" s="1"/>
  <c r="U390" i="9"/>
  <c r="W390" i="9" s="1"/>
  <c r="V202" i="9"/>
  <c r="Y202" i="9" s="1"/>
  <c r="V193" i="9"/>
  <c r="Y193" i="9" s="1"/>
  <c r="Z216" i="9"/>
  <c r="V390" i="9"/>
  <c r="Y390" i="9" s="1"/>
  <c r="U23" i="9"/>
  <c r="W23" i="9" s="1"/>
  <c r="E24" i="8" s="1"/>
  <c r="U283" i="9"/>
  <c r="W283" i="9" s="1"/>
  <c r="V216" i="9"/>
  <c r="Y216" i="9" s="1"/>
  <c r="U191" i="9"/>
  <c r="W191" i="9" s="1"/>
  <c r="V23" i="9"/>
  <c r="Y23" i="9" s="1"/>
  <c r="V335" i="9"/>
  <c r="Y335" i="9" s="1"/>
  <c r="V191" i="9"/>
  <c r="Y191" i="9" s="1"/>
  <c r="U366" i="9"/>
  <c r="W366" i="9" s="1"/>
  <c r="V285" i="9"/>
  <c r="Y285" i="9" s="1"/>
  <c r="U285" i="9"/>
  <c r="W285" i="9" s="1"/>
  <c r="V13" i="9"/>
  <c r="Y13" i="9" s="1"/>
  <c r="U13" i="9"/>
  <c r="W13" i="9" s="1"/>
  <c r="E14" i="8" s="1"/>
  <c r="Z193" i="9"/>
  <c r="U337" i="9"/>
  <c r="W337" i="9" s="1"/>
  <c r="V148" i="9"/>
  <c r="Y148" i="9" s="1"/>
  <c r="V366" i="9"/>
  <c r="Y366" i="9" s="1"/>
  <c r="U142" i="9"/>
  <c r="W142" i="9" s="1"/>
  <c r="U177" i="9"/>
  <c r="W177" i="9" s="1"/>
  <c r="V337" i="9"/>
  <c r="Y337" i="9" s="1"/>
  <c r="Z148" i="9"/>
  <c r="U394" i="9"/>
  <c r="W394" i="9" s="1"/>
  <c r="V7" i="9"/>
  <c r="Y7" i="9" s="1"/>
  <c r="Z358" i="9"/>
  <c r="V181" i="9"/>
  <c r="Y181" i="9" s="1"/>
  <c r="U126" i="9"/>
  <c r="W126" i="9" s="1"/>
  <c r="U365" i="9"/>
  <c r="W365" i="9" s="1"/>
  <c r="V296" i="9"/>
  <c r="Y296" i="9" s="1"/>
  <c r="V394" i="9"/>
  <c r="U358" i="9"/>
  <c r="W358" i="9" s="1"/>
  <c r="U181" i="9"/>
  <c r="W181" i="9" s="1"/>
  <c r="U234" i="9"/>
  <c r="W234" i="9" s="1"/>
  <c r="Z126" i="9"/>
  <c r="U115" i="9"/>
  <c r="W115" i="9" s="1"/>
  <c r="V365" i="9"/>
  <c r="Y365" i="9" s="1"/>
  <c r="Z232" i="9"/>
  <c r="X328" i="9"/>
  <c r="AA328" i="9"/>
  <c r="X171" i="9"/>
  <c r="AA171" i="9"/>
  <c r="Z80" i="9"/>
  <c r="V80" i="9"/>
  <c r="Y80" i="9" s="1"/>
  <c r="U80" i="9"/>
  <c r="W80" i="9" s="1"/>
  <c r="E81" i="8" s="1"/>
  <c r="AA235" i="9"/>
  <c r="X235" i="9"/>
  <c r="AA176" i="9"/>
  <c r="X176" i="9"/>
  <c r="AA6" i="9"/>
  <c r="X6" i="9"/>
  <c r="Z332" i="9"/>
  <c r="U332" i="9"/>
  <c r="W332" i="9" s="1"/>
  <c r="V332" i="9"/>
  <c r="Y332" i="9" s="1"/>
  <c r="AA72" i="9"/>
  <c r="X72" i="9"/>
  <c r="AA346" i="9"/>
  <c r="X346" i="9"/>
  <c r="X255" i="9"/>
  <c r="AA255" i="9"/>
  <c r="X389" i="9"/>
  <c r="AA389" i="9"/>
  <c r="AA26" i="9"/>
  <c r="X26" i="9"/>
  <c r="AA234" i="9"/>
  <c r="X234" i="9"/>
  <c r="AA93" i="9"/>
  <c r="X93" i="9"/>
  <c r="X81" i="9"/>
  <c r="AA81" i="9"/>
  <c r="AA23" i="9"/>
  <c r="X23" i="9"/>
  <c r="AA334" i="9"/>
  <c r="X334" i="9"/>
  <c r="X186" i="9"/>
  <c r="AA186" i="9"/>
  <c r="X233" i="9"/>
  <c r="AA233" i="9"/>
  <c r="AA306" i="9"/>
  <c r="X306" i="9"/>
  <c r="AA296" i="9"/>
  <c r="X296" i="9"/>
  <c r="X192" i="9"/>
  <c r="AA192" i="9"/>
  <c r="AA352" i="9"/>
  <c r="X352" i="9"/>
  <c r="X18" i="9"/>
  <c r="AA18" i="9"/>
  <c r="AA370" i="9"/>
  <c r="X370" i="9"/>
  <c r="AA173" i="9"/>
  <c r="X173" i="9"/>
  <c r="X95" i="9"/>
  <c r="AA95" i="9"/>
  <c r="AA230" i="9"/>
  <c r="X230" i="9"/>
  <c r="AA60" i="9"/>
  <c r="X60" i="9"/>
  <c r="AA112" i="9"/>
  <c r="X112" i="9"/>
  <c r="X227" i="9"/>
  <c r="AA227" i="9"/>
  <c r="AA44" i="9"/>
  <c r="X44" i="9"/>
  <c r="AA340" i="9"/>
  <c r="X340" i="9"/>
  <c r="X381" i="9"/>
  <c r="AA381" i="9"/>
  <c r="AA386" i="9"/>
  <c r="X386" i="9"/>
  <c r="Z345" i="9"/>
  <c r="U345" i="9"/>
  <c r="W345" i="9" s="1"/>
  <c r="V345" i="9"/>
  <c r="Y345" i="9" s="1"/>
  <c r="X354" i="9"/>
  <c r="AA354" i="9"/>
  <c r="AA259" i="9"/>
  <c r="X259" i="9"/>
  <c r="X165" i="9"/>
  <c r="AA165" i="9"/>
  <c r="AA322" i="9"/>
  <c r="X322" i="9"/>
  <c r="X38" i="9"/>
  <c r="AA38" i="9"/>
  <c r="X21" i="9"/>
  <c r="AA21" i="9"/>
  <c r="X249" i="9"/>
  <c r="AA249" i="9"/>
  <c r="AA286" i="9"/>
  <c r="X286" i="9"/>
  <c r="AA113" i="9"/>
  <c r="X113" i="9"/>
  <c r="X126" i="9"/>
  <c r="AA126" i="9"/>
  <c r="AA121" i="9"/>
  <c r="X121" i="9"/>
  <c r="Z225" i="9"/>
  <c r="U225" i="9"/>
  <c r="W225" i="9" s="1"/>
  <c r="V225" i="9"/>
  <c r="Y225" i="9" s="1"/>
  <c r="AA393" i="9"/>
  <c r="X393" i="9"/>
  <c r="Z317" i="9"/>
  <c r="U317" i="9"/>
  <c r="W317" i="9" s="1"/>
  <c r="V317" i="9"/>
  <c r="Y317" i="9" s="1"/>
  <c r="Z363" i="9"/>
  <c r="V363" i="9"/>
  <c r="Y363" i="9" s="1"/>
  <c r="U363" i="9"/>
  <c r="W363" i="9" s="1"/>
  <c r="U355" i="9"/>
  <c r="W355" i="9" s="1"/>
  <c r="V355" i="9"/>
  <c r="Y355" i="9" s="1"/>
  <c r="Z355" i="9"/>
  <c r="X211" i="9"/>
  <c r="AA211" i="9"/>
  <c r="AA69" i="9"/>
  <c r="X69" i="9"/>
  <c r="AA222" i="9"/>
  <c r="X222" i="9"/>
  <c r="X244" i="9"/>
  <c r="AA244" i="9"/>
  <c r="X183" i="9"/>
  <c r="AA183" i="9"/>
  <c r="AA177" i="9"/>
  <c r="X177" i="9"/>
  <c r="AA281" i="9"/>
  <c r="X281" i="9"/>
  <c r="AA207" i="9"/>
  <c r="X207" i="9"/>
  <c r="AA96" i="9"/>
  <c r="X96" i="9"/>
  <c r="X103" i="9"/>
  <c r="AA103" i="9"/>
  <c r="X127" i="9"/>
  <c r="AA127" i="9"/>
  <c r="X218" i="9"/>
  <c r="AA218" i="9"/>
  <c r="AA202" i="9"/>
  <c r="X202" i="9"/>
  <c r="X136" i="9"/>
  <c r="AA136" i="9"/>
  <c r="AA208" i="9"/>
  <c r="X208" i="9"/>
  <c r="X160" i="9"/>
  <c r="AA160" i="9"/>
  <c r="X122" i="9"/>
  <c r="AA122" i="9"/>
  <c r="AA111" i="9"/>
  <c r="X111" i="9"/>
  <c r="AA49" i="9"/>
  <c r="X49" i="9"/>
  <c r="AA119" i="9"/>
  <c r="X119" i="9"/>
  <c r="X53" i="9"/>
  <c r="AA53" i="9"/>
  <c r="AA365" i="9"/>
  <c r="X365" i="9"/>
  <c r="X267" i="9"/>
  <c r="AA267" i="9"/>
  <c r="X311" i="9"/>
  <c r="AA311" i="9"/>
  <c r="AA32" i="9"/>
  <c r="X32" i="9"/>
  <c r="X158" i="9"/>
  <c r="AA158" i="9"/>
  <c r="X243" i="9"/>
  <c r="AA243" i="9"/>
  <c r="AA117" i="9"/>
  <c r="X117" i="9"/>
  <c r="AA351" i="9"/>
  <c r="X351" i="9"/>
  <c r="AA7" i="9"/>
  <c r="X7" i="9"/>
  <c r="AA163" i="9"/>
  <c r="X163" i="9"/>
  <c r="X336" i="9"/>
  <c r="AA336" i="9"/>
  <c r="AA61" i="9"/>
  <c r="X61" i="9"/>
  <c r="AA385" i="9"/>
  <c r="X385" i="9"/>
  <c r="AA128" i="9"/>
  <c r="X128" i="9"/>
  <c r="AA140" i="9"/>
  <c r="X140" i="9"/>
  <c r="X304" i="9"/>
  <c r="AA304" i="9"/>
  <c r="AA86" i="9"/>
  <c r="X86" i="9"/>
  <c r="X104" i="9"/>
  <c r="AA104" i="9"/>
  <c r="AA106" i="9"/>
  <c r="X106" i="9"/>
  <c r="AA50" i="9"/>
  <c r="X50" i="9"/>
  <c r="AA350" i="9"/>
  <c r="X350" i="9"/>
  <c r="X66" i="9"/>
  <c r="AA66" i="9"/>
  <c r="X238" i="9"/>
  <c r="AA238" i="9"/>
  <c r="X224" i="9"/>
  <c r="AA224" i="9"/>
  <c r="AA145" i="9"/>
  <c r="X145" i="9"/>
  <c r="X31" i="9"/>
  <c r="AA31" i="9"/>
  <c r="AA175" i="9"/>
  <c r="X175" i="9"/>
  <c r="AA316" i="9"/>
  <c r="X316" i="9"/>
  <c r="AA149" i="9"/>
  <c r="X149" i="9"/>
  <c r="X143" i="9"/>
  <c r="AA143" i="9"/>
  <c r="X168" i="9"/>
  <c r="AA168" i="9"/>
  <c r="X333" i="9"/>
  <c r="AA333" i="9"/>
  <c r="X220" i="9"/>
  <c r="AA220" i="9"/>
  <c r="X276" i="9"/>
  <c r="AA276" i="9"/>
  <c r="AA64" i="9"/>
  <c r="X64" i="9"/>
  <c r="AA91" i="9"/>
  <c r="X91" i="9"/>
  <c r="X297" i="9"/>
  <c r="AA297" i="9"/>
  <c r="X74" i="9"/>
  <c r="AA74" i="9"/>
  <c r="X42" i="9"/>
  <c r="AA42" i="9"/>
  <c r="X114" i="9"/>
  <c r="AA114" i="9"/>
  <c r="AA152" i="9"/>
  <c r="X152" i="9"/>
  <c r="AA232" i="9"/>
  <c r="X232" i="9"/>
  <c r="AA201" i="9"/>
  <c r="X201" i="9"/>
  <c r="X51" i="9"/>
  <c r="AA51" i="9"/>
  <c r="U258" i="9"/>
  <c r="W258" i="9" s="1"/>
  <c r="Z258" i="9"/>
  <c r="V258" i="9"/>
  <c r="Y258" i="9" s="1"/>
  <c r="X294" i="9"/>
  <c r="AA294" i="9"/>
  <c r="AA279" i="9"/>
  <c r="X279" i="9"/>
  <c r="AA65" i="9"/>
  <c r="X65" i="9"/>
  <c r="AA200" i="9"/>
  <c r="X200" i="9"/>
  <c r="X48" i="9"/>
  <c r="AA48" i="9"/>
  <c r="Y395" i="9"/>
  <c r="Z219" i="9"/>
  <c r="U219" i="9"/>
  <c r="W219" i="9" s="1"/>
  <c r="V219" i="9"/>
  <c r="Y219" i="9" s="1"/>
  <c r="X76" i="9"/>
  <c r="AA76" i="9"/>
  <c r="X151" i="9"/>
  <c r="AA151" i="9"/>
  <c r="AA223" i="9"/>
  <c r="X223" i="9"/>
  <c r="AA33" i="9"/>
  <c r="X33" i="9"/>
  <c r="AA237" i="9"/>
  <c r="X237" i="9"/>
  <c r="AA383" i="9"/>
  <c r="X383" i="9"/>
  <c r="Y397" i="9"/>
  <c r="AA359" i="9"/>
  <c r="X359" i="9"/>
  <c r="AA377" i="9"/>
  <c r="X377" i="9"/>
  <c r="AA320" i="9"/>
  <c r="X320" i="9"/>
  <c r="AA195" i="9"/>
  <c r="X195" i="9"/>
  <c r="X129" i="9"/>
  <c r="AA129" i="9"/>
  <c r="X20" i="9"/>
  <c r="AA20" i="9"/>
  <c r="X273" i="9"/>
  <c r="AA273" i="9"/>
  <c r="AA27" i="9"/>
  <c r="X27" i="9"/>
  <c r="X46" i="9"/>
  <c r="AA46" i="9"/>
  <c r="AA98" i="9"/>
  <c r="X98" i="9"/>
  <c r="X266" i="9"/>
  <c r="AA266" i="9"/>
  <c r="X388" i="9"/>
  <c r="AA388" i="9"/>
  <c r="AA341" i="9"/>
  <c r="X341" i="9"/>
  <c r="X327" i="9"/>
  <c r="AA327" i="9"/>
  <c r="Z368" i="9"/>
  <c r="V368" i="9"/>
  <c r="Y368" i="9" s="1"/>
  <c r="U368" i="9"/>
  <c r="W368" i="9" s="1"/>
  <c r="X17" i="9"/>
  <c r="AA17" i="9"/>
  <c r="X302" i="9"/>
  <c r="AA302" i="9"/>
  <c r="X305" i="9"/>
  <c r="AA305" i="9"/>
  <c r="X339" i="9"/>
  <c r="AA339" i="9"/>
  <c r="AA397" i="9"/>
  <c r="X397" i="9"/>
  <c r="X107" i="9"/>
  <c r="AA107" i="9"/>
  <c r="AA79" i="9"/>
  <c r="X79" i="9"/>
  <c r="X358" i="9"/>
  <c r="AA34" i="9"/>
  <c r="X34" i="9"/>
  <c r="AA308" i="9"/>
  <c r="X308" i="9"/>
  <c r="X298" i="9"/>
  <c r="AA298" i="9"/>
  <c r="X209" i="9"/>
  <c r="AA209" i="9"/>
  <c r="X71" i="9"/>
  <c r="AA71" i="9"/>
  <c r="AA90" i="9"/>
  <c r="X90" i="9"/>
  <c r="X115" i="9"/>
  <c r="AA115" i="9"/>
  <c r="V212" i="9"/>
  <c r="Y212" i="9" s="1"/>
  <c r="Z212" i="9"/>
  <c r="U212" i="9"/>
  <c r="W212" i="9" s="1"/>
  <c r="AA342" i="9"/>
  <c r="X342" i="9"/>
  <c r="X395" i="9"/>
  <c r="AA141" i="9"/>
  <c r="X141" i="9"/>
  <c r="X295" i="9"/>
  <c r="AA295" i="9"/>
  <c r="U242" i="9"/>
  <c r="W242" i="9" s="1"/>
  <c r="V242" i="9"/>
  <c r="Y242" i="9" s="1"/>
  <c r="Z242" i="9"/>
  <c r="AA14" i="9"/>
  <c r="X14" i="9"/>
  <c r="AA324" i="9"/>
  <c r="X324" i="9"/>
  <c r="X164" i="9"/>
  <c r="AA164" i="9"/>
  <c r="AA315" i="9"/>
  <c r="X315" i="9"/>
  <c r="X182" i="9"/>
  <c r="AA182" i="9"/>
  <c r="AA203" i="9"/>
  <c r="X203" i="9"/>
  <c r="AA142" i="9"/>
  <c r="X142" i="9"/>
  <c r="AA123" i="9"/>
  <c r="X123" i="9"/>
  <c r="X52" i="9"/>
  <c r="AA52" i="9"/>
  <c r="X56" i="9"/>
  <c r="AA56" i="9"/>
  <c r="V236" i="9"/>
  <c r="Y236" i="9" s="1"/>
  <c r="U236" i="9"/>
  <c r="W236" i="9" s="1"/>
  <c r="Z236" i="9"/>
  <c r="X289" i="9"/>
  <c r="AA289" i="9"/>
  <c r="AA376" i="9"/>
  <c r="X376" i="9"/>
  <c r="AA153" i="9"/>
  <c r="X153" i="9"/>
  <c r="AA154" i="9"/>
  <c r="X154" i="9"/>
  <c r="X125" i="9"/>
  <c r="AA125" i="9"/>
  <c r="AA167" i="9"/>
  <c r="X167" i="9"/>
  <c r="AA228" i="9"/>
  <c r="X228" i="9"/>
  <c r="X157" i="9"/>
  <c r="AA157" i="9"/>
  <c r="X384" i="9"/>
  <c r="AA384" i="9"/>
  <c r="AA12" i="9"/>
  <c r="X12" i="9"/>
  <c r="AA314" i="9"/>
  <c r="X314" i="9"/>
  <c r="AA390" i="9"/>
  <c r="X390" i="9"/>
  <c r="AA41" i="9"/>
  <c r="X41" i="9"/>
  <c r="X254" i="9"/>
  <c r="AA254" i="9"/>
  <c r="AA374" i="9"/>
  <c r="X374" i="9"/>
  <c r="AA198" i="9"/>
  <c r="X198" i="9"/>
  <c r="X392" i="9"/>
  <c r="AA392" i="9"/>
  <c r="X265" i="9"/>
  <c r="AA265" i="9"/>
  <c r="X361" i="9"/>
  <c r="AA361" i="9"/>
  <c r="X378" i="9"/>
  <c r="AA378" i="9"/>
  <c r="AA271" i="9"/>
  <c r="X271" i="9"/>
  <c r="Z309" i="9"/>
  <c r="U309" i="9"/>
  <c r="W309" i="9" s="1"/>
  <c r="V309" i="9"/>
  <c r="Y309" i="9" s="1"/>
  <c r="X221" i="9"/>
  <c r="AA221" i="9"/>
  <c r="X10" i="9"/>
  <c r="AA10" i="9"/>
  <c r="X78" i="9"/>
  <c r="AA78" i="9"/>
  <c r="AA246" i="9"/>
  <c r="X246" i="9"/>
  <c r="Z199" i="9"/>
  <c r="V199" i="9"/>
  <c r="Y199" i="9" s="1"/>
  <c r="U199" i="9"/>
  <c r="W199" i="9" s="1"/>
  <c r="AA161" i="9"/>
  <c r="X161" i="9"/>
  <c r="AA313" i="9"/>
  <c r="X313" i="9"/>
  <c r="AA155" i="9"/>
  <c r="X155" i="9"/>
  <c r="AA307" i="9"/>
  <c r="X307" i="9"/>
  <c r="AA318" i="9"/>
  <c r="X318" i="9"/>
  <c r="X39" i="9"/>
  <c r="AA39" i="9"/>
  <c r="X310" i="9"/>
  <c r="AA310" i="9"/>
  <c r="X102" i="9"/>
  <c r="AA102" i="9"/>
  <c r="X300" i="9"/>
  <c r="AA300" i="9"/>
  <c r="X301" i="9"/>
  <c r="AA301" i="9"/>
  <c r="AA335" i="9"/>
  <c r="X335" i="9"/>
  <c r="X193" i="9"/>
  <c r="AA193" i="9"/>
  <c r="AA349" i="9"/>
  <c r="X349" i="9"/>
  <c r="X132" i="9"/>
  <c r="AA132" i="9"/>
  <c r="X367" i="9"/>
  <c r="AA367" i="9"/>
  <c r="AA8" i="9"/>
  <c r="X8" i="9"/>
  <c r="X360" i="9"/>
  <c r="AA360" i="9"/>
  <c r="AA396" i="9"/>
  <c r="X396" i="9"/>
  <c r="AA194" i="9"/>
  <c r="X194" i="9"/>
  <c r="Z270" i="9"/>
  <c r="V270" i="9"/>
  <c r="Y270" i="9" s="1"/>
  <c r="U270" i="9"/>
  <c r="W270" i="9" s="1"/>
  <c r="X216" i="9"/>
  <c r="AA216" i="9"/>
  <c r="AA205" i="9"/>
  <c r="X205" i="9"/>
  <c r="AA138" i="9"/>
  <c r="X138" i="9"/>
  <c r="AA82" i="9"/>
  <c r="X82" i="9"/>
  <c r="AA62" i="9"/>
  <c r="X62" i="9"/>
  <c r="AA94" i="9"/>
  <c r="X94" i="9"/>
  <c r="AA118" i="9"/>
  <c r="X118" i="9"/>
  <c r="X108" i="9"/>
  <c r="AA108" i="9"/>
  <c r="X162" i="9"/>
  <c r="AA162" i="9"/>
  <c r="X330" i="9"/>
  <c r="AA330" i="9"/>
  <c r="AA169" i="9"/>
  <c r="X169" i="9"/>
  <c r="AA40" i="9"/>
  <c r="X40" i="9"/>
  <c r="AA166" i="9"/>
  <c r="X166" i="9"/>
  <c r="X319" i="9"/>
  <c r="AA319" i="9"/>
  <c r="X58" i="9"/>
  <c r="AA58" i="9"/>
  <c r="X269" i="9"/>
  <c r="AA269" i="9"/>
  <c r="AA43" i="9"/>
  <c r="X43" i="9"/>
  <c r="Z100" i="9"/>
  <c r="U100" i="9"/>
  <c r="W100" i="9" s="1"/>
  <c r="V100" i="9"/>
  <c r="Y100" i="9" s="1"/>
  <c r="Z291" i="9"/>
  <c r="V291" i="9"/>
  <c r="Y291" i="9" s="1"/>
  <c r="U291" i="9"/>
  <c r="W291" i="9" s="1"/>
  <c r="AA343" i="9"/>
  <c r="X343" i="9"/>
  <c r="AA148" i="9"/>
  <c r="X148" i="9"/>
  <c r="X283" i="9"/>
  <c r="AA283" i="9"/>
  <c r="X226" i="9"/>
  <c r="AA226" i="9"/>
  <c r="AA181" i="9"/>
  <c r="X181" i="9"/>
  <c r="AA275" i="9"/>
  <c r="X275" i="9"/>
  <c r="AA375" i="9"/>
  <c r="X375" i="9"/>
  <c r="X73" i="9"/>
  <c r="AA73" i="9"/>
  <c r="X134" i="9"/>
  <c r="AA134" i="9"/>
  <c r="AA37" i="9"/>
  <c r="X37" i="9"/>
  <c r="AA380" i="9"/>
  <c r="X380" i="9"/>
  <c r="X353" i="9"/>
  <c r="AA353" i="9"/>
  <c r="Z144" i="9"/>
  <c r="U144" i="9"/>
  <c r="W144" i="9" s="1"/>
  <c r="V144" i="9"/>
  <c r="Y144" i="9" s="1"/>
  <c r="U137" i="9"/>
  <c r="W137" i="9" s="1"/>
  <c r="Z137" i="9"/>
  <c r="V137" i="9"/>
  <c r="Y137" i="9" s="1"/>
  <c r="AA391" i="9"/>
  <c r="X391" i="9"/>
  <c r="AA189" i="9"/>
  <c r="X189" i="9"/>
  <c r="AA139" i="9"/>
  <c r="X139" i="9"/>
  <c r="X22" i="9"/>
  <c r="AA22" i="9"/>
  <c r="X241" i="9"/>
  <c r="AA241" i="9"/>
  <c r="X321" i="9"/>
  <c r="AA321" i="9"/>
  <c r="AA54" i="9"/>
  <c r="X54" i="9"/>
  <c r="AA105" i="9"/>
  <c r="X105" i="9"/>
  <c r="X159" i="9"/>
  <c r="AA159" i="9"/>
  <c r="X97" i="9"/>
  <c r="AA97" i="9"/>
  <c r="AA371" i="9"/>
  <c r="X371" i="9"/>
  <c r="U382" i="9"/>
  <c r="W382" i="9" s="1"/>
  <c r="Z382" i="9"/>
  <c r="V382" i="9"/>
  <c r="Y382" i="9" s="1"/>
  <c r="AA57" i="9"/>
  <c r="X57" i="9"/>
  <c r="AA11" i="9"/>
  <c r="X11" i="9"/>
  <c r="AA206" i="9"/>
  <c r="X206" i="9"/>
  <c r="AA274" i="9"/>
  <c r="X274" i="9"/>
  <c r="X272" i="9"/>
  <c r="AA272" i="9"/>
  <c r="X245" i="9"/>
  <c r="AA245" i="9"/>
  <c r="X394" i="9"/>
  <c r="AA394" i="9"/>
  <c r="AA312" i="9"/>
  <c r="X312" i="9"/>
  <c r="AA210" i="9"/>
  <c r="X210" i="9"/>
  <c r="X131" i="9"/>
  <c r="AA131" i="9"/>
  <c r="AA288" i="9"/>
  <c r="X288" i="9"/>
  <c r="X190" i="9"/>
  <c r="AA190" i="9"/>
  <c r="AA172" i="9"/>
  <c r="X172" i="9"/>
  <c r="AA147" i="9"/>
  <c r="X147" i="9"/>
  <c r="AA268" i="9"/>
  <c r="X268" i="9"/>
  <c r="AA278" i="9"/>
  <c r="X278" i="9"/>
  <c r="AA253" i="9"/>
  <c r="X253" i="9"/>
  <c r="Z5" i="9"/>
  <c r="U5" i="9"/>
  <c r="W5" i="9" s="1"/>
  <c r="E6" i="8" s="1"/>
  <c r="V5" i="9"/>
  <c r="Y5" i="9" s="1"/>
  <c r="AA180" i="9"/>
  <c r="X180" i="9"/>
  <c r="X248" i="9"/>
  <c r="AA248" i="9"/>
  <c r="AA257" i="9"/>
  <c r="X257" i="9"/>
  <c r="X87" i="9"/>
  <c r="AA87" i="9"/>
  <c r="X178" i="9"/>
  <c r="AA178" i="9"/>
  <c r="Y394" i="9"/>
  <c r="X47" i="9"/>
  <c r="AA47" i="9"/>
  <c r="AA292" i="9"/>
  <c r="X292" i="9"/>
  <c r="X277" i="9"/>
  <c r="AA277" i="9"/>
  <c r="AA287" i="9"/>
  <c r="X287" i="9"/>
  <c r="AA4" i="9"/>
  <c r="X4" i="9"/>
  <c r="AA36" i="9"/>
  <c r="X36" i="9"/>
  <c r="X338" i="9"/>
  <c r="AA338" i="9"/>
  <c r="X379" i="9"/>
  <c r="AA379" i="9"/>
  <c r="AA135" i="9"/>
  <c r="X135" i="9"/>
  <c r="AA299" i="9"/>
  <c r="X299" i="9"/>
  <c r="AA251" i="9"/>
  <c r="X251" i="9"/>
  <c r="X252" i="9"/>
  <c r="AA252" i="9"/>
  <c r="X247" i="9"/>
  <c r="AA247" i="9"/>
  <c r="X130" i="9"/>
  <c r="AA130" i="9"/>
  <c r="AA280" i="9"/>
  <c r="X280" i="9"/>
  <c r="AA55" i="9"/>
  <c r="X55" i="9"/>
  <c r="AA83" i="9"/>
  <c r="X83" i="9"/>
  <c r="AA197" i="9"/>
  <c r="X197" i="9"/>
  <c r="AA362" i="9"/>
  <c r="X362" i="9"/>
  <c r="AA290" i="9"/>
  <c r="X290" i="9"/>
  <c r="AA240" i="9"/>
  <c r="X240" i="9"/>
  <c r="X101" i="9"/>
  <c r="AA101" i="9"/>
  <c r="X28" i="9"/>
  <c r="AA28" i="9"/>
  <c r="AA150" i="9"/>
  <c r="X150" i="9"/>
  <c r="X25" i="9"/>
  <c r="AA25" i="9"/>
  <c r="AA250" i="9"/>
  <c r="X250" i="9"/>
  <c r="X67" i="9"/>
  <c r="AA67" i="9"/>
  <c r="X213" i="9"/>
  <c r="AA213" i="9"/>
  <c r="AA9" i="9"/>
  <c r="X9" i="9"/>
  <c r="AA369" i="9"/>
  <c r="X369" i="9"/>
  <c r="X387" i="9"/>
  <c r="AA387" i="9"/>
  <c r="AA329" i="9"/>
  <c r="X329" i="9"/>
  <c r="AA196" i="9"/>
  <c r="X196" i="9"/>
  <c r="X364" i="9"/>
  <c r="AA364" i="9"/>
  <c r="X217" i="9"/>
  <c r="AA217" i="9"/>
  <c r="AA284" i="9"/>
  <c r="X284" i="9"/>
  <c r="X357" i="9"/>
  <c r="AA357" i="9"/>
  <c r="AA16" i="9"/>
  <c r="X16" i="9"/>
  <c r="X24" i="9"/>
  <c r="AA24" i="9"/>
  <c r="AA68" i="9"/>
  <c r="X68" i="9"/>
  <c r="AA85" i="9"/>
  <c r="X85" i="9"/>
  <c r="X170" i="9"/>
  <c r="AA170" i="9"/>
  <c r="AA256" i="9"/>
  <c r="AA70" i="9"/>
  <c r="X70" i="9"/>
  <c r="AA75" i="9"/>
  <c r="X75" i="9"/>
  <c r="AA63" i="9"/>
  <c r="X63" i="9"/>
  <c r="AA348" i="9"/>
  <c r="X348" i="9"/>
  <c r="X3" i="9"/>
  <c r="AA3" i="9"/>
  <c r="X77" i="9"/>
  <c r="AA77" i="9"/>
  <c r="AA29" i="9"/>
  <c r="X29" i="9"/>
  <c r="AA239" i="9"/>
  <c r="X239" i="9"/>
  <c r="X325" i="9"/>
  <c r="AA325" i="9"/>
  <c r="AA231" i="9"/>
  <c r="X231" i="9"/>
  <c r="X179" i="9"/>
  <c r="AA179" i="9"/>
  <c r="AA88" i="9"/>
  <c r="X88" i="9"/>
  <c r="X262" i="9"/>
  <c r="AA262" i="9"/>
  <c r="AA184" i="9"/>
  <c r="X184" i="9"/>
  <c r="AA323" i="9"/>
  <c r="X323" i="9"/>
  <c r="X59" i="9"/>
  <c r="AA59" i="9"/>
  <c r="AA204" i="9"/>
  <c r="X204" i="9"/>
  <c r="X214" i="9"/>
  <c r="AA214" i="9"/>
  <c r="X347" i="9"/>
  <c r="AA347" i="9"/>
  <c r="AA124" i="9"/>
  <c r="X124" i="9"/>
  <c r="X45" i="9"/>
  <c r="AA45" i="9"/>
  <c r="X19" i="9"/>
  <c r="AA19" i="9"/>
  <c r="Y396" i="9"/>
  <c r="AA84" i="9"/>
  <c r="X84" i="9"/>
  <c r="AA35" i="9"/>
  <c r="X35" i="9"/>
  <c r="X356" i="9"/>
  <c r="AA356" i="9"/>
  <c r="X373" i="9"/>
  <c r="AA373" i="9"/>
  <c r="Z110" i="9"/>
  <c r="V110" i="9"/>
  <c r="Y110" i="9" s="1"/>
  <c r="U110" i="9"/>
  <c r="W110" i="9" s="1"/>
  <c r="X293" i="9"/>
  <c r="AA293" i="9"/>
  <c r="AA99" i="9"/>
  <c r="X99" i="9"/>
  <c r="AA146" i="9"/>
  <c r="X146" i="9"/>
  <c r="X185" i="9"/>
  <c r="AA185" i="9"/>
  <c r="AA156" i="9"/>
  <c r="X156" i="9"/>
  <c r="X261" i="9"/>
  <c r="AA261" i="9"/>
  <c r="AA13" i="9"/>
  <c r="AA133" i="9"/>
  <c r="X133" i="9"/>
  <c r="AA260" i="9"/>
  <c r="X260" i="9"/>
  <c r="AA344" i="9"/>
  <c r="X344" i="9"/>
  <c r="X187" i="9"/>
  <c r="AA187" i="9"/>
  <c r="X215" i="9"/>
  <c r="AA215" i="9"/>
  <c r="AA92" i="9"/>
  <c r="X92" i="9"/>
  <c r="AA116" i="9"/>
  <c r="X116" i="9"/>
  <c r="AA264" i="9"/>
  <c r="X264" i="9"/>
  <c r="X188" i="9"/>
  <c r="AA188" i="9"/>
  <c r="X303" i="9"/>
  <c r="AA303" i="9"/>
  <c r="X263" i="9"/>
  <c r="AA263" i="9"/>
  <c r="AA89" i="9"/>
  <c r="X89" i="9"/>
  <c r="X331" i="9"/>
  <c r="AA331" i="9"/>
  <c r="AA282" i="9"/>
  <c r="X282" i="9"/>
  <c r="AA229" i="9"/>
  <c r="X229" i="9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6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X13" i="9" l="1"/>
  <c r="AA109" i="9"/>
  <c r="X109" i="9"/>
  <c r="X285" i="9"/>
  <c r="AA326" i="9"/>
  <c r="AA285" i="9"/>
  <c r="X337" i="9"/>
  <c r="X326" i="9"/>
  <c r="AA337" i="9"/>
  <c r="X174" i="9"/>
  <c r="X191" i="9"/>
  <c r="AA174" i="9"/>
  <c r="AA30" i="9"/>
  <c r="AA191" i="9"/>
  <c r="AA358" i="9"/>
  <c r="X30" i="9"/>
  <c r="X372" i="9"/>
  <c r="AA15" i="9"/>
  <c r="X120" i="9"/>
  <c r="AA372" i="9"/>
  <c r="X366" i="9"/>
  <c r="X15" i="9"/>
  <c r="AA120" i="9"/>
  <c r="X256" i="9"/>
  <c r="AA366" i="9"/>
  <c r="AA395" i="9"/>
  <c r="X355" i="9"/>
  <c r="AA355" i="9"/>
  <c r="AA5" i="9"/>
  <c r="X5" i="9"/>
  <c r="AA100" i="9"/>
  <c r="X100" i="9"/>
  <c r="X270" i="9"/>
  <c r="AA270" i="9"/>
  <c r="AA363" i="9"/>
  <c r="X363" i="9"/>
  <c r="X199" i="9"/>
  <c r="AA199" i="9"/>
  <c r="AA317" i="9"/>
  <c r="X317" i="9"/>
  <c r="X332" i="9"/>
  <c r="AA332" i="9"/>
  <c r="AA236" i="9"/>
  <c r="X236" i="9"/>
  <c r="X382" i="9"/>
  <c r="AA382" i="9"/>
  <c r="AA212" i="9"/>
  <c r="X212" i="9"/>
  <c r="AA225" i="9"/>
  <c r="X225" i="9"/>
  <c r="X137" i="9"/>
  <c r="AA137" i="9"/>
  <c r="X80" i="9"/>
  <c r="AA80" i="9"/>
  <c r="AA345" i="9"/>
  <c r="X345" i="9"/>
  <c r="AA110" i="9"/>
  <c r="X110" i="9"/>
  <c r="AA144" i="9"/>
  <c r="X144" i="9"/>
  <c r="AA219" i="9"/>
  <c r="X219" i="9"/>
  <c r="X242" i="9"/>
  <c r="AA242" i="9"/>
  <c r="AA309" i="9"/>
  <c r="X309" i="9"/>
  <c r="AA368" i="9"/>
  <c r="X368" i="9"/>
  <c r="AA258" i="9"/>
  <c r="X258" i="9"/>
  <c r="X291" i="9"/>
  <c r="AA291" i="9"/>
  <c r="I8" i="8"/>
  <c r="I25" i="8"/>
  <c r="I84" i="8"/>
  <c r="I22" i="8"/>
  <c r="I61" i="8"/>
  <c r="I71" i="8"/>
  <c r="I39" i="8"/>
  <c r="I19" i="8"/>
  <c r="I72" i="8"/>
  <c r="I26" i="8"/>
  <c r="I73" i="8"/>
  <c r="I85" i="8"/>
  <c r="I23" i="8"/>
  <c r="I78" i="8"/>
  <c r="I9" i="8"/>
  <c r="I36" i="8"/>
  <c r="I62" i="8"/>
  <c r="I24" i="8"/>
  <c r="I60" i="8"/>
  <c r="I69" i="8"/>
  <c r="I27" i="8"/>
  <c r="I11" i="8"/>
  <c r="I56" i="8"/>
  <c r="I79" i="8"/>
  <c r="I67" i="8"/>
  <c r="I32" i="8"/>
  <c r="I48" i="8"/>
  <c r="I21" i="8"/>
  <c r="I33" i="8"/>
  <c r="I86" i="8"/>
  <c r="I54" i="8"/>
  <c r="I57" i="8"/>
  <c r="I76" i="8"/>
  <c r="I89" i="8"/>
  <c r="I10" i="8"/>
  <c r="I14" i="8"/>
  <c r="I29" i="8"/>
  <c r="I63" i="8"/>
  <c r="I77" i="8" l="1"/>
  <c r="I7" i="8"/>
  <c r="I16" i="8"/>
  <c r="F61" i="8"/>
  <c r="G5" i="8"/>
  <c r="C16" i="8"/>
  <c r="I34" i="8"/>
  <c r="I5" i="8"/>
  <c r="D84" i="8"/>
  <c r="D62" i="8"/>
  <c r="D8" i="8"/>
  <c r="C19" i="8"/>
  <c r="G74" i="8"/>
  <c r="I74" i="8"/>
  <c r="F83" i="8"/>
  <c r="F72" i="8"/>
  <c r="I65" i="8"/>
  <c r="F22" i="8"/>
  <c r="F11" i="8"/>
  <c r="G11" i="8"/>
  <c r="F47" i="8"/>
  <c r="D25" i="8"/>
  <c r="J65" i="8"/>
  <c r="I52" i="8"/>
  <c r="F71" i="8"/>
  <c r="G52" i="8"/>
  <c r="D71" i="8"/>
  <c r="I75" i="8"/>
  <c r="D75" i="8"/>
  <c r="I83" i="8"/>
  <c r="I82" i="8"/>
  <c r="I44" i="8"/>
  <c r="I28" i="8"/>
  <c r="I80" i="8"/>
  <c r="F35" i="8"/>
  <c r="I18" i="8"/>
  <c r="I37" i="8"/>
  <c r="I58" i="8"/>
  <c r="I46" i="8"/>
  <c r="D58" i="8"/>
  <c r="J15" i="8"/>
  <c r="C73" i="8"/>
  <c r="I40" i="8"/>
  <c r="I15" i="8"/>
  <c r="F24" i="8"/>
  <c r="I64" i="8"/>
  <c r="F40" i="8"/>
  <c r="D49" i="8"/>
  <c r="G69" i="8"/>
  <c r="J39" i="8"/>
  <c r="G86" i="8"/>
  <c r="G39" i="8"/>
  <c r="G27" i="8"/>
  <c r="C30" i="8"/>
  <c r="I30" i="8"/>
  <c r="I59" i="8"/>
  <c r="D18" i="8"/>
  <c r="C46" i="8"/>
  <c r="C85" i="8"/>
  <c r="I43" i="8"/>
  <c r="G85" i="8"/>
  <c r="C43" i="8"/>
  <c r="C6" i="8"/>
  <c r="I12" i="8"/>
  <c r="G57" i="8"/>
  <c r="I49" i="8"/>
  <c r="J4" i="8"/>
  <c r="I4" i="8"/>
  <c r="D78" i="8"/>
  <c r="I17" i="8"/>
  <c r="G68" i="8"/>
  <c r="F78" i="8"/>
  <c r="D20" i="8"/>
  <c r="I68" i="8"/>
  <c r="D76" i="8"/>
  <c r="I66" i="8"/>
  <c r="D34" i="8"/>
  <c r="G13" i="8"/>
  <c r="I13" i="8"/>
  <c r="I50" i="8"/>
  <c r="F86" i="8"/>
  <c r="D26" i="8"/>
  <c r="F62" i="8"/>
  <c r="G70" i="8"/>
  <c r="I70" i="8"/>
  <c r="D73" i="8"/>
  <c r="D9" i="8"/>
  <c r="I51" i="8"/>
  <c r="I55" i="8"/>
  <c r="I20" i="8"/>
  <c r="I45" i="8"/>
  <c r="I41" i="8"/>
  <c r="C55" i="8"/>
  <c r="G45" i="8"/>
  <c r="G41" i="8"/>
  <c r="I81" i="8"/>
  <c r="I42" i="8"/>
  <c r="I38" i="8"/>
  <c r="I6" i="8"/>
  <c r="D23" i="8"/>
  <c r="G81" i="8"/>
  <c r="D38" i="8"/>
  <c r="I87" i="8"/>
  <c r="C23" i="8"/>
  <c r="D42" i="8"/>
  <c r="D12" i="8"/>
  <c r="D88" i="8"/>
  <c r="I88" i="8"/>
  <c r="I35" i="8"/>
  <c r="D60" i="8"/>
  <c r="I53" i="8"/>
  <c r="D24" i="8"/>
  <c r="F17" i="8"/>
  <c r="J56" i="8"/>
  <c r="C32" i="8"/>
  <c r="G32" i="8"/>
  <c r="J33" i="8"/>
  <c r="D33" i="8"/>
  <c r="G54" i="8"/>
  <c r="I31" i="8"/>
  <c r="F54" i="8"/>
  <c r="C31" i="8"/>
  <c r="C67" i="8"/>
  <c r="G67" i="8"/>
  <c r="I47" i="8"/>
  <c r="C79" i="8"/>
  <c r="D79" i="8"/>
  <c r="G21" i="8"/>
  <c r="J7" i="8"/>
  <c r="C7" i="8"/>
  <c r="F7" i="8"/>
  <c r="D35" i="8"/>
  <c r="G35" i="8"/>
  <c r="F85" i="8"/>
  <c r="J30" i="8"/>
  <c r="D4" i="8"/>
  <c r="G4" i="8"/>
  <c r="F44" i="8"/>
  <c r="J44" i="8"/>
  <c r="C44" i="8"/>
  <c r="G63" i="8"/>
  <c r="D63" i="8"/>
  <c r="D11" i="8"/>
  <c r="F74" i="8"/>
  <c r="C74" i="8"/>
  <c r="J74" i="8"/>
  <c r="G25" i="8"/>
  <c r="F75" i="8"/>
  <c r="C75" i="8"/>
  <c r="J75" i="8"/>
  <c r="C70" i="8"/>
  <c r="F70" i="8"/>
  <c r="J70" i="8"/>
  <c r="J49" i="8"/>
  <c r="F49" i="8"/>
  <c r="C49" i="8"/>
  <c r="D29" i="8"/>
  <c r="G29" i="8"/>
  <c r="J89" i="8"/>
  <c r="F89" i="8"/>
  <c r="C89" i="8"/>
  <c r="C59" i="8"/>
  <c r="J59" i="8"/>
  <c r="F59" i="8"/>
  <c r="G7" i="8"/>
  <c r="D7" i="8"/>
  <c r="D61" i="8"/>
  <c r="G61" i="8"/>
  <c r="G89" i="8"/>
  <c r="D89" i="8"/>
  <c r="D51" i="8"/>
  <c r="G51" i="8"/>
  <c r="D85" i="8"/>
  <c r="G16" i="8"/>
  <c r="D16" i="8"/>
  <c r="G14" i="8"/>
  <c r="D14" i="8"/>
  <c r="G84" i="8"/>
  <c r="F10" i="8"/>
  <c r="C10" i="8"/>
  <c r="J10" i="8"/>
  <c r="D80" i="8"/>
  <c r="G80" i="8"/>
  <c r="G38" i="8"/>
  <c r="J63" i="8"/>
  <c r="C63" i="8"/>
  <c r="F63" i="8"/>
  <c r="C5" i="8"/>
  <c r="J5" i="8"/>
  <c r="F5" i="8"/>
  <c r="J37" i="8"/>
  <c r="F37" i="8"/>
  <c r="C37" i="8"/>
  <c r="F45" i="8"/>
  <c r="C45" i="8"/>
  <c r="J45" i="8"/>
  <c r="C29" i="8"/>
  <c r="F29" i="8"/>
  <c r="J29" i="8"/>
  <c r="D55" i="8"/>
  <c r="G55" i="8"/>
  <c r="D30" i="8"/>
  <c r="G30" i="8"/>
  <c r="F69" i="8"/>
  <c r="J69" i="8"/>
  <c r="C69" i="8"/>
  <c r="D46" i="8"/>
  <c r="G46" i="8"/>
  <c r="C14" i="8"/>
  <c r="J14" i="8"/>
  <c r="F14" i="8"/>
  <c r="C13" i="8"/>
  <c r="F13" i="8"/>
  <c r="J13" i="8"/>
  <c r="D37" i="8"/>
  <c r="G37" i="8"/>
  <c r="D57" i="8"/>
  <c r="D19" i="8"/>
  <c r="G19" i="8"/>
  <c r="D43" i="8"/>
  <c r="G43" i="8"/>
  <c r="F41" i="8"/>
  <c r="J41" i="8"/>
  <c r="C41" i="8"/>
  <c r="D66" i="8"/>
  <c r="G66" i="8"/>
  <c r="C18" i="8"/>
  <c r="F18" i="8"/>
  <c r="J18" i="8"/>
  <c r="C12" i="8"/>
  <c r="J12" i="8"/>
  <c r="F12" i="8"/>
  <c r="G10" i="8"/>
  <c r="D10" i="8"/>
  <c r="C22" i="8"/>
  <c r="D40" i="8"/>
  <c r="G40" i="8"/>
  <c r="J19" i="8"/>
  <c r="F19" i="8"/>
  <c r="F81" i="8"/>
  <c r="C81" i="8"/>
  <c r="J81" i="8"/>
  <c r="C83" i="8"/>
  <c r="J86" i="8"/>
  <c r="C86" i="8"/>
  <c r="G6" i="8"/>
  <c r="D6" i="8"/>
  <c r="C58" i="8"/>
  <c r="J58" i="8"/>
  <c r="F58" i="8"/>
  <c r="C34" i="8"/>
  <c r="J34" i="8"/>
  <c r="F34" i="8"/>
  <c r="D50" i="8"/>
  <c r="G50" i="8"/>
  <c r="F87" i="8"/>
  <c r="J87" i="8"/>
  <c r="C87" i="8"/>
  <c r="G17" i="8"/>
  <c r="D17" i="8"/>
  <c r="G83" i="8"/>
  <c r="D83" i="8"/>
  <c r="G20" i="8"/>
  <c r="G60" i="8"/>
  <c r="C77" i="8"/>
  <c r="F77" i="8"/>
  <c r="J77" i="8"/>
  <c r="C20" i="8"/>
  <c r="J20" i="8"/>
  <c r="F20" i="8"/>
  <c r="F52" i="8"/>
  <c r="C52" i="8"/>
  <c r="J52" i="8"/>
  <c r="D21" i="8"/>
  <c r="D77" i="8"/>
  <c r="G77" i="8"/>
  <c r="D44" i="8"/>
  <c r="G44" i="8"/>
  <c r="G8" i="8"/>
  <c r="F38" i="8"/>
  <c r="C38" i="8"/>
  <c r="J38" i="8"/>
  <c r="C8" i="8"/>
  <c r="J8" i="8"/>
  <c r="F8" i="8"/>
  <c r="J11" i="8"/>
  <c r="C42" i="8"/>
  <c r="F42" i="8"/>
  <c r="J42" i="8"/>
  <c r="G65" i="8"/>
  <c r="D65" i="8"/>
  <c r="F68" i="8"/>
  <c r="J68" i="8"/>
  <c r="C68" i="8"/>
  <c r="J88" i="8"/>
  <c r="F88" i="8"/>
  <c r="C88" i="8"/>
  <c r="G82" i="8"/>
  <c r="D82" i="8"/>
  <c r="F65" i="8"/>
  <c r="F76" i="8"/>
  <c r="C76" i="8"/>
  <c r="J76" i="8"/>
  <c r="G15" i="8"/>
  <c r="D15" i="8"/>
  <c r="J47" i="8"/>
  <c r="G31" i="8"/>
  <c r="D31" i="8"/>
  <c r="D47" i="8"/>
  <c r="G47" i="8"/>
  <c r="D53" i="8"/>
  <c r="G53" i="8"/>
  <c r="J28" i="8"/>
  <c r="F28" i="8"/>
  <c r="C28" i="8"/>
  <c r="J78" i="8"/>
  <c r="C78" i="8"/>
  <c r="G64" i="8"/>
  <c r="D64" i="8"/>
  <c r="F53" i="8"/>
  <c r="C53" i="8"/>
  <c r="J53" i="8"/>
  <c r="D52" i="8" l="1"/>
  <c r="D81" i="8"/>
  <c r="J46" i="8"/>
  <c r="C61" i="8"/>
  <c r="F46" i="8"/>
  <c r="J61" i="8"/>
  <c r="G26" i="8"/>
  <c r="G12" i="8"/>
  <c r="F30" i="8"/>
  <c r="J32" i="8"/>
  <c r="J83" i="8"/>
  <c r="F23" i="8"/>
  <c r="C17" i="8"/>
  <c r="G34" i="8"/>
  <c r="D5" i="8"/>
  <c r="C4" i="8"/>
  <c r="G18" i="8"/>
  <c r="D67" i="8"/>
  <c r="J72" i="8"/>
  <c r="F33" i="8"/>
  <c r="C72" i="8"/>
  <c r="G49" i="8"/>
  <c r="D74" i="8"/>
  <c r="D41" i="8"/>
  <c r="F67" i="8"/>
  <c r="D86" i="8"/>
  <c r="J16" i="8"/>
  <c r="F16" i="8"/>
  <c r="J67" i="8"/>
  <c r="C47" i="8"/>
  <c r="C39" i="8"/>
  <c r="F39" i="8"/>
  <c r="J31" i="8"/>
  <c r="F31" i="8"/>
  <c r="D69" i="8"/>
  <c r="J85" i="8"/>
  <c r="J25" i="8"/>
  <c r="F25" i="8"/>
  <c r="C25" i="8"/>
  <c r="J9" i="8"/>
  <c r="F9" i="8"/>
  <c r="C9" i="8"/>
  <c r="C80" i="8"/>
  <c r="J80" i="8"/>
  <c r="C66" i="8"/>
  <c r="F66" i="8"/>
  <c r="J66" i="8"/>
  <c r="C82" i="8"/>
  <c r="F82" i="8"/>
  <c r="J82" i="8"/>
  <c r="D27" i="8"/>
  <c r="C36" i="8"/>
  <c r="F36" i="8"/>
  <c r="J36" i="8"/>
  <c r="F80" i="8"/>
  <c r="F73" i="8"/>
  <c r="J60" i="8"/>
  <c r="C60" i="8"/>
  <c r="F60" i="8"/>
  <c r="G75" i="8"/>
  <c r="D32" i="8"/>
  <c r="F27" i="8"/>
  <c r="J27" i="8"/>
  <c r="C50" i="8"/>
  <c r="J50" i="8"/>
  <c r="G48" i="8"/>
  <c r="D48" i="8"/>
  <c r="F50" i="8"/>
  <c r="J62" i="8"/>
  <c r="J71" i="8"/>
  <c r="G58" i="8"/>
  <c r="C62" i="8"/>
  <c r="C71" i="8"/>
  <c r="G62" i="8"/>
  <c r="C51" i="8"/>
  <c r="J51" i="8"/>
  <c r="F51" i="8"/>
  <c r="G59" i="8"/>
  <c r="D59" i="8"/>
  <c r="G88" i="8"/>
  <c r="F57" i="8"/>
  <c r="J57" i="8"/>
  <c r="C57" i="8"/>
  <c r="D36" i="8"/>
  <c r="G36" i="8"/>
  <c r="D70" i="8"/>
  <c r="C24" i="8"/>
  <c r="J24" i="8"/>
  <c r="G76" i="8"/>
  <c r="D22" i="8"/>
  <c r="G22" i="8"/>
  <c r="D68" i="8"/>
  <c r="C15" i="8"/>
  <c r="D39" i="8"/>
  <c r="J40" i="8"/>
  <c r="G71" i="8"/>
  <c r="F15" i="8"/>
  <c r="F6" i="8"/>
  <c r="G73" i="8"/>
  <c r="F21" i="8"/>
  <c r="C21" i="8"/>
  <c r="D87" i="8"/>
  <c r="G87" i="8"/>
  <c r="D72" i="8"/>
  <c r="G72" i="8"/>
  <c r="C11" i="8"/>
  <c r="J64" i="8"/>
  <c r="C64" i="8"/>
  <c r="F64" i="8"/>
  <c r="J21" i="8"/>
  <c r="C65" i="8"/>
  <c r="C84" i="8"/>
  <c r="J84" i="8"/>
  <c r="F84" i="8"/>
  <c r="D56" i="8"/>
  <c r="G56" i="8"/>
  <c r="D28" i="8"/>
  <c r="G28" i="8"/>
  <c r="F48" i="8"/>
  <c r="C48" i="8"/>
  <c r="J48" i="8"/>
  <c r="C40" i="8"/>
  <c r="F26" i="8"/>
  <c r="J26" i="8"/>
  <c r="C27" i="8"/>
  <c r="J6" i="8"/>
  <c r="J22" i="8"/>
  <c r="G24" i="8"/>
  <c r="C56" i="8"/>
  <c r="F56" i="8"/>
  <c r="F43" i="8"/>
  <c r="C35" i="8"/>
  <c r="J43" i="8"/>
  <c r="J35" i="8"/>
  <c r="F4" i="8"/>
  <c r="C33" i="8"/>
  <c r="J17" i="8"/>
  <c r="J54" i="8"/>
  <c r="C54" i="8"/>
  <c r="J73" i="8"/>
  <c r="F79" i="8"/>
  <c r="J79" i="8"/>
  <c r="G78" i="8"/>
  <c r="D45" i="8"/>
  <c r="G23" i="8"/>
  <c r="F55" i="8"/>
  <c r="G42" i="8"/>
  <c r="D13" i="8"/>
  <c r="C26" i="8"/>
  <c r="F32" i="8"/>
  <c r="J23" i="8"/>
  <c r="G9" i="8"/>
  <c r="J55" i="8"/>
  <c r="D54" i="8"/>
  <c r="G33" i="8"/>
  <c r="G7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<sst xmlns="http://schemas.openxmlformats.org/spreadsheetml/2006/main" count="685" uniqueCount="190">
  <si>
    <t>tib_FEED_SS_IM2_TAB_2031-01 - FLOW_FL-1 @ 86400 s</t>
  </si>
  <si>
    <t>tib_FEED_SS_IM2_TAB_2031-01 - FLOW_FL-2 @ 86400 s</t>
  </si>
  <si>
    <t>tib_FEED_SS_IM2_TAB_2031-01 - FLOW_FL-3 @ 86400 s</t>
  </si>
  <si>
    <t>9183.98 ft</t>
  </si>
  <si>
    <t>16793.393 ft</t>
  </si>
  <si>
    <t>16534.99 ft</t>
  </si>
  <si>
    <t>tib_FEED_SS_IM2_TAB_2031-09 - FLOW_FL-1 @ 86400 s</t>
  </si>
  <si>
    <t>tib_FEED_SS_IM2_TAB_2031-09 - FLOW_FL-2 @ 86400 s</t>
  </si>
  <si>
    <t>tib_FEED_SS_IM2_TAB_2031-09 - FLOW_FL-3 @ 86400 s</t>
  </si>
  <si>
    <t>tib_FEED_SS_IM2_TAB_2031-12 - FLOW_FL-1 @ 86400 s</t>
  </si>
  <si>
    <t>tib_FEED_SS_IM2_TAB_2031-12 - FLOW_FL-2 @ 86400 s</t>
  </si>
  <si>
    <t>tib_FEED_SS_IM2_TAB_2031-12 - FLOW_FL-3 @ 86400 s</t>
  </si>
  <si>
    <t>tib_FEED_SS_IM2_TAB_2035-03 - FLOW_FL-1 @ 86400 s</t>
  </si>
  <si>
    <t>tib_FEED_SS_IM2_TAB_2035-03 - FLOW_FL-2 @ 86400 s</t>
  </si>
  <si>
    <t>tib_FEED_SS_IM2_TAB_2035-03 - FLOW_FL-3 @ 86400 s</t>
  </si>
  <si>
    <t>tib_FEED_SS_IM3_TAB_2030-09_1R_woSSP - FLOW_FL-2 @ 86400 s</t>
  </si>
  <si>
    <t>tib_FEED_SS_IM3_TAB_2030-09_1R_woSSP - FLOW_FL-4 @ 86400 s</t>
  </si>
  <si>
    <t>tib_FEED_SS_IM3_TAB_2040-12_1R - FLOW_FL-2 @ 86400 s</t>
  </si>
  <si>
    <t>tib_FEED_SS_IM3_TAB_2040-12_1R - FLOW_FL-4 @ 86400 s</t>
  </si>
  <si>
    <t>tib_FEED_SS_IM3_TAB_2045-11_1R - FLOW_FL-2 @ 86400 s</t>
  </si>
  <si>
    <t>tib_FEED_SS_IM3_TAB_2045-11_1R - FLOW_FL-4 @ 86400 s</t>
  </si>
  <si>
    <t>early='29-'35;  mid='35-'45,  late='45-'54</t>
  </si>
  <si>
    <t>Fluid temperature</t>
  </si>
  <si>
    <t>Pressure</t>
  </si>
  <si>
    <t>Fluid mixture density including all phases (also any solids, drilling fluids and deposits) in all layers.</t>
  </si>
  <si>
    <t>Distance [ft]</t>
  </si>
  <si>
    <t>Temperature [Â°F]</t>
  </si>
  <si>
    <t>Pressure [psia]</t>
  </si>
  <si>
    <t>Density [lb/ftÂ³]</t>
  </si>
  <si>
    <t>tib_FEED_SD_IM2_TAB_2031-01 - FLOW_FL-1 @ 6 h</t>
  </si>
  <si>
    <t>tib_FEED_SD_IM2_TAB_2031-01 - FLOW_FL-2 @ 6 h</t>
  </si>
  <si>
    <t>tib_FEED_SD_IM2_TAB_2031-01 - FLOW_FL-3 @ 6 h</t>
  </si>
  <si>
    <t>tib_FEED_SD_IM2_TAB_2035-03 - FLOW_FL-1 @ 6 h</t>
  </si>
  <si>
    <t>tib_FEED_SD_IM2_TAB_2035-03 - FLOW_FL-2 @ 6 h</t>
  </si>
  <si>
    <t>tib_FEED_SD_IM3_TAB_2045-11_1R - FLOW_FL-4 @ 6 h</t>
  </si>
  <si>
    <t>tib_FEED_SD_IM2_TAB_2035-03 - FLOW_FL-3 @ 6 h</t>
  </si>
  <si>
    <t>tib_FEED_SD_IM3_TAB_2045-11_1R - FLOW_FL-2 @ 6 h</t>
  </si>
  <si>
    <t>.</t>
  </si>
  <si>
    <t>tib_FEED_SS_IM4_TAB_2030_06_48h - FLOW-FL-5-TB @ 86400 s</t>
  </si>
  <si>
    <t>Distance [mi]</t>
  </si>
  <si>
    <t>tib_FEED_SS_IM4_TAB_2036_01_48h - FLOW-FL-5-TB @ 86400 s</t>
  </si>
  <si>
    <t>tib_FEED_SS_IM4_TAB_2045_09_120h - FLOW-FL-5-TB @ 432000 s</t>
  </si>
  <si>
    <t>steady state operating</t>
  </si>
  <si>
    <t>tib_FEED_SD_IM4_TAB_2030_06 - FLOW-FL-5-TB @ 6 h</t>
  </si>
  <si>
    <t>tib_FEED_SD_IM4_TAB_2036_01 - FLOW-FL-5-TB @ 6 h</t>
  </si>
  <si>
    <t>tib_FEED_SD_IM4_TAB_2045_09 - FLOW-FL-5-TB @ 6 h</t>
  </si>
  <si>
    <t>PCL (6h)</t>
  </si>
  <si>
    <t>tib_FEED_SD_IM4_TAB_2030_06 - FLOW-FL-5-TB @ 12 h</t>
  </si>
  <si>
    <t>tib_FEED_SD_IM4_TAB_2036_01 - FLOW-FL-5-TB @ 12 h</t>
  </si>
  <si>
    <t>tib_FEED_SD_IM4_TAB_2045_09 - FLOW-FL-5-TB @ 12 h</t>
  </si>
  <si>
    <t>HCL (12h)</t>
  </si>
  <si>
    <t>Profile Name</t>
  </si>
  <si>
    <t>KP</t>
  </si>
  <si>
    <t>[m]</t>
  </si>
  <si>
    <t>Install</t>
  </si>
  <si>
    <t>[Bar]</t>
  </si>
  <si>
    <t>KP(ft)</t>
  </si>
  <si>
    <t>WD (ft)</t>
  </si>
  <si>
    <t>KP(m)</t>
  </si>
  <si>
    <t>WD (m)</t>
  </si>
  <si>
    <t>ExternalPressure[bar]</t>
  </si>
  <si>
    <t>Flooded[Bar]</t>
  </si>
  <si>
    <t>Hydrotest[Bar]</t>
  </si>
  <si>
    <t>Remove_hydrotest[Bar]</t>
  </si>
  <si>
    <t>Dewater[Bar]</t>
  </si>
  <si>
    <t>Fill_Content</t>
  </si>
  <si>
    <t>Design_Pressure[Bar]</t>
  </si>
  <si>
    <t>WD_rowLB</t>
  </si>
  <si>
    <t>WD_rowUB</t>
  </si>
  <si>
    <t>[-]</t>
  </si>
  <si>
    <t>KP_LB</t>
  </si>
  <si>
    <t>KP_UB</t>
  </si>
  <si>
    <t>WD_LB</t>
  </si>
  <si>
    <t>WD_UB</t>
  </si>
  <si>
    <t>WD_PRE</t>
  </si>
  <si>
    <t>External Pressure</t>
  </si>
  <si>
    <t>[bar]</t>
  </si>
  <si>
    <t>Flooded</t>
  </si>
  <si>
    <t>Hydrotest</t>
  </si>
  <si>
    <t>RemoveHydro</t>
  </si>
  <si>
    <t>Design</t>
  </si>
  <si>
    <t>Remove_hydro</t>
  </si>
  <si>
    <t>Dewater</t>
  </si>
  <si>
    <t>FillContent</t>
  </si>
  <si>
    <t>OPSS_Early</t>
  </si>
  <si>
    <t>OPSS_Mid</t>
  </si>
  <si>
    <t>OPSS_Lat</t>
  </si>
  <si>
    <t>PCD_Early</t>
  </si>
  <si>
    <t>PCD_Mid</t>
  </si>
  <si>
    <t>PCD_Lat</t>
  </si>
  <si>
    <t>Hydrotest_Temp</t>
  </si>
  <si>
    <t>[C]</t>
  </si>
  <si>
    <t xml:space="preserve">Temperature </t>
  </si>
  <si>
    <t>Flooded_Temp</t>
  </si>
  <si>
    <t>Design_Temp</t>
  </si>
  <si>
    <t>FillContent_Temp</t>
  </si>
  <si>
    <t>OPSS_Early_Temp</t>
  </si>
  <si>
    <t>OPSS_Mid_Temp</t>
  </si>
  <si>
    <t>OPSS_Lat_Temp</t>
  </si>
  <si>
    <t>PCD_Early_Temp</t>
  </si>
  <si>
    <t>PCD_Mid_Temp</t>
  </si>
  <si>
    <t>PCD_Lat_Temp</t>
  </si>
  <si>
    <t>Max</t>
  </si>
  <si>
    <t>Avg</t>
  </si>
  <si>
    <t>Min</t>
  </si>
  <si>
    <t>Content density</t>
  </si>
  <si>
    <t>[kg/m3]</t>
  </si>
  <si>
    <t>Content_Install</t>
  </si>
  <si>
    <t>Content_flooded</t>
  </si>
  <si>
    <t>Content_design</t>
  </si>
  <si>
    <t>Content_early</t>
  </si>
  <si>
    <t>Content_mid</t>
  </si>
  <si>
    <t>Content_lat</t>
  </si>
  <si>
    <t>Content_earlyPCD</t>
  </si>
  <si>
    <t>Content_midPCD</t>
  </si>
  <si>
    <t>Content_latPCD</t>
  </si>
  <si>
    <t>Content_earlyFCD</t>
  </si>
  <si>
    <t>Content_midFCD</t>
  </si>
  <si>
    <t>Content_latFCD</t>
  </si>
  <si>
    <t>HCD_Early_Temp</t>
  </si>
  <si>
    <t>HCD_Mid_Temp</t>
  </si>
  <si>
    <t>HCD_Lat_Temp</t>
  </si>
  <si>
    <t>HCD_Early</t>
  </si>
  <si>
    <t>HCD_Mid</t>
  </si>
  <si>
    <t>HCD_Lat</t>
  </si>
  <si>
    <t>FCD_HU_Early</t>
  </si>
  <si>
    <t>0m</t>
  </si>
  <si>
    <t>75 m</t>
  </si>
  <si>
    <t>120 m</t>
  </si>
  <si>
    <t>175 m</t>
  </si>
  <si>
    <t>220 m</t>
  </si>
  <si>
    <t>270 m</t>
  </si>
  <si>
    <t>320 m</t>
  </si>
  <si>
    <t>360 m</t>
  </si>
  <si>
    <t>405 m</t>
  </si>
  <si>
    <t>465 m</t>
  </si>
  <si>
    <t>540 m</t>
  </si>
  <si>
    <t>615 m</t>
  </si>
  <si>
    <t>720 m</t>
  </si>
  <si>
    <t>780 m</t>
  </si>
  <si>
    <t>900 m</t>
  </si>
  <si>
    <t>1560 m</t>
  </si>
  <si>
    <t>5640 m</t>
  </si>
  <si>
    <t>Amplitude name</t>
  </si>
  <si>
    <t>Transient name</t>
  </si>
  <si>
    <t>Time in Step</t>
  </si>
  <si>
    <t>Temperature</t>
  </si>
  <si>
    <r>
      <t>[</t>
    </r>
    <r>
      <rPr>
        <sz val="11"/>
        <color theme="1"/>
        <rFont val="Times New Roman"/>
        <family val="1"/>
      </rPr>
      <t>°</t>
    </r>
    <r>
      <rPr>
        <sz val="11"/>
        <color theme="1"/>
        <rFont val="Aptos Narrow"/>
        <family val="2"/>
      </rPr>
      <t>C]</t>
    </r>
  </si>
  <si>
    <t>HCD_HU_Early</t>
  </si>
  <si>
    <t>PCD_HU_Early</t>
  </si>
  <si>
    <t>20 m</t>
  </si>
  <si>
    <r>
      <t>[bar</t>
    </r>
    <r>
      <rPr>
        <sz val="11"/>
        <color theme="1"/>
        <rFont val="Aptos Narrow"/>
        <family val="2"/>
      </rPr>
      <t>]</t>
    </r>
  </si>
  <si>
    <t>[ft]</t>
  </si>
  <si>
    <t>KP_reverse</t>
  </si>
  <si>
    <t>FCD_Early</t>
  </si>
  <si>
    <t>FCD_Mid</t>
  </si>
  <si>
    <t>CASE</t>
  </si>
  <si>
    <t>G-2_50pcJT_PSD</t>
  </si>
  <si>
    <t>BRANCH</t>
  </si>
  <si>
    <t>VARIABLE</t>
  </si>
  <si>
    <t>PT</t>
  </si>
  <si>
    <t>TIME</t>
  </si>
  <si>
    <t>120.000055555556 h</t>
  </si>
  <si>
    <t>FCD (120hh)</t>
  </si>
  <si>
    <t>FLOW-FL-6-TB</t>
  </si>
  <si>
    <t>G-1_50pcJT_PSD</t>
  </si>
  <si>
    <t>120 h</t>
  </si>
  <si>
    <t>FCD_Early_Temp</t>
  </si>
  <si>
    <t>FCD_Mid_Temp</t>
  </si>
  <si>
    <t>TM</t>
  </si>
  <si>
    <t>Temperature [°F]</t>
  </si>
  <si>
    <t>Landing_Temp</t>
  </si>
  <si>
    <t>2nd End</t>
  </si>
  <si>
    <t>Temp</t>
  </si>
  <si>
    <r>
      <t>[</t>
    </r>
    <r>
      <rPr>
        <sz val="11"/>
        <color theme="1"/>
        <rFont val="Aptos Narrow"/>
        <family val="2"/>
      </rPr>
      <t>°C]</t>
    </r>
  </si>
  <si>
    <t>Row1</t>
  </si>
  <si>
    <t>Row2</t>
  </si>
  <si>
    <t>Temp1</t>
  </si>
  <si>
    <t>Temp2</t>
  </si>
  <si>
    <t>KP1</t>
  </si>
  <si>
    <t>KP2</t>
  </si>
  <si>
    <t>Duration (hr)</t>
  </si>
  <si>
    <t>layspeed</t>
  </si>
  <si>
    <t>m/min</t>
  </si>
  <si>
    <t>length(m)</t>
  </si>
  <si>
    <t>LeakTest</t>
  </si>
  <si>
    <t>design=</t>
  </si>
  <si>
    <t>hdyrotest</t>
  </si>
  <si>
    <t>leaktest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</si>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</sst>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FF"/>
      <name val="Arial"/>
      <family val="2"/>
    </font>
    <font>
      <sz val="11"/>
      <color theme="1"/>
      <name val="Times New Roman"/>
      <family val="1"/>
    </font>
    <font>
      <sz val="11"/>
      <color theme="1"/>
      <name val="Aptos Narrow"/>
      <family val="2"/>
    </font>
    <font>
      <sz val="10"/>
      <name val="Arial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3EFC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5CEF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wrapText="1"/>
    </xf>
    <xf numFmtId="0" fontId="0" fillId="6" borderId="0" xfId="0" applyFill="1"/>
    <xf numFmtId="0" fontId="1" fillId="0" borderId="0" xfId="0" applyFont="1" applyAlignment="1">
      <alignment horizontal="center"/>
    </xf>
    <xf numFmtId="0" fontId="0" fillId="7" borderId="0" xfId="0" applyFill="1"/>
    <xf numFmtId="0" fontId="2" fillId="8" borderId="3" xfId="0" applyFont="1" applyFill="1" applyBorder="1" applyAlignment="1" applyProtection="1">
      <alignment horizontal="center" vertical="center" wrapText="1"/>
      <protection locked="0"/>
    </xf>
    <xf numFmtId="0" fontId="2" fillId="8" borderId="4" xfId="0" applyFont="1" applyFill="1" applyBorder="1" applyAlignment="1" applyProtection="1">
      <alignment horizontal="center" vertical="center" wrapText="1"/>
      <protection locked="0"/>
    </xf>
    <xf numFmtId="0" fontId="2" fillId="8" borderId="5" xfId="0" applyFont="1" applyFill="1" applyBorder="1" applyAlignment="1" applyProtection="1">
      <alignment horizontal="center" vertical="center" wrapText="1"/>
      <protection locked="0"/>
    </xf>
    <xf numFmtId="0" fontId="2" fillId="8" borderId="6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2" fontId="2" fillId="8" borderId="7" xfId="0" applyNumberFormat="1" applyFont="1" applyFill="1" applyBorder="1" applyAlignment="1" applyProtection="1">
      <alignment horizontal="center"/>
      <protection locked="0"/>
    </xf>
    <xf numFmtId="2" fontId="2" fillId="8" borderId="8" xfId="0" applyNumberFormat="1" applyFont="1" applyFill="1" applyBorder="1" applyAlignment="1" applyProtection="1">
      <alignment horizontal="center"/>
      <protection locked="0"/>
    </xf>
    <xf numFmtId="2" fontId="5" fillId="8" borderId="8" xfId="0" applyNumberFormat="1" applyFont="1" applyFill="1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8" xfId="0" applyBorder="1" applyAlignment="1">
      <alignment horizontal="center"/>
    </xf>
    <xf numFmtId="0" fontId="0" fillId="9" borderId="0" xfId="0" applyFill="1"/>
    <xf numFmtId="0" fontId="0" fillId="0" borderId="0" xfId="0" applyAlignment="1">
      <alignment wrapText="1"/>
    </xf>
    <xf numFmtId="0" fontId="0" fillId="10" borderId="0" xfId="0" applyFill="1"/>
    <xf numFmtId="2" fontId="0" fillId="0" borderId="7" xfId="0" applyNumberFormat="1" applyBorder="1" applyAlignment="1">
      <alignment horizontal="center"/>
    </xf>
    <xf numFmtId="0" fontId="6" fillId="0" borderId="6" xfId="0" applyFont="1" applyBorder="1" applyAlignment="1">
      <alignment horizontal="right"/>
    </xf>
    <xf numFmtId="0" fontId="0" fillId="0" borderId="9" xfId="0" applyBorder="1"/>
    <xf numFmtId="0" fontId="6" fillId="0" borderId="8" xfId="0" applyFont="1" applyBorder="1" applyAlignment="1">
      <alignment horizontal="right"/>
    </xf>
    <xf numFmtId="0" fontId="0" fillId="0" borderId="10" xfId="0" applyBorder="1"/>
    <xf numFmtId="0" fontId="6" fillId="0" borderId="2" xfId="0" applyFont="1" applyBorder="1" applyAlignment="1">
      <alignment horizontal="right"/>
    </xf>
    <xf numFmtId="0" fontId="0" fillId="0" borderId="11" xfId="0" applyBorder="1"/>
    <xf numFmtId="0" fontId="6" fillId="0" borderId="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2" fillId="8" borderId="1" xfId="0" applyFont="1" applyFill="1" applyBorder="1" applyAlignment="1" applyProtection="1">
      <alignment horizontal="center" vertical="center" wrapText="1"/>
      <protection locked="0"/>
    </xf>
    <xf numFmtId="0" fontId="2" fillId="8" borderId="3" xfId="0" applyFont="1" applyFill="1" applyBorder="1" applyAlignment="1" applyProtection="1">
      <alignment horizontal="center" vertical="center" wrapText="1"/>
      <protection locked="0"/>
    </xf>
    <xf numFmtId="0" fontId="2" fillId="8" borderId="2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  <color rgb="FFF3E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EarlyLife</c:v>
          </c:tx>
          <c:spPr>
            <a:ln w="19050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xVal>
            <c:numRef>
              <c:f>'FL6 data'!$C$6:$C$568</c:f>
              <c:numCache>
                <c:formatCode>General</c:formatCode>
                <c:ptCount val="563"/>
                <c:pt idx="0">
                  <c:v>48.543058277668898</c:v>
                </c:pt>
                <c:pt idx="1">
                  <c:v>145.629174833007</c:v>
                </c:pt>
                <c:pt idx="2">
                  <c:v>222.08611655533801</c:v>
                </c:pt>
                <c:pt idx="3">
                  <c:v>270.935</c:v>
                </c:pt>
                <c:pt idx="4">
                  <c:v>312.80500000000001</c:v>
                </c:pt>
                <c:pt idx="5">
                  <c:v>375.49</c:v>
                </c:pt>
                <c:pt idx="6">
                  <c:v>500.49</c:v>
                </c:pt>
                <c:pt idx="7">
                  <c:v>646.24</c:v>
                </c:pt>
                <c:pt idx="8">
                  <c:v>771.24</c:v>
                </c:pt>
                <c:pt idx="9">
                  <c:v>896.24</c:v>
                </c:pt>
                <c:pt idx="10">
                  <c:v>1021.24</c:v>
                </c:pt>
                <c:pt idx="11">
                  <c:v>1146.24</c:v>
                </c:pt>
                <c:pt idx="12">
                  <c:v>1271.24</c:v>
                </c:pt>
                <c:pt idx="13">
                  <c:v>1396.24</c:v>
                </c:pt>
                <c:pt idx="14">
                  <c:v>1521.24</c:v>
                </c:pt>
                <c:pt idx="15">
                  <c:v>1632.99</c:v>
                </c:pt>
                <c:pt idx="16">
                  <c:v>1731.49</c:v>
                </c:pt>
                <c:pt idx="17">
                  <c:v>1817.9974999999999</c:v>
                </c:pt>
                <c:pt idx="18">
                  <c:v>1892.5125</c:v>
                </c:pt>
                <c:pt idx="19">
                  <c:v>1967.03</c:v>
                </c:pt>
                <c:pt idx="20">
                  <c:v>2041.55</c:v>
                </c:pt>
                <c:pt idx="21">
                  <c:v>2116.0700000000002</c:v>
                </c:pt>
                <c:pt idx="22">
                  <c:v>2190.59</c:v>
                </c:pt>
                <c:pt idx="23">
                  <c:v>2265.12</c:v>
                </c:pt>
                <c:pt idx="24">
                  <c:v>2339.66</c:v>
                </c:pt>
                <c:pt idx="25">
                  <c:v>2414.1849999999999</c:v>
                </c:pt>
                <c:pt idx="26">
                  <c:v>2488.6950000000002</c:v>
                </c:pt>
                <c:pt idx="27">
                  <c:v>2563.21</c:v>
                </c:pt>
                <c:pt idx="28">
                  <c:v>2637.73</c:v>
                </c:pt>
                <c:pt idx="29">
                  <c:v>2712.2424999999998</c:v>
                </c:pt>
                <c:pt idx="30">
                  <c:v>2786.7474999999999</c:v>
                </c:pt>
                <c:pt idx="31">
                  <c:v>2861.2525000000001</c:v>
                </c:pt>
                <c:pt idx="32">
                  <c:v>2935.7575000000002</c:v>
                </c:pt>
                <c:pt idx="33">
                  <c:v>3035.5099999999902</c:v>
                </c:pt>
                <c:pt idx="34">
                  <c:v>3160.5099999999902</c:v>
                </c:pt>
                <c:pt idx="35">
                  <c:v>3285.5099999999902</c:v>
                </c:pt>
                <c:pt idx="36">
                  <c:v>3410.5099999999902</c:v>
                </c:pt>
                <c:pt idx="37">
                  <c:v>3535.5099999999902</c:v>
                </c:pt>
                <c:pt idx="38">
                  <c:v>3660.5099999999902</c:v>
                </c:pt>
                <c:pt idx="39">
                  <c:v>3785.5099999999902</c:v>
                </c:pt>
                <c:pt idx="40">
                  <c:v>3910.5099999999902</c:v>
                </c:pt>
                <c:pt idx="41">
                  <c:v>4010.2599999999902</c:v>
                </c:pt>
                <c:pt idx="42">
                  <c:v>4084.7599999999902</c:v>
                </c:pt>
                <c:pt idx="43">
                  <c:v>4184.5099999999902</c:v>
                </c:pt>
                <c:pt idx="44">
                  <c:v>4309.5099999999902</c:v>
                </c:pt>
                <c:pt idx="45">
                  <c:v>4409.2699999999904</c:v>
                </c:pt>
                <c:pt idx="46">
                  <c:v>4483.78999999999</c:v>
                </c:pt>
                <c:pt idx="47">
                  <c:v>4570.2999999999902</c:v>
                </c:pt>
                <c:pt idx="48">
                  <c:v>4668.7999999999902</c:v>
                </c:pt>
                <c:pt idx="49">
                  <c:v>4755.3199999999897</c:v>
                </c:pt>
                <c:pt idx="50">
                  <c:v>4829.8599999999897</c:v>
                </c:pt>
                <c:pt idx="51">
                  <c:v>4904.3874999999998</c:v>
                </c:pt>
                <c:pt idx="52">
                  <c:v>4978.9025000000001</c:v>
                </c:pt>
                <c:pt idx="53">
                  <c:v>5053.415</c:v>
                </c:pt>
                <c:pt idx="54">
                  <c:v>5127.9250000000002</c:v>
                </c:pt>
                <c:pt idx="55">
                  <c:v>5202.4425000000101</c:v>
                </c:pt>
                <c:pt idx="56">
                  <c:v>5276.9675000000198</c:v>
                </c:pt>
                <c:pt idx="57">
                  <c:v>5351.4975000000204</c:v>
                </c:pt>
                <c:pt idx="58">
                  <c:v>5426.0325000000103</c:v>
                </c:pt>
                <c:pt idx="59">
                  <c:v>5500.5800000000099</c:v>
                </c:pt>
                <c:pt idx="60">
                  <c:v>5575.1400000000103</c:v>
                </c:pt>
                <c:pt idx="61">
                  <c:v>5649.7025000000103</c:v>
                </c:pt>
                <c:pt idx="62">
                  <c:v>5724.2674999999999</c:v>
                </c:pt>
                <c:pt idx="63">
                  <c:v>5798.8125</c:v>
                </c:pt>
                <c:pt idx="64">
                  <c:v>5873.3375000000096</c:v>
                </c:pt>
                <c:pt idx="65">
                  <c:v>5947.8550000000096</c:v>
                </c:pt>
                <c:pt idx="66">
                  <c:v>6022.3650000000098</c:v>
                </c:pt>
                <c:pt idx="67">
                  <c:v>6096.8800000000101</c:v>
                </c:pt>
                <c:pt idx="68">
                  <c:v>6171.4000000000096</c:v>
                </c:pt>
                <c:pt idx="69">
                  <c:v>6245.9250000000102</c:v>
                </c:pt>
                <c:pt idx="70">
                  <c:v>6320.4550000000099</c:v>
                </c:pt>
                <c:pt idx="71">
                  <c:v>6394.9800000000096</c:v>
                </c:pt>
                <c:pt idx="72">
                  <c:v>6469.50000000001</c:v>
                </c:pt>
                <c:pt idx="73">
                  <c:v>6544.0125000000098</c:v>
                </c:pt>
                <c:pt idx="74">
                  <c:v>6618.5175000000099</c:v>
                </c:pt>
                <c:pt idx="75">
                  <c:v>6718.2700000000104</c:v>
                </c:pt>
                <c:pt idx="76">
                  <c:v>6843.2700000000104</c:v>
                </c:pt>
                <c:pt idx="77">
                  <c:v>6943.0550000000103</c:v>
                </c:pt>
                <c:pt idx="78">
                  <c:v>7017.62500000001</c:v>
                </c:pt>
                <c:pt idx="79">
                  <c:v>7117.4100000000099</c:v>
                </c:pt>
                <c:pt idx="80">
                  <c:v>7242.4100000000099</c:v>
                </c:pt>
                <c:pt idx="81">
                  <c:v>7342.21000000001</c:v>
                </c:pt>
                <c:pt idx="82">
                  <c:v>7416.8100000000104</c:v>
                </c:pt>
                <c:pt idx="83">
                  <c:v>7503.3600000000097</c:v>
                </c:pt>
                <c:pt idx="84">
                  <c:v>7601.8600000000097</c:v>
                </c:pt>
                <c:pt idx="85">
                  <c:v>7713.6100000000097</c:v>
                </c:pt>
                <c:pt idx="86">
                  <c:v>7838.6100000000097</c:v>
                </c:pt>
              </c:numCache>
            </c:numRef>
          </c:xVal>
          <c:yVal>
            <c:numRef>
              <c:f>'FL6 data'!$E$6:$E$568</c:f>
              <c:numCache>
                <c:formatCode>General</c:formatCode>
                <c:ptCount val="563"/>
                <c:pt idx="0">
                  <c:v>2326.2774786135401</c:v>
                </c:pt>
                <c:pt idx="1">
                  <c:v>2327.4044217381502</c:v>
                </c:pt>
                <c:pt idx="2">
                  <c:v>2328.2906022389702</c:v>
                </c:pt>
                <c:pt idx="3">
                  <c:v>2328.5255633537599</c:v>
                </c:pt>
                <c:pt idx="4">
                  <c:v>2328.3471669517899</c:v>
                </c:pt>
                <c:pt idx="5">
                  <c:v>2328.4370903414001</c:v>
                </c:pt>
                <c:pt idx="6">
                  <c:v>2328.9751803017998</c:v>
                </c:pt>
                <c:pt idx="7">
                  <c:v>2329.2318970753599</c:v>
                </c:pt>
                <c:pt idx="8">
                  <c:v>2329.02884426011</c:v>
                </c:pt>
                <c:pt idx="9">
                  <c:v>2329.41029347732</c:v>
                </c:pt>
                <c:pt idx="10">
                  <c:v>2330.38059585875</c:v>
                </c:pt>
                <c:pt idx="11">
                  <c:v>2332.13555233337</c:v>
                </c:pt>
                <c:pt idx="12">
                  <c:v>2334.6751629011901</c:v>
                </c:pt>
                <c:pt idx="13">
                  <c:v>2336.9304995276598</c:v>
                </c:pt>
                <c:pt idx="14">
                  <c:v>2338.90011183554</c:v>
                </c:pt>
                <c:pt idx="15">
                  <c:v>2339.54407933532</c:v>
                </c:pt>
                <c:pt idx="16">
                  <c:v>2338.8624020269999</c:v>
                </c:pt>
                <c:pt idx="17">
                  <c:v>2338.0356869934999</c:v>
                </c:pt>
                <c:pt idx="18">
                  <c:v>2337.06393423482</c:v>
                </c:pt>
                <c:pt idx="19">
                  <c:v>2336.0501205358501</c:v>
                </c:pt>
                <c:pt idx="20">
                  <c:v>2334.9942458965702</c:v>
                </c:pt>
                <c:pt idx="21">
                  <c:v>2333.9441727663002</c:v>
                </c:pt>
                <c:pt idx="22">
                  <c:v>2332.90135152229</c:v>
                </c:pt>
                <c:pt idx="23">
                  <c:v>2331.7294467028801</c:v>
                </c:pt>
                <c:pt idx="24">
                  <c:v>2330.4313590625602</c:v>
                </c:pt>
                <c:pt idx="25">
                  <c:v>2329.3551791417599</c:v>
                </c:pt>
                <c:pt idx="26">
                  <c:v>2328.50235731773</c:v>
                </c:pt>
                <c:pt idx="27">
                  <c:v>2327.5596121040899</c:v>
                </c:pt>
                <c:pt idx="28">
                  <c:v>2326.5269435008399</c:v>
                </c:pt>
                <c:pt idx="29">
                  <c:v>2325.6494652635301</c:v>
                </c:pt>
                <c:pt idx="30">
                  <c:v>2324.92862776941</c:v>
                </c:pt>
                <c:pt idx="31">
                  <c:v>2324.1729812212402</c:v>
                </c:pt>
                <c:pt idx="32">
                  <c:v>2323.3825256190398</c:v>
                </c:pt>
                <c:pt idx="33">
                  <c:v>2322.5311541722599</c:v>
                </c:pt>
                <c:pt idx="34">
                  <c:v>2321.61886688091</c:v>
                </c:pt>
                <c:pt idx="35">
                  <c:v>2320.8965790095299</c:v>
                </c:pt>
                <c:pt idx="36">
                  <c:v>2320.3628401808901</c:v>
                </c:pt>
                <c:pt idx="37">
                  <c:v>2319.9712383229198</c:v>
                </c:pt>
                <c:pt idx="38">
                  <c:v>2319.72032305836</c:v>
                </c:pt>
                <c:pt idx="39">
                  <c:v>2319.9349788916202</c:v>
                </c:pt>
                <c:pt idx="40">
                  <c:v>2320.6123050681899</c:v>
                </c:pt>
                <c:pt idx="41">
                  <c:v>2320.6166561999498</c:v>
                </c:pt>
                <c:pt idx="42">
                  <c:v>2319.9480322868899</c:v>
                </c:pt>
                <c:pt idx="43">
                  <c:v>2319.61879665074</c:v>
                </c:pt>
                <c:pt idx="44">
                  <c:v>2319.6274989142498</c:v>
                </c:pt>
                <c:pt idx="45">
                  <c:v>2319.1010119718599</c:v>
                </c:pt>
                <c:pt idx="46">
                  <c:v>2318.0393358235801</c:v>
                </c:pt>
                <c:pt idx="47">
                  <c:v>2317.1110943824601</c:v>
                </c:pt>
                <c:pt idx="48">
                  <c:v>2316.3162876484998</c:v>
                </c:pt>
                <c:pt idx="49">
                  <c:v>2315.27781753624</c:v>
                </c:pt>
                <c:pt idx="50">
                  <c:v>2313.9985848002002</c:v>
                </c:pt>
                <c:pt idx="51">
                  <c:v>2312.85568752582</c:v>
                </c:pt>
                <c:pt idx="52">
                  <c:v>2311.8505760903499</c:v>
                </c:pt>
                <c:pt idx="53">
                  <c:v>2310.9063804994598</c:v>
                </c:pt>
                <c:pt idx="54">
                  <c:v>2310.0231007531402</c:v>
                </c:pt>
                <c:pt idx="55">
                  <c:v>2309.00203516791</c:v>
                </c:pt>
                <c:pt idx="56">
                  <c:v>2307.8417333665102</c:v>
                </c:pt>
                <c:pt idx="57">
                  <c:v>2306.6306683612902</c:v>
                </c:pt>
                <c:pt idx="58">
                  <c:v>2305.3717409067699</c:v>
                </c:pt>
                <c:pt idx="59">
                  <c:v>2303.9880810086001</c:v>
                </c:pt>
                <c:pt idx="60">
                  <c:v>2302.48113904403</c:v>
                </c:pt>
                <c:pt idx="61">
                  <c:v>2300.9669451932</c:v>
                </c:pt>
                <c:pt idx="62">
                  <c:v>2299.4440490788602</c:v>
                </c:pt>
                <c:pt idx="63">
                  <c:v>2298.1024501209899</c:v>
                </c:pt>
                <c:pt idx="64">
                  <c:v>2296.9435986968401</c:v>
                </c:pt>
                <c:pt idx="65">
                  <c:v>2295.9036782073299</c:v>
                </c:pt>
                <c:pt idx="66">
                  <c:v>2294.9826886524702</c:v>
                </c:pt>
                <c:pt idx="67">
                  <c:v>2293.9848291032599</c:v>
                </c:pt>
                <c:pt idx="68">
                  <c:v>2292.9086491824601</c:v>
                </c:pt>
                <c:pt idx="69">
                  <c:v>2291.76140077632</c:v>
                </c:pt>
                <c:pt idx="70">
                  <c:v>2290.5416335076002</c:v>
                </c:pt>
                <c:pt idx="71">
                  <c:v>2289.3914843469602</c:v>
                </c:pt>
                <c:pt idx="72">
                  <c:v>2288.3124036716499</c:v>
                </c:pt>
                <c:pt idx="73">
                  <c:v>2287.3653073262599</c:v>
                </c:pt>
                <c:pt idx="74">
                  <c:v>2286.5501953107701</c:v>
                </c:pt>
                <c:pt idx="75">
                  <c:v>2285.72348027728</c:v>
                </c:pt>
                <c:pt idx="76">
                  <c:v>2284.8822614712599</c:v>
                </c:pt>
                <c:pt idx="77">
                  <c:v>2283.68715061581</c:v>
                </c:pt>
                <c:pt idx="78">
                  <c:v>2282.1352469564399</c:v>
                </c:pt>
                <c:pt idx="79">
                  <c:v>2282.1555522379599</c:v>
                </c:pt>
                <c:pt idx="80">
                  <c:v>2283.7422649513801</c:v>
                </c:pt>
                <c:pt idx="81">
                  <c:v>2283.64363929826</c:v>
                </c:pt>
                <c:pt idx="82">
                  <c:v>2281.8567745240998</c:v>
                </c:pt>
                <c:pt idx="83">
                  <c:v>2280.59784706958</c:v>
                </c:pt>
                <c:pt idx="84">
                  <c:v>2279.8625058029402</c:v>
                </c:pt>
                <c:pt idx="85">
                  <c:v>2279.4955603582498</c:v>
                </c:pt>
                <c:pt idx="86">
                  <c:v>2279.4926596037399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4-46F9-80A6-999A1EC3B17D}"/>
            </c:ext>
          </c:extLst>
        </c:ser>
        <c:ser>
          <c:idx val="1"/>
          <c:order val="1"/>
          <c:tx>
            <c:v>MidLife</c:v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'FL6 data'!$I$6:$I$568</c:f>
              <c:numCache>
                <c:formatCode>General</c:formatCode>
                <c:ptCount val="563"/>
                <c:pt idx="0">
                  <c:v>48.543058277668891</c:v>
                </c:pt>
                <c:pt idx="1">
                  <c:v>145.62917483300683</c:v>
                </c:pt>
                <c:pt idx="2">
                  <c:v>222.08611655533775</c:v>
                </c:pt>
                <c:pt idx="3">
                  <c:v>270.93500000000017</c:v>
                </c:pt>
                <c:pt idx="4">
                  <c:v>312.80499999999995</c:v>
                </c:pt>
                <c:pt idx="5">
                  <c:v>375.49</c:v>
                </c:pt>
                <c:pt idx="6">
                  <c:v>500.48999999999984</c:v>
                </c:pt>
                <c:pt idx="7">
                  <c:v>646.23999999999796</c:v>
                </c:pt>
                <c:pt idx="8">
                  <c:v>771.24000000000103</c:v>
                </c:pt>
                <c:pt idx="9">
                  <c:v>896.23999999999876</c:v>
                </c:pt>
                <c:pt idx="10">
                  <c:v>1021.2400000000017</c:v>
                </c:pt>
                <c:pt idx="11">
                  <c:v>1146.2399999999996</c:v>
                </c:pt>
                <c:pt idx="12">
                  <c:v>1271.2400000000025</c:v>
                </c:pt>
                <c:pt idx="13">
                  <c:v>1396.2400000000002</c:v>
                </c:pt>
                <c:pt idx="14">
                  <c:v>1521.2399999999982</c:v>
                </c:pt>
                <c:pt idx="15">
                  <c:v>1632.9899999999993</c:v>
                </c:pt>
                <c:pt idx="16">
                  <c:v>1731.4899999999993</c:v>
                </c:pt>
                <c:pt idx="17">
                  <c:v>1817.9974999999981</c:v>
                </c:pt>
                <c:pt idx="18">
                  <c:v>1892.5125000000014</c:v>
                </c:pt>
                <c:pt idx="19">
                  <c:v>1967.030000000002</c:v>
                </c:pt>
                <c:pt idx="20">
                  <c:v>2041.5500000000002</c:v>
                </c:pt>
                <c:pt idx="21">
                  <c:v>2116.0699999999983</c:v>
                </c:pt>
                <c:pt idx="22">
                  <c:v>2190.5900000000015</c:v>
                </c:pt>
                <c:pt idx="23">
                  <c:v>2265.12</c:v>
                </c:pt>
                <c:pt idx="24">
                  <c:v>2339.6599999999989</c:v>
                </c:pt>
                <c:pt idx="25">
                  <c:v>2414.1850000000022</c:v>
                </c:pt>
                <c:pt idx="26">
                  <c:v>2488.6950000000002</c:v>
                </c:pt>
                <c:pt idx="27">
                  <c:v>2563.2100000000032</c:v>
                </c:pt>
                <c:pt idx="28">
                  <c:v>2637.7300000000014</c:v>
                </c:pt>
                <c:pt idx="29">
                  <c:v>2712.2425000000017</c:v>
                </c:pt>
                <c:pt idx="30">
                  <c:v>2786.747499999999</c:v>
                </c:pt>
                <c:pt idx="31">
                  <c:v>2861.2525000000019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3160.5099999999979</c:v>
                </c:pt>
                <c:pt idx="35">
                  <c:v>3285.5100000000011</c:v>
                </c:pt>
                <c:pt idx="36">
                  <c:v>3410.5099999999989</c:v>
                </c:pt>
                <c:pt idx="37">
                  <c:v>3535.5100000000016</c:v>
                </c:pt>
                <c:pt idx="38">
                  <c:v>3660.5099999999993</c:v>
                </c:pt>
                <c:pt idx="39">
                  <c:v>3785.509999999997</c:v>
                </c:pt>
                <c:pt idx="40">
                  <c:v>3910.51</c:v>
                </c:pt>
                <c:pt idx="41">
                  <c:v>4010.2599999999979</c:v>
                </c:pt>
                <c:pt idx="42">
                  <c:v>4084.7600000000007</c:v>
                </c:pt>
                <c:pt idx="43">
                  <c:v>4184.5099999999984</c:v>
                </c:pt>
                <c:pt idx="44">
                  <c:v>4309.5099999999957</c:v>
                </c:pt>
                <c:pt idx="45">
                  <c:v>4409.2699999999995</c:v>
                </c:pt>
                <c:pt idx="46">
                  <c:v>4483.7899999999972</c:v>
                </c:pt>
                <c:pt idx="47">
                  <c:v>4570.2999999999993</c:v>
                </c:pt>
                <c:pt idx="48">
                  <c:v>4668.7999999999993</c:v>
                </c:pt>
                <c:pt idx="49">
                  <c:v>4755.3199999999952</c:v>
                </c:pt>
                <c:pt idx="50">
                  <c:v>4829.8599999999997</c:v>
                </c:pt>
                <c:pt idx="51">
                  <c:v>4904.3875000000007</c:v>
                </c:pt>
                <c:pt idx="52">
                  <c:v>4978.9024999999983</c:v>
                </c:pt>
                <c:pt idx="53">
                  <c:v>5053.4149999999991</c:v>
                </c:pt>
                <c:pt idx="54">
                  <c:v>5127.9249999999965</c:v>
                </c:pt>
                <c:pt idx="55">
                  <c:v>5202.4424999999974</c:v>
                </c:pt>
                <c:pt idx="56">
                  <c:v>5276.9675000000007</c:v>
                </c:pt>
                <c:pt idx="57">
                  <c:v>5351.4975000000095</c:v>
                </c:pt>
                <c:pt idx="58">
                  <c:v>5426.0325000000239</c:v>
                </c:pt>
                <c:pt idx="59">
                  <c:v>5500.5800000000254</c:v>
                </c:pt>
                <c:pt idx="60">
                  <c:v>5575.140000000014</c:v>
                </c:pt>
                <c:pt idx="61">
                  <c:v>5649.7025000000122</c:v>
                </c:pt>
                <c:pt idx="62">
                  <c:v>5724.2675000000163</c:v>
                </c:pt>
                <c:pt idx="63">
                  <c:v>5798.81250000001</c:v>
                </c:pt>
                <c:pt idx="64">
                  <c:v>5873.3374999999915</c:v>
                </c:pt>
                <c:pt idx="65">
                  <c:v>5947.8550000000032</c:v>
                </c:pt>
                <c:pt idx="66">
                  <c:v>6022.3649999999907</c:v>
                </c:pt>
                <c:pt idx="67">
                  <c:v>6096.8799999999937</c:v>
                </c:pt>
                <c:pt idx="68">
                  <c:v>6171.4000000000124</c:v>
                </c:pt>
                <c:pt idx="69">
                  <c:v>6245.9249999999947</c:v>
                </c:pt>
                <c:pt idx="70">
                  <c:v>6320.4549999999936</c:v>
                </c:pt>
                <c:pt idx="71">
                  <c:v>6394.9799999999759</c:v>
                </c:pt>
                <c:pt idx="72">
                  <c:v>6469.4999999999955</c:v>
                </c:pt>
                <c:pt idx="73">
                  <c:v>6544.0124999999898</c:v>
                </c:pt>
                <c:pt idx="74">
                  <c:v>6618.5175000000145</c:v>
                </c:pt>
                <c:pt idx="75">
                  <c:v>6718.2699999999941</c:v>
                </c:pt>
                <c:pt idx="76">
                  <c:v>6843.2699999999804</c:v>
                </c:pt>
                <c:pt idx="77">
                  <c:v>6943.0550000000112</c:v>
                </c:pt>
                <c:pt idx="78">
                  <c:v>7017.6249999999791</c:v>
                </c:pt>
                <c:pt idx="79">
                  <c:v>7117.4100000000089</c:v>
                </c:pt>
                <c:pt idx="80">
                  <c:v>7242.4099999999962</c:v>
                </c:pt>
                <c:pt idx="81">
                  <c:v>7342.2100000000228</c:v>
                </c:pt>
                <c:pt idx="82">
                  <c:v>7416.8099999999804</c:v>
                </c:pt>
                <c:pt idx="83">
                  <c:v>7503.3600000000051</c:v>
                </c:pt>
                <c:pt idx="84">
                  <c:v>7601.8599999999878</c:v>
                </c:pt>
                <c:pt idx="85">
                  <c:v>7713.6099999999742</c:v>
                </c:pt>
                <c:pt idx="86">
                  <c:v>7838.6100000000142</c:v>
                </c:pt>
              </c:numCache>
            </c:numRef>
          </c:xVal>
          <c:yVal>
            <c:numRef>
              <c:f>'FL6 data'!$K$6:$K$568</c:f>
              <c:numCache>
                <c:formatCode>General</c:formatCode>
                <c:ptCount val="563"/>
                <c:pt idx="0">
                  <c:v>2157.7073825285502</c:v>
                </c:pt>
                <c:pt idx="1">
                  <c:v>2159.4420337216502</c:v>
                </c:pt>
                <c:pt idx="2">
                  <c:v>2160.8082890927999</c:v>
                </c:pt>
                <c:pt idx="3">
                  <c:v>2161.33042490343</c:v>
                </c:pt>
                <c:pt idx="4">
                  <c:v>2161.39134074801</c:v>
                </c:pt>
                <c:pt idx="5">
                  <c:v>2161.8583622230699</c:v>
                </c:pt>
                <c:pt idx="6">
                  <c:v>2163.1477475998799</c:v>
                </c:pt>
                <c:pt idx="7">
                  <c:v>2164.2587365747199</c:v>
                </c:pt>
                <c:pt idx="8">
                  <c:v>2164.7765212536001</c:v>
                </c:pt>
                <c:pt idx="9">
                  <c:v>2165.91216664172</c:v>
                </c:pt>
                <c:pt idx="10">
                  <c:v>2167.6439170803101</c:v>
                </c:pt>
                <c:pt idx="11">
                  <c:v>2170.1965810433999</c:v>
                </c:pt>
                <c:pt idx="12">
                  <c:v>2173.5498532494498</c:v>
                </c:pt>
                <c:pt idx="13">
                  <c:v>2176.6043477416401</c:v>
                </c:pt>
                <c:pt idx="14">
                  <c:v>2179.3673164062302</c:v>
                </c:pt>
                <c:pt idx="15">
                  <c:v>2180.6581521602898</c:v>
                </c:pt>
                <c:pt idx="16">
                  <c:v>2180.5145648123698</c:v>
                </c:pt>
                <c:pt idx="17">
                  <c:v>2180.1331155951598</c:v>
                </c:pt>
                <c:pt idx="18">
                  <c:v>2179.51670526316</c:v>
                </c:pt>
                <c:pt idx="19">
                  <c:v>2178.8538828591099</c:v>
                </c:pt>
                <c:pt idx="20">
                  <c:v>2178.14319800575</c:v>
                </c:pt>
                <c:pt idx="21">
                  <c:v>2177.43976503865</c:v>
                </c:pt>
                <c:pt idx="22">
                  <c:v>2176.7435839578102</c:v>
                </c:pt>
                <c:pt idx="23">
                  <c:v>2175.90381552905</c:v>
                </c:pt>
                <c:pt idx="24">
                  <c:v>2174.9175589978499</c:v>
                </c:pt>
                <c:pt idx="25">
                  <c:v>2174.1822177312201</c:v>
                </c:pt>
                <c:pt idx="26">
                  <c:v>2173.7006924836301</c:v>
                </c:pt>
                <c:pt idx="27">
                  <c:v>2173.11764082843</c:v>
                </c:pt>
                <c:pt idx="28">
                  <c:v>2172.43161238835</c:v>
                </c:pt>
                <c:pt idx="29">
                  <c:v>2171.9196292184802</c:v>
                </c:pt>
                <c:pt idx="30">
                  <c:v>2171.58459207333</c:v>
                </c:pt>
                <c:pt idx="31">
                  <c:v>2171.2089443651198</c:v>
                </c:pt>
                <c:pt idx="32">
                  <c:v>2170.79558684837</c:v>
                </c:pt>
                <c:pt idx="33">
                  <c:v>2170.4692519667301</c:v>
                </c:pt>
                <c:pt idx="34">
                  <c:v>2170.23139009744</c:v>
                </c:pt>
                <c:pt idx="35">
                  <c:v>2170.1965810433999</c:v>
                </c:pt>
                <c:pt idx="36">
                  <c:v>2170.3619240500998</c:v>
                </c:pt>
                <c:pt idx="37">
                  <c:v>2170.6781062909799</c:v>
                </c:pt>
                <c:pt idx="38">
                  <c:v>2171.14077663429</c:v>
                </c:pt>
                <c:pt idx="39">
                  <c:v>2172.0922241114399</c:v>
                </c:pt>
                <c:pt idx="40">
                  <c:v>2173.5164945726601</c:v>
                </c:pt>
                <c:pt idx="41">
                  <c:v>2174.0806913235901</c:v>
                </c:pt>
                <c:pt idx="42">
                  <c:v>2173.8022188912601</c:v>
                </c:pt>
                <c:pt idx="43">
                  <c:v>2174.0357296287898</c:v>
                </c:pt>
                <c:pt idx="44">
                  <c:v>2174.7681701409201</c:v>
                </c:pt>
                <c:pt idx="45">
                  <c:v>2174.7710708954301</c:v>
                </c:pt>
                <c:pt idx="46">
                  <c:v>2174.0516837785599</c:v>
                </c:pt>
                <c:pt idx="47">
                  <c:v>2173.5542043812102</c:v>
                </c:pt>
                <c:pt idx="48">
                  <c:v>2173.2829838351299</c:v>
                </c:pt>
                <c:pt idx="49">
                  <c:v>2172.6651231258802</c:v>
                </c:pt>
                <c:pt idx="50">
                  <c:v>2171.6977214989602</c:v>
                </c:pt>
                <c:pt idx="51">
                  <c:v>2170.8855102379798</c:v>
                </c:pt>
                <c:pt idx="52">
                  <c:v>2170.22993972019</c:v>
                </c:pt>
                <c:pt idx="53">
                  <c:v>2169.6425369332301</c:v>
                </c:pt>
                <c:pt idx="54">
                  <c:v>2169.1233018770999</c:v>
                </c:pt>
                <c:pt idx="55">
                  <c:v>2168.4474260777902</c:v>
                </c:pt>
                <c:pt idx="56">
                  <c:v>2167.6163599125298</c:v>
                </c:pt>
                <c:pt idx="57">
                  <c:v>2166.7287290344598</c:v>
                </c:pt>
                <c:pt idx="58">
                  <c:v>2165.7845334435701</c:v>
                </c:pt>
                <c:pt idx="59">
                  <c:v>2164.69965125926</c:v>
                </c:pt>
                <c:pt idx="60">
                  <c:v>2163.4755328587798</c:v>
                </c:pt>
                <c:pt idx="61">
                  <c:v>2162.2427121947899</c:v>
                </c:pt>
                <c:pt idx="62">
                  <c:v>2160.9982885127802</c:v>
                </c:pt>
                <c:pt idx="63">
                  <c:v>2159.9612687777799</c:v>
                </c:pt>
                <c:pt idx="64">
                  <c:v>2159.1316529897799</c:v>
                </c:pt>
                <c:pt idx="65">
                  <c:v>2158.4354719089301</c:v>
                </c:pt>
                <c:pt idx="66">
                  <c:v>2157.8741759125101</c:v>
                </c:pt>
                <c:pt idx="67">
                  <c:v>2157.2258572809701</c:v>
                </c:pt>
                <c:pt idx="68">
                  <c:v>2156.4876152598299</c:v>
                </c:pt>
                <c:pt idx="69">
                  <c:v>2155.6696024898401</c:v>
                </c:pt>
                <c:pt idx="70">
                  <c:v>2154.7703685937499</c:v>
                </c:pt>
                <c:pt idx="71">
                  <c:v>2153.9509054465102</c:v>
                </c:pt>
                <c:pt idx="72">
                  <c:v>2153.2097626708701</c:v>
                </c:pt>
                <c:pt idx="73">
                  <c:v>2152.6165583748998</c:v>
                </c:pt>
                <c:pt idx="74">
                  <c:v>2152.1741933131202</c:v>
                </c:pt>
                <c:pt idx="75">
                  <c:v>2151.8710644675002</c:v>
                </c:pt>
                <c:pt idx="76">
                  <c:v>2151.7071718380498</c:v>
                </c:pt>
                <c:pt idx="77">
                  <c:v>2150.9892350984401</c:v>
                </c:pt>
                <c:pt idx="78">
                  <c:v>2149.7114527396402</c:v>
                </c:pt>
                <c:pt idx="79">
                  <c:v>2150.2756494905698</c:v>
                </c:pt>
                <c:pt idx="80">
                  <c:v>2152.64701629719</c:v>
                </c:pt>
                <c:pt idx="81">
                  <c:v>2153.05022117318</c:v>
                </c:pt>
                <c:pt idx="82">
                  <c:v>2151.5070197773098</c:v>
                </c:pt>
                <c:pt idx="83">
                  <c:v>2150.62809116275</c:v>
                </c:pt>
                <c:pt idx="84">
                  <c:v>2150.4235879702501</c:v>
                </c:pt>
                <c:pt idx="85">
                  <c:v>2150.6861062528201</c:v>
                </c:pt>
                <c:pt idx="86">
                  <c:v>2151.4054933696898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84-46F9-80A6-999A1EC3B17D}"/>
            </c:ext>
          </c:extLst>
        </c:ser>
        <c:ser>
          <c:idx val="2"/>
          <c:order val="2"/>
          <c:tx>
            <c:v>LateLife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'FL6 data'!$O$6:$O$568</c:f>
              <c:numCache>
                <c:formatCode>General</c:formatCode>
                <c:ptCount val="563"/>
                <c:pt idx="0">
                  <c:v>48.543058277668891</c:v>
                </c:pt>
                <c:pt idx="1">
                  <c:v>145.62917483300683</c:v>
                </c:pt>
                <c:pt idx="2">
                  <c:v>222.08611655533775</c:v>
                </c:pt>
                <c:pt idx="3">
                  <c:v>270.93500000000017</c:v>
                </c:pt>
                <c:pt idx="4">
                  <c:v>312.80499999999995</c:v>
                </c:pt>
                <c:pt idx="5">
                  <c:v>375.49</c:v>
                </c:pt>
                <c:pt idx="6">
                  <c:v>500.48999999999984</c:v>
                </c:pt>
                <c:pt idx="7">
                  <c:v>646.23999999999796</c:v>
                </c:pt>
                <c:pt idx="8">
                  <c:v>771.24000000000103</c:v>
                </c:pt>
                <c:pt idx="9">
                  <c:v>896.23999999999876</c:v>
                </c:pt>
                <c:pt idx="10">
                  <c:v>1021.2400000000017</c:v>
                </c:pt>
                <c:pt idx="11">
                  <c:v>1146.2399999999996</c:v>
                </c:pt>
                <c:pt idx="12">
                  <c:v>1271.2400000000025</c:v>
                </c:pt>
                <c:pt idx="13">
                  <c:v>1396.2400000000002</c:v>
                </c:pt>
                <c:pt idx="14">
                  <c:v>1521.2399999999982</c:v>
                </c:pt>
                <c:pt idx="15">
                  <c:v>1632.9899999999993</c:v>
                </c:pt>
                <c:pt idx="16">
                  <c:v>1731.4899999999993</c:v>
                </c:pt>
                <c:pt idx="17">
                  <c:v>1817.9974999999981</c:v>
                </c:pt>
                <c:pt idx="18">
                  <c:v>1892.5125000000014</c:v>
                </c:pt>
                <c:pt idx="19">
                  <c:v>1967.030000000002</c:v>
                </c:pt>
                <c:pt idx="20">
                  <c:v>2041.5500000000002</c:v>
                </c:pt>
                <c:pt idx="21">
                  <c:v>2116.0699999999983</c:v>
                </c:pt>
                <c:pt idx="22">
                  <c:v>2190.5900000000015</c:v>
                </c:pt>
                <c:pt idx="23">
                  <c:v>2265.12</c:v>
                </c:pt>
                <c:pt idx="24">
                  <c:v>2339.6599999999989</c:v>
                </c:pt>
                <c:pt idx="25">
                  <c:v>2414.1850000000022</c:v>
                </c:pt>
                <c:pt idx="26">
                  <c:v>2488.6950000000002</c:v>
                </c:pt>
                <c:pt idx="27">
                  <c:v>2563.2100000000032</c:v>
                </c:pt>
                <c:pt idx="28">
                  <c:v>2637.7300000000014</c:v>
                </c:pt>
                <c:pt idx="29">
                  <c:v>2712.2425000000017</c:v>
                </c:pt>
                <c:pt idx="30">
                  <c:v>2786.747499999999</c:v>
                </c:pt>
                <c:pt idx="31">
                  <c:v>2861.2525000000019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3160.5099999999979</c:v>
                </c:pt>
                <c:pt idx="35">
                  <c:v>3285.5100000000011</c:v>
                </c:pt>
                <c:pt idx="36">
                  <c:v>3410.5099999999989</c:v>
                </c:pt>
                <c:pt idx="37">
                  <c:v>3535.5100000000016</c:v>
                </c:pt>
                <c:pt idx="38">
                  <c:v>3660.5099999999993</c:v>
                </c:pt>
                <c:pt idx="39">
                  <c:v>3785.509999999997</c:v>
                </c:pt>
                <c:pt idx="40">
                  <c:v>3910.51</c:v>
                </c:pt>
                <c:pt idx="41">
                  <c:v>4010.2599999999979</c:v>
                </c:pt>
                <c:pt idx="42">
                  <c:v>4084.7600000000007</c:v>
                </c:pt>
                <c:pt idx="43">
                  <c:v>4184.5099999999984</c:v>
                </c:pt>
                <c:pt idx="44">
                  <c:v>4309.5099999999957</c:v>
                </c:pt>
                <c:pt idx="45">
                  <c:v>4409.2699999999995</c:v>
                </c:pt>
                <c:pt idx="46">
                  <c:v>4483.7899999999972</c:v>
                </c:pt>
                <c:pt idx="47">
                  <c:v>4570.2999999999993</c:v>
                </c:pt>
                <c:pt idx="48">
                  <c:v>4668.7999999999993</c:v>
                </c:pt>
                <c:pt idx="49">
                  <c:v>4755.3199999999952</c:v>
                </c:pt>
                <c:pt idx="50">
                  <c:v>4829.8599999999997</c:v>
                </c:pt>
                <c:pt idx="51">
                  <c:v>4904.3875000000007</c:v>
                </c:pt>
                <c:pt idx="52">
                  <c:v>4978.9024999999983</c:v>
                </c:pt>
                <c:pt idx="53">
                  <c:v>5053.4149999999991</c:v>
                </c:pt>
                <c:pt idx="54">
                  <c:v>5127.9249999999965</c:v>
                </c:pt>
                <c:pt idx="55">
                  <c:v>5202.4424999999974</c:v>
                </c:pt>
                <c:pt idx="56">
                  <c:v>5276.9675000000007</c:v>
                </c:pt>
                <c:pt idx="57">
                  <c:v>5351.4975000000095</c:v>
                </c:pt>
                <c:pt idx="58">
                  <c:v>5426.0325000000239</c:v>
                </c:pt>
                <c:pt idx="59">
                  <c:v>5500.5800000000254</c:v>
                </c:pt>
                <c:pt idx="60">
                  <c:v>5575.140000000014</c:v>
                </c:pt>
                <c:pt idx="61">
                  <c:v>5649.7025000000122</c:v>
                </c:pt>
                <c:pt idx="62">
                  <c:v>5724.2675000000163</c:v>
                </c:pt>
                <c:pt idx="63">
                  <c:v>5798.81250000001</c:v>
                </c:pt>
                <c:pt idx="64">
                  <c:v>5873.3374999999915</c:v>
                </c:pt>
                <c:pt idx="65">
                  <c:v>5947.8550000000032</c:v>
                </c:pt>
                <c:pt idx="66">
                  <c:v>6022.3649999999907</c:v>
                </c:pt>
                <c:pt idx="67">
                  <c:v>6096.8799999999937</c:v>
                </c:pt>
                <c:pt idx="68">
                  <c:v>6171.4000000000124</c:v>
                </c:pt>
                <c:pt idx="69">
                  <c:v>6245.9249999999947</c:v>
                </c:pt>
                <c:pt idx="70">
                  <c:v>6320.4549999999936</c:v>
                </c:pt>
                <c:pt idx="71">
                  <c:v>6394.9799999999759</c:v>
                </c:pt>
                <c:pt idx="72">
                  <c:v>6469.4999999999955</c:v>
                </c:pt>
                <c:pt idx="73">
                  <c:v>6544.0124999999898</c:v>
                </c:pt>
                <c:pt idx="74">
                  <c:v>6618.5175000000145</c:v>
                </c:pt>
                <c:pt idx="75">
                  <c:v>6718.2699999999941</c:v>
                </c:pt>
                <c:pt idx="76">
                  <c:v>6843.2699999999804</c:v>
                </c:pt>
                <c:pt idx="77">
                  <c:v>6943.0550000000112</c:v>
                </c:pt>
                <c:pt idx="78">
                  <c:v>7017.6249999999791</c:v>
                </c:pt>
                <c:pt idx="79">
                  <c:v>7117.4100000000089</c:v>
                </c:pt>
                <c:pt idx="80">
                  <c:v>7242.4099999999962</c:v>
                </c:pt>
                <c:pt idx="81">
                  <c:v>7342.2100000000228</c:v>
                </c:pt>
                <c:pt idx="82">
                  <c:v>7416.8099999999804</c:v>
                </c:pt>
                <c:pt idx="83">
                  <c:v>7503.3600000000051</c:v>
                </c:pt>
                <c:pt idx="84">
                  <c:v>7601.8599999999878</c:v>
                </c:pt>
                <c:pt idx="85">
                  <c:v>7713.6099999999742</c:v>
                </c:pt>
                <c:pt idx="86">
                  <c:v>7838.6100000000142</c:v>
                </c:pt>
              </c:numCache>
            </c:numRef>
          </c:xVal>
          <c:yVal>
            <c:numRef>
              <c:f>'FL6 data'!$Q$6:$Q$568</c:f>
              <c:numCache>
                <c:formatCode>General</c:formatCode>
                <c:ptCount val="563"/>
                <c:pt idx="0">
                  <c:v>2285.29997011976</c:v>
                </c:pt>
                <c:pt idx="1">
                  <c:v>2287.1230943252199</c:v>
                </c:pt>
                <c:pt idx="2">
                  <c:v>2288.5589678044498</c:v>
                </c:pt>
                <c:pt idx="3">
                  <c:v>2289.1246149326398</c:v>
                </c:pt>
                <c:pt idx="4">
                  <c:v>2289.2203398312499</c:v>
                </c:pt>
                <c:pt idx="5">
                  <c:v>2289.7381245101301</c:v>
                </c:pt>
                <c:pt idx="6">
                  <c:v>2291.13483780357</c:v>
                </c:pt>
                <c:pt idx="7">
                  <c:v>2292.3734599765598</c:v>
                </c:pt>
                <c:pt idx="8">
                  <c:v>2292.9971221948199</c:v>
                </c:pt>
                <c:pt idx="9">
                  <c:v>2294.2400954995701</c:v>
                </c:pt>
                <c:pt idx="10">
                  <c:v>2296.0878761182998</c:v>
                </c:pt>
                <c:pt idx="11">
                  <c:v>2298.76527252504</c:v>
                </c:pt>
                <c:pt idx="12">
                  <c:v>2302.2534298155001</c:v>
                </c:pt>
                <c:pt idx="13">
                  <c:v>2305.4442597693601</c:v>
                </c:pt>
                <c:pt idx="14">
                  <c:v>2308.3392127638599</c:v>
                </c:pt>
                <c:pt idx="15">
                  <c:v>2309.7417275663001</c:v>
                </c:pt>
                <c:pt idx="16">
                  <c:v>2309.6764605899698</c:v>
                </c:pt>
                <c:pt idx="17">
                  <c:v>2309.3196677860401</c:v>
                </c:pt>
                <c:pt idx="18">
                  <c:v>2308.6742499090101</c:v>
                </c:pt>
                <c:pt idx="19">
                  <c:v>2307.9751680736699</c:v>
                </c:pt>
                <c:pt idx="20">
                  <c:v>2307.2224222800101</c:v>
                </c:pt>
                <c:pt idx="21">
                  <c:v>2306.47692837261</c:v>
                </c:pt>
                <c:pt idx="22">
                  <c:v>2305.7401367287198</c:v>
                </c:pt>
                <c:pt idx="23">
                  <c:v>2304.8380020781301</c:v>
                </c:pt>
                <c:pt idx="24">
                  <c:v>2303.7690740435801</c:v>
                </c:pt>
                <c:pt idx="25">
                  <c:v>2302.9902214593899</c:v>
                </c:pt>
                <c:pt idx="26">
                  <c:v>2302.4999939483</c:v>
                </c:pt>
                <c:pt idx="27">
                  <c:v>2301.89373625707</c:v>
                </c:pt>
                <c:pt idx="28">
                  <c:v>2301.1714483856999</c:v>
                </c:pt>
                <c:pt idx="29">
                  <c:v>2300.6493125750599</c:v>
                </c:pt>
                <c:pt idx="30">
                  <c:v>2300.3316799569302</c:v>
                </c:pt>
                <c:pt idx="31">
                  <c:v>2299.9676352667402</c:v>
                </c:pt>
                <c:pt idx="32">
                  <c:v>2299.5600792589998</c:v>
                </c:pt>
                <c:pt idx="33">
                  <c:v>2299.2816068266602</c:v>
                </c:pt>
                <c:pt idx="34">
                  <c:v>2299.1380194787398</c:v>
                </c:pt>
                <c:pt idx="35">
                  <c:v>2299.2148894730799</c:v>
                </c:pt>
                <c:pt idx="36">
                  <c:v>2299.49481228267</c:v>
                </c:pt>
                <c:pt idx="37">
                  <c:v>2299.9255743264398</c:v>
                </c:pt>
                <c:pt idx="38">
                  <c:v>2300.50282447264</c:v>
                </c:pt>
                <c:pt idx="39">
                  <c:v>2301.57320288443</c:v>
                </c:pt>
                <c:pt idx="40">
                  <c:v>2303.1236561665501</c:v>
                </c:pt>
                <c:pt idx="41">
                  <c:v>2303.77052442084</c:v>
                </c:pt>
                <c:pt idx="42">
                  <c:v>2303.5225099107902</c:v>
                </c:pt>
                <c:pt idx="43">
                  <c:v>2303.8372417744199</c:v>
                </c:pt>
                <c:pt idx="44">
                  <c:v>2304.6871628439399</c:v>
                </c:pt>
                <c:pt idx="45">
                  <c:v>2304.7306741614998</c:v>
                </c:pt>
                <c:pt idx="46">
                  <c:v>2303.9692261043301</c:v>
                </c:pt>
                <c:pt idx="47">
                  <c:v>2303.4804489704902</c:v>
                </c:pt>
                <c:pt idx="48">
                  <c:v>2303.26579313723</c:v>
                </c:pt>
                <c:pt idx="49">
                  <c:v>2302.6363294099701</c:v>
                </c:pt>
                <c:pt idx="50">
                  <c:v>2301.59060741145</c:v>
                </c:pt>
                <c:pt idx="51">
                  <c:v>2300.7232818149</c:v>
                </c:pt>
                <c:pt idx="52">
                  <c:v>2300.03580299757</c:v>
                </c:pt>
                <c:pt idx="53">
                  <c:v>2299.4266445518401</c:v>
                </c:pt>
                <c:pt idx="54">
                  <c:v>2298.8972568549498</c:v>
                </c:pt>
                <c:pt idx="55">
                  <c:v>2298.1880223788398</c:v>
                </c:pt>
                <c:pt idx="56">
                  <c:v>2297.2974907462599</c:v>
                </c:pt>
                <c:pt idx="57">
                  <c:v>2296.34459289186</c:v>
                </c:pt>
                <c:pt idx="58">
                  <c:v>2295.3249776838802</c:v>
                </c:pt>
                <c:pt idx="59">
                  <c:v>2294.1472713554599</c:v>
                </c:pt>
                <c:pt idx="60">
                  <c:v>2292.80857315209</c:v>
                </c:pt>
                <c:pt idx="61">
                  <c:v>2291.45827193071</c:v>
                </c:pt>
                <c:pt idx="62">
                  <c:v>2290.0992684458101</c:v>
                </c:pt>
                <c:pt idx="63">
                  <c:v>2288.97377569845</c:v>
                </c:pt>
                <c:pt idx="64">
                  <c:v>2288.08614482038</c:v>
                </c:pt>
                <c:pt idx="65">
                  <c:v>2287.3537043082501</c:v>
                </c:pt>
                <c:pt idx="66">
                  <c:v>2286.7750037848</c:v>
                </c:pt>
                <c:pt idx="67">
                  <c:v>2286.0947768537198</c:v>
                </c:pt>
                <c:pt idx="68">
                  <c:v>2285.3144738922801</c:v>
                </c:pt>
                <c:pt idx="69">
                  <c:v>2284.4413467867298</c:v>
                </c:pt>
                <c:pt idx="70">
                  <c:v>2283.4739451598098</c:v>
                </c:pt>
                <c:pt idx="71">
                  <c:v>2282.59791729975</c:v>
                </c:pt>
                <c:pt idx="72">
                  <c:v>2281.8132632065499</c:v>
                </c:pt>
                <c:pt idx="73">
                  <c:v>2281.1997536290601</c:v>
                </c:pt>
                <c:pt idx="74">
                  <c:v>2280.76028932178</c:v>
                </c:pt>
                <c:pt idx="75">
                  <c:v>2280.5137251889801</c:v>
                </c:pt>
                <c:pt idx="76">
                  <c:v>2280.4586108534099</c:v>
                </c:pt>
                <c:pt idx="77">
                  <c:v>2279.7334222275399</c:v>
                </c:pt>
                <c:pt idx="78">
                  <c:v>2278.3367089341</c:v>
                </c:pt>
                <c:pt idx="79">
                  <c:v>2278.9154094575501</c:v>
                </c:pt>
                <c:pt idx="80">
                  <c:v>2281.4274628575799</c:v>
                </c:pt>
                <c:pt idx="81">
                  <c:v>2281.8321181108199</c:v>
                </c:pt>
                <c:pt idx="82">
                  <c:v>2280.13227597177</c:v>
                </c:pt>
                <c:pt idx="83">
                  <c:v>2279.2141871714098</c:v>
                </c:pt>
                <c:pt idx="84">
                  <c:v>2279.08365321875</c:v>
                </c:pt>
                <c:pt idx="85">
                  <c:v>2279.4505986634399</c:v>
                </c:pt>
                <c:pt idx="86">
                  <c:v>2280.2918174694601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84-46F9-80A6-999A1EC3B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243784"/>
        <c:axId val="873245584"/>
      </c:scatterChart>
      <c:valAx>
        <c:axId val="873243784"/>
        <c:scaling>
          <c:orientation val="minMax"/>
          <c:max val="17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 from DC1 for FL5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5584"/>
        <c:crosses val="autoZero"/>
        <c:crossBetween val="midCat"/>
      </c:valAx>
      <c:valAx>
        <c:axId val="873245584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Pressure at SS (psi)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378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EarlyLife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'FL6 data'!$U$6:$U$568</c:f>
              <c:numCache>
                <c:formatCode>General</c:formatCode>
                <c:ptCount val="563"/>
                <c:pt idx="0">
                  <c:v>48.543058277668941</c:v>
                </c:pt>
                <c:pt idx="1">
                  <c:v>145.62917483300683</c:v>
                </c:pt>
                <c:pt idx="2">
                  <c:v>222.08611655533801</c:v>
                </c:pt>
                <c:pt idx="3">
                  <c:v>270.93500000000023</c:v>
                </c:pt>
                <c:pt idx="4">
                  <c:v>312.80500000000023</c:v>
                </c:pt>
                <c:pt idx="5">
                  <c:v>375.49000000000029</c:v>
                </c:pt>
                <c:pt idx="6">
                  <c:v>500.49000000000024</c:v>
                </c:pt>
                <c:pt idx="7">
                  <c:v>646.24000000000035</c:v>
                </c:pt>
                <c:pt idx="8">
                  <c:v>771.24000000000024</c:v>
                </c:pt>
                <c:pt idx="9">
                  <c:v>896.24000000000024</c:v>
                </c:pt>
                <c:pt idx="10">
                  <c:v>1021.2400000000004</c:v>
                </c:pt>
                <c:pt idx="11">
                  <c:v>1146.2400000000005</c:v>
                </c:pt>
                <c:pt idx="12">
                  <c:v>1271.2400000000005</c:v>
                </c:pt>
                <c:pt idx="13">
                  <c:v>1396.2400000000005</c:v>
                </c:pt>
                <c:pt idx="14">
                  <c:v>1521.2400000000007</c:v>
                </c:pt>
                <c:pt idx="15">
                  <c:v>1632.9900000000007</c:v>
                </c:pt>
                <c:pt idx="16">
                  <c:v>1731.4900000000007</c:v>
                </c:pt>
                <c:pt idx="17">
                  <c:v>1817.9974999999999</c:v>
                </c:pt>
                <c:pt idx="18">
                  <c:v>1892.5124999999975</c:v>
                </c:pt>
                <c:pt idx="19">
                  <c:v>1967.029999999997</c:v>
                </c:pt>
                <c:pt idx="20">
                  <c:v>2041.549999999997</c:v>
                </c:pt>
                <c:pt idx="21">
                  <c:v>2116.069999999997</c:v>
                </c:pt>
                <c:pt idx="22">
                  <c:v>2190.5899999999974</c:v>
                </c:pt>
                <c:pt idx="23">
                  <c:v>2265.1199999999972</c:v>
                </c:pt>
                <c:pt idx="24">
                  <c:v>2339.6599999999971</c:v>
                </c:pt>
                <c:pt idx="25">
                  <c:v>2414.1849999999972</c:v>
                </c:pt>
                <c:pt idx="26">
                  <c:v>2488.694999999997</c:v>
                </c:pt>
                <c:pt idx="27">
                  <c:v>2563.2099999999973</c:v>
                </c:pt>
                <c:pt idx="28">
                  <c:v>2637.7299999999973</c:v>
                </c:pt>
                <c:pt idx="29">
                  <c:v>2712.242499999998</c:v>
                </c:pt>
                <c:pt idx="30">
                  <c:v>2786.7474999999986</c:v>
                </c:pt>
                <c:pt idx="31">
                  <c:v>2861.2524999999978</c:v>
                </c:pt>
                <c:pt idx="32">
                  <c:v>2935.7574999999956</c:v>
                </c:pt>
                <c:pt idx="33">
                  <c:v>3035.5099999999939</c:v>
                </c:pt>
                <c:pt idx="34">
                  <c:v>3160.5099999999943</c:v>
                </c:pt>
                <c:pt idx="35">
                  <c:v>3285.5099999999939</c:v>
                </c:pt>
                <c:pt idx="36">
                  <c:v>3410.5099999999943</c:v>
                </c:pt>
                <c:pt idx="37">
                  <c:v>3535.5099999999939</c:v>
                </c:pt>
                <c:pt idx="38">
                  <c:v>3660.5099999999939</c:v>
                </c:pt>
                <c:pt idx="39">
                  <c:v>3785.5099999999934</c:v>
                </c:pt>
                <c:pt idx="40">
                  <c:v>3910.5099999999929</c:v>
                </c:pt>
                <c:pt idx="41">
                  <c:v>4010.2599999999925</c:v>
                </c:pt>
                <c:pt idx="42">
                  <c:v>4084.7599999999929</c:v>
                </c:pt>
                <c:pt idx="43">
                  <c:v>4184.5099999999929</c:v>
                </c:pt>
                <c:pt idx="44">
                  <c:v>4309.509999999992</c:v>
                </c:pt>
                <c:pt idx="45">
                  <c:v>4409.2699999999913</c:v>
                </c:pt>
                <c:pt idx="46">
                  <c:v>4483.7899999999927</c:v>
                </c:pt>
                <c:pt idx="47">
                  <c:v>4570.299999999992</c:v>
                </c:pt>
                <c:pt idx="48">
                  <c:v>4668.799999999992</c:v>
                </c:pt>
                <c:pt idx="49">
                  <c:v>4755.3199999999915</c:v>
                </c:pt>
                <c:pt idx="50">
                  <c:v>4829.8599999999924</c:v>
                </c:pt>
                <c:pt idx="51">
                  <c:v>4904.3874999999953</c:v>
                </c:pt>
                <c:pt idx="52">
                  <c:v>4978.9025000000011</c:v>
                </c:pt>
                <c:pt idx="53">
                  <c:v>5053.4150000000036</c:v>
                </c:pt>
                <c:pt idx="54">
                  <c:v>5127.9250000000029</c:v>
                </c:pt>
                <c:pt idx="55">
                  <c:v>5202.4425000000074</c:v>
                </c:pt>
                <c:pt idx="56">
                  <c:v>5276.967500000017</c:v>
                </c:pt>
                <c:pt idx="57">
                  <c:v>5351.4975000000195</c:v>
                </c:pt>
                <c:pt idx="58">
                  <c:v>5426.0325000000148</c:v>
                </c:pt>
                <c:pt idx="59">
                  <c:v>5500.5800000000127</c:v>
                </c:pt>
                <c:pt idx="60">
                  <c:v>5575.1400000000122</c:v>
                </c:pt>
                <c:pt idx="61">
                  <c:v>5649.7025000000085</c:v>
                </c:pt>
                <c:pt idx="62">
                  <c:v>5724.2674999999981</c:v>
                </c:pt>
                <c:pt idx="63">
                  <c:v>5798.8124999999991</c:v>
                </c:pt>
                <c:pt idx="64">
                  <c:v>5873.3375000000096</c:v>
                </c:pt>
                <c:pt idx="65">
                  <c:v>5947.8550000000141</c:v>
                </c:pt>
                <c:pt idx="66">
                  <c:v>6022.3650000000134</c:v>
                </c:pt>
                <c:pt idx="67">
                  <c:v>6096.8800000000138</c:v>
                </c:pt>
                <c:pt idx="68">
                  <c:v>6171.4000000000142</c:v>
                </c:pt>
                <c:pt idx="69">
                  <c:v>6245.9250000000147</c:v>
                </c:pt>
                <c:pt idx="70">
                  <c:v>6320.4550000000136</c:v>
                </c:pt>
                <c:pt idx="71">
                  <c:v>6394.9800000000141</c:v>
                </c:pt>
                <c:pt idx="72">
                  <c:v>6469.5000000000146</c:v>
                </c:pt>
                <c:pt idx="73">
                  <c:v>6544.0125000000135</c:v>
                </c:pt>
                <c:pt idx="74">
                  <c:v>6618.5175000000127</c:v>
                </c:pt>
                <c:pt idx="75">
                  <c:v>6718.2700000000114</c:v>
                </c:pt>
                <c:pt idx="76">
                  <c:v>6843.2700000000104</c:v>
                </c:pt>
                <c:pt idx="77">
                  <c:v>6943.0550000000103</c:v>
                </c:pt>
                <c:pt idx="78">
                  <c:v>7017.6250000000118</c:v>
                </c:pt>
                <c:pt idx="79">
                  <c:v>7117.4100000000117</c:v>
                </c:pt>
                <c:pt idx="80">
                  <c:v>7242.4100000000099</c:v>
                </c:pt>
                <c:pt idx="81">
                  <c:v>7342.21000000001</c:v>
                </c:pt>
                <c:pt idx="82">
                  <c:v>7416.8100000000104</c:v>
                </c:pt>
                <c:pt idx="83">
                  <c:v>7503.3600000000115</c:v>
                </c:pt>
                <c:pt idx="84">
                  <c:v>7601.8600000000106</c:v>
                </c:pt>
                <c:pt idx="85">
                  <c:v>7713.6100000000124</c:v>
                </c:pt>
                <c:pt idx="86">
                  <c:v>7838.6100000000106</c:v>
                </c:pt>
              </c:numCache>
            </c:numRef>
          </c:xVal>
          <c:yVal>
            <c:numRef>
              <c:f>'FL6 data'!$W$6:$W$568</c:f>
              <c:numCache>
                <c:formatCode>General</c:formatCode>
                <c:ptCount val="563"/>
                <c:pt idx="0">
                  <c:v>2146.0187922566779</c:v>
                </c:pt>
                <c:pt idx="1">
                  <c:v>2147.7853517493127</c:v>
                </c:pt>
                <c:pt idx="2">
                  <c:v>2149.1777139109959</c:v>
                </c:pt>
                <c:pt idx="3">
                  <c:v>2149.7317580211652</c:v>
                </c:pt>
                <c:pt idx="4">
                  <c:v>2149.8231317880259</c:v>
                </c:pt>
                <c:pt idx="5">
                  <c:v>2150.3220615626287</c:v>
                </c:pt>
                <c:pt idx="6">
                  <c:v>2151.676713915766</c:v>
                </c:pt>
                <c:pt idx="7">
                  <c:v>2152.8819774119725</c:v>
                </c:pt>
                <c:pt idx="8">
                  <c:v>2153.4867847259538</c:v>
                </c:pt>
                <c:pt idx="9">
                  <c:v>2154.6847963359014</c:v>
                </c:pt>
                <c:pt idx="10">
                  <c:v>2156.4760122418165</c:v>
                </c:pt>
                <c:pt idx="11">
                  <c:v>2159.0605845044402</c:v>
                </c:pt>
                <c:pt idx="12">
                  <c:v>2162.437062746521</c:v>
                </c:pt>
                <c:pt idx="13">
                  <c:v>2165.5263662927546</c:v>
                </c:pt>
                <c:pt idx="14">
                  <c:v>2168.318342502379</c:v>
                </c:pt>
                <c:pt idx="15">
                  <c:v>2169.7092542868099</c:v>
                </c:pt>
                <c:pt idx="16">
                  <c:v>2169.6599414602506</c:v>
                </c:pt>
                <c:pt idx="17">
                  <c:v>2169.385820159669</c:v>
                </c:pt>
                <c:pt idx="18">
                  <c:v>2168.888340762318</c:v>
                </c:pt>
                <c:pt idx="19">
                  <c:v>2168.3473500474142</c:v>
                </c:pt>
                <c:pt idx="20">
                  <c:v>2167.7628480149579</c:v>
                </c:pt>
                <c:pt idx="21">
                  <c:v>2167.1870482460117</c:v>
                </c:pt>
                <c:pt idx="22">
                  <c:v>2166.6170499860727</c:v>
                </c:pt>
                <c:pt idx="23">
                  <c:v>2165.917968150728</c:v>
                </c:pt>
                <c:pt idx="24">
                  <c:v>2165.0883523627253</c:v>
                </c:pt>
                <c:pt idx="25">
                  <c:v>2164.4849954259962</c:v>
                </c:pt>
                <c:pt idx="26">
                  <c:v>2164.1078973405401</c:v>
                </c:pt>
                <c:pt idx="27">
                  <c:v>2163.6394254882243</c:v>
                </c:pt>
                <c:pt idx="28">
                  <c:v>2163.0795798690474</c:v>
                </c:pt>
                <c:pt idx="29">
                  <c:v>2162.6763749930601</c:v>
                </c:pt>
                <c:pt idx="30">
                  <c:v>2162.4312612375138</c:v>
                </c:pt>
                <c:pt idx="31">
                  <c:v>2162.1513384279256</c:v>
                </c:pt>
                <c:pt idx="32">
                  <c:v>2161.8366065642954</c:v>
                </c:pt>
                <c:pt idx="33">
                  <c:v>2161.6248514855392</c:v>
                </c:pt>
                <c:pt idx="34">
                  <c:v>2161.5131724371545</c:v>
                </c:pt>
                <c:pt idx="35">
                  <c:v>2161.5943935632527</c:v>
                </c:pt>
                <c:pt idx="36">
                  <c:v>2161.867064486582</c:v>
                </c:pt>
                <c:pt idx="37">
                  <c:v>2162.2818723805835</c:v>
                </c:pt>
                <c:pt idx="38">
                  <c:v>2162.8402676225082</c:v>
                </c:pt>
                <c:pt idx="39">
                  <c:v>2163.868585094001</c:v>
                </c:pt>
                <c:pt idx="40">
                  <c:v>2165.36537441781</c:v>
                </c:pt>
                <c:pt idx="41">
                  <c:v>2166.0194945583507</c:v>
                </c:pt>
                <c:pt idx="42">
                  <c:v>2165.8280447611191</c:v>
                </c:pt>
                <c:pt idx="43">
                  <c:v>2166.141326247498</c:v>
                </c:pt>
                <c:pt idx="44">
                  <c:v>2166.9593390174864</c:v>
                </c:pt>
                <c:pt idx="45">
                  <c:v>2167.0695676886198</c:v>
                </c:pt>
                <c:pt idx="46">
                  <c:v>2166.4778137699045</c:v>
                </c:pt>
                <c:pt idx="47">
                  <c:v>2166.0949141754418</c:v>
                </c:pt>
                <c:pt idx="48">
                  <c:v>2165.9310215459936</c:v>
                </c:pt>
                <c:pt idx="49">
                  <c:v>2165.4451451666564</c:v>
                </c:pt>
                <c:pt idx="50">
                  <c:v>2164.6358346601783</c:v>
                </c:pt>
                <c:pt idx="51">
                  <c:v>2163.9657603698683</c:v>
                </c:pt>
                <c:pt idx="52">
                  <c:v>2163.4349222957271</c:v>
                </c:pt>
                <c:pt idx="53">
                  <c:v>2162.9650000661591</c:v>
                </c:pt>
                <c:pt idx="54">
                  <c:v>2162.5559936811646</c:v>
                </c:pt>
                <c:pt idx="55">
                  <c:v>2162.007751080002</c:v>
                </c:pt>
                <c:pt idx="56">
                  <c:v>2161.3188218854193</c:v>
                </c:pt>
                <c:pt idx="57">
                  <c:v>2160.5805798642773</c:v>
                </c:pt>
                <c:pt idx="58">
                  <c:v>2159.7915746393237</c:v>
                </c:pt>
                <c:pt idx="59">
                  <c:v>2158.8792873479711</c:v>
                </c:pt>
                <c:pt idx="60">
                  <c:v>2157.8422676129676</c:v>
                </c:pt>
                <c:pt idx="61">
                  <c:v>2156.7950952372021</c:v>
                </c:pt>
                <c:pt idx="62">
                  <c:v>2155.7406709751776</c:v>
                </c:pt>
                <c:pt idx="63">
                  <c:v>2154.8704446241259</c:v>
                </c:pt>
                <c:pt idx="64">
                  <c:v>2154.1844161840468</c:v>
                </c:pt>
                <c:pt idx="65">
                  <c:v>2153.6173186786114</c:v>
                </c:pt>
                <c:pt idx="66">
                  <c:v>2153.1706024850714</c:v>
                </c:pt>
                <c:pt idx="67">
                  <c:v>2152.6470162971887</c:v>
                </c:pt>
                <c:pt idx="68">
                  <c:v>2152.0436593604595</c:v>
                </c:pt>
                <c:pt idx="69">
                  <c:v>2151.3677835611425</c:v>
                </c:pt>
                <c:pt idx="70">
                  <c:v>2150.6193888992379</c:v>
                </c:pt>
                <c:pt idx="71">
                  <c:v>2149.9420627226696</c:v>
                </c:pt>
                <c:pt idx="72">
                  <c:v>2149.3358050314368</c:v>
                </c:pt>
                <c:pt idx="73">
                  <c:v>2148.8629820473652</c:v>
                </c:pt>
                <c:pt idx="74">
                  <c:v>2148.5235937704551</c:v>
                </c:pt>
                <c:pt idx="75">
                  <c:v>2148.3350447277271</c:v>
                </c:pt>
                <c:pt idx="76">
                  <c:v>2148.2973349191816</c:v>
                </c:pt>
                <c:pt idx="77">
                  <c:v>2147.7374893000051</c:v>
                </c:pt>
                <c:pt idx="78">
                  <c:v>2146.6555078701972</c:v>
                </c:pt>
                <c:pt idx="79">
                  <c:v>2147.3212310287518</c:v>
                </c:pt>
                <c:pt idx="80">
                  <c:v>2149.7346587756688</c:v>
                </c:pt>
                <c:pt idx="81">
                  <c:v>2150.2814509995796</c:v>
                </c:pt>
                <c:pt idx="82">
                  <c:v>2148.9616077004844</c:v>
                </c:pt>
                <c:pt idx="83">
                  <c:v>2148.2509228471254</c:v>
                </c:pt>
                <c:pt idx="84">
                  <c:v>2148.1479460622513</c:v>
                </c:pt>
                <c:pt idx="85">
                  <c:v>2148.5018381116788</c:v>
                </c:pt>
                <c:pt idx="86">
                  <c:v>2149.3111486181569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52-4469-A6D9-5A6C277B8F9F}"/>
            </c:ext>
          </c:extLst>
        </c:ser>
        <c:ser>
          <c:idx val="1"/>
          <c:order val="1"/>
          <c:tx>
            <c:v>MidLife</c:v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'FL6 data'!$Z$6:$Z$568</c:f>
              <c:numCache>
                <c:formatCode>General</c:formatCode>
                <c:ptCount val="563"/>
                <c:pt idx="0">
                  <c:v>48.543058277668898</c:v>
                </c:pt>
                <c:pt idx="1">
                  <c:v>145.629174833007</c:v>
                </c:pt>
                <c:pt idx="2">
                  <c:v>222.08611655533801</c:v>
                </c:pt>
                <c:pt idx="3">
                  <c:v>270.935</c:v>
                </c:pt>
                <c:pt idx="4">
                  <c:v>312.80500000000001</c:v>
                </c:pt>
                <c:pt idx="5">
                  <c:v>375.49</c:v>
                </c:pt>
                <c:pt idx="6">
                  <c:v>500.49</c:v>
                </c:pt>
                <c:pt idx="7">
                  <c:v>646.24</c:v>
                </c:pt>
                <c:pt idx="8">
                  <c:v>771.24</c:v>
                </c:pt>
                <c:pt idx="9">
                  <c:v>896.24</c:v>
                </c:pt>
                <c:pt idx="10">
                  <c:v>1021.24</c:v>
                </c:pt>
                <c:pt idx="11">
                  <c:v>1146.24</c:v>
                </c:pt>
                <c:pt idx="12">
                  <c:v>1271.24</c:v>
                </c:pt>
                <c:pt idx="13">
                  <c:v>1396.24</c:v>
                </c:pt>
                <c:pt idx="14">
                  <c:v>1521.24</c:v>
                </c:pt>
                <c:pt idx="15">
                  <c:v>1632.99</c:v>
                </c:pt>
                <c:pt idx="16">
                  <c:v>1731.49</c:v>
                </c:pt>
                <c:pt idx="17">
                  <c:v>1817.9974999999999</c:v>
                </c:pt>
                <c:pt idx="18">
                  <c:v>1892.5125</c:v>
                </c:pt>
                <c:pt idx="19">
                  <c:v>1967.03</c:v>
                </c:pt>
                <c:pt idx="20">
                  <c:v>2041.55</c:v>
                </c:pt>
                <c:pt idx="21">
                  <c:v>2116.0700000000002</c:v>
                </c:pt>
                <c:pt idx="22">
                  <c:v>2190.59</c:v>
                </c:pt>
                <c:pt idx="23">
                  <c:v>2265.12</c:v>
                </c:pt>
                <c:pt idx="24">
                  <c:v>2339.66</c:v>
                </c:pt>
                <c:pt idx="25">
                  <c:v>2414.1849999999999</c:v>
                </c:pt>
                <c:pt idx="26">
                  <c:v>2488.6950000000002</c:v>
                </c:pt>
                <c:pt idx="27">
                  <c:v>2563.21</c:v>
                </c:pt>
                <c:pt idx="28">
                  <c:v>2637.73</c:v>
                </c:pt>
                <c:pt idx="29">
                  <c:v>2712.2424999999998</c:v>
                </c:pt>
                <c:pt idx="30">
                  <c:v>2786.7474999999999</c:v>
                </c:pt>
                <c:pt idx="31">
                  <c:v>2861.2525000000001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3160.51</c:v>
                </c:pt>
                <c:pt idx="35">
                  <c:v>3285.51</c:v>
                </c:pt>
                <c:pt idx="36">
                  <c:v>3410.51</c:v>
                </c:pt>
                <c:pt idx="37">
                  <c:v>3535.51</c:v>
                </c:pt>
                <c:pt idx="38">
                  <c:v>3660.51</c:v>
                </c:pt>
                <c:pt idx="39">
                  <c:v>3785.51</c:v>
                </c:pt>
                <c:pt idx="40">
                  <c:v>3910.51</c:v>
                </c:pt>
                <c:pt idx="41">
                  <c:v>4010.26</c:v>
                </c:pt>
                <c:pt idx="42">
                  <c:v>4084.76</c:v>
                </c:pt>
                <c:pt idx="43">
                  <c:v>4184.51</c:v>
                </c:pt>
                <c:pt idx="44">
                  <c:v>4309.51</c:v>
                </c:pt>
                <c:pt idx="45">
                  <c:v>4409.2700000000004</c:v>
                </c:pt>
                <c:pt idx="46">
                  <c:v>4483.79</c:v>
                </c:pt>
                <c:pt idx="47">
                  <c:v>4570.3</c:v>
                </c:pt>
                <c:pt idx="48">
                  <c:v>4668.8</c:v>
                </c:pt>
                <c:pt idx="49">
                  <c:v>4755.32</c:v>
                </c:pt>
                <c:pt idx="50">
                  <c:v>4829.8599999999997</c:v>
                </c:pt>
                <c:pt idx="51">
                  <c:v>4904.3874999999998</c:v>
                </c:pt>
                <c:pt idx="52">
                  <c:v>4978.9025000000001</c:v>
                </c:pt>
                <c:pt idx="53">
                  <c:v>5053.415</c:v>
                </c:pt>
                <c:pt idx="54">
                  <c:v>5127.9250000000002</c:v>
                </c:pt>
                <c:pt idx="55">
                  <c:v>5202.4425000000001</c:v>
                </c:pt>
                <c:pt idx="56">
                  <c:v>5276.9674999999997</c:v>
                </c:pt>
                <c:pt idx="57">
                  <c:v>5351.4975000000004</c:v>
                </c:pt>
                <c:pt idx="58">
                  <c:v>5426.0325000000003</c:v>
                </c:pt>
                <c:pt idx="59">
                  <c:v>5500.58</c:v>
                </c:pt>
                <c:pt idx="60">
                  <c:v>5575.14</c:v>
                </c:pt>
                <c:pt idx="61">
                  <c:v>5649.7025000000003</c:v>
                </c:pt>
                <c:pt idx="62">
                  <c:v>5724.2674999999999</c:v>
                </c:pt>
                <c:pt idx="63">
                  <c:v>5798.8125</c:v>
                </c:pt>
                <c:pt idx="64">
                  <c:v>5873.3374999999996</c:v>
                </c:pt>
                <c:pt idx="65">
                  <c:v>5947.8549999999996</c:v>
                </c:pt>
                <c:pt idx="66">
                  <c:v>6022.3649999999998</c:v>
                </c:pt>
                <c:pt idx="67">
                  <c:v>6096.88</c:v>
                </c:pt>
                <c:pt idx="68">
                  <c:v>6171.4</c:v>
                </c:pt>
                <c:pt idx="69">
                  <c:v>6245.9250000000002</c:v>
                </c:pt>
                <c:pt idx="70">
                  <c:v>6320.4549999999999</c:v>
                </c:pt>
                <c:pt idx="71">
                  <c:v>6394.98</c:v>
                </c:pt>
                <c:pt idx="72">
                  <c:v>6469.5</c:v>
                </c:pt>
                <c:pt idx="73">
                  <c:v>6544.0124999999998</c:v>
                </c:pt>
                <c:pt idx="74">
                  <c:v>6618.5174999999999</c:v>
                </c:pt>
                <c:pt idx="75">
                  <c:v>6718.27</c:v>
                </c:pt>
                <c:pt idx="76">
                  <c:v>6843.27</c:v>
                </c:pt>
                <c:pt idx="77">
                  <c:v>6943.0550000000003</c:v>
                </c:pt>
                <c:pt idx="78">
                  <c:v>7017.625</c:v>
                </c:pt>
                <c:pt idx="79">
                  <c:v>7117.41</c:v>
                </c:pt>
                <c:pt idx="80">
                  <c:v>7242.41</c:v>
                </c:pt>
                <c:pt idx="81">
                  <c:v>7342.21</c:v>
                </c:pt>
                <c:pt idx="82">
                  <c:v>7416.81</c:v>
                </c:pt>
                <c:pt idx="83">
                  <c:v>7503.36</c:v>
                </c:pt>
                <c:pt idx="84">
                  <c:v>7601.86</c:v>
                </c:pt>
                <c:pt idx="85">
                  <c:v>7713.61</c:v>
                </c:pt>
                <c:pt idx="86">
                  <c:v>7838.61</c:v>
                </c:pt>
              </c:numCache>
            </c:numRef>
          </c:xVal>
          <c:yVal>
            <c:numRef>
              <c:f>'FL6 data'!$AB$6:$AB$568</c:f>
              <c:numCache>
                <c:formatCode>General</c:formatCode>
                <c:ptCount val="563"/>
                <c:pt idx="0">
                  <c:v>2071.7000114996099</c:v>
                </c:pt>
                <c:pt idx="1">
                  <c:v>2073.5042808007902</c:v>
                </c:pt>
                <c:pt idx="2">
                  <c:v>2074.92710088476</c:v>
                </c:pt>
                <c:pt idx="3">
                  <c:v>2075.49274801294</c:v>
                </c:pt>
                <c:pt idx="4">
                  <c:v>2075.5870225343001</c:v>
                </c:pt>
                <c:pt idx="5">
                  <c:v>2076.1019064586799</c:v>
                </c:pt>
                <c:pt idx="6">
                  <c:v>2077.4855663568501</c:v>
                </c:pt>
                <c:pt idx="7">
                  <c:v>2078.7169366435901</c:v>
                </c:pt>
                <c:pt idx="8">
                  <c:v>2079.3362477300898</c:v>
                </c:pt>
                <c:pt idx="9">
                  <c:v>2080.5603661305599</c:v>
                </c:pt>
                <c:pt idx="10">
                  <c:v>2082.3907422222801</c:v>
                </c:pt>
                <c:pt idx="11">
                  <c:v>2085.0318791977202</c:v>
                </c:pt>
                <c:pt idx="12">
                  <c:v>2088.4837770568902</c:v>
                </c:pt>
                <c:pt idx="13">
                  <c:v>2091.6368972022001</c:v>
                </c:pt>
                <c:pt idx="14">
                  <c:v>2095.0858943068702</c:v>
                </c:pt>
                <c:pt idx="15">
                  <c:v>2096.9525298298799</c:v>
                </c:pt>
                <c:pt idx="16">
                  <c:v>2096.8858124763001</c:v>
                </c:pt>
                <c:pt idx="17">
                  <c:v>2096.5130655225998</c:v>
                </c:pt>
                <c:pt idx="18">
                  <c:v>2095.8342889687701</c:v>
                </c:pt>
                <c:pt idx="19">
                  <c:v>2095.1497109059501</c:v>
                </c:pt>
                <c:pt idx="20">
                  <c:v>2094.5420028374601</c:v>
                </c:pt>
                <c:pt idx="21">
                  <c:v>2093.9531496732502</c:v>
                </c:pt>
                <c:pt idx="22">
                  <c:v>2093.3700980180502</c:v>
                </c:pt>
                <c:pt idx="23">
                  <c:v>2092.6550620329299</c:v>
                </c:pt>
                <c:pt idx="24">
                  <c:v>2091.8080417179099</c:v>
                </c:pt>
                <c:pt idx="25">
                  <c:v>2091.1916313859101</c:v>
                </c:pt>
                <c:pt idx="26">
                  <c:v>2090.8058310369502</c:v>
                </c:pt>
                <c:pt idx="27">
                  <c:v>2090.3257561666201</c:v>
                </c:pt>
                <c:pt idx="28">
                  <c:v>2089.7543075294302</c:v>
                </c:pt>
                <c:pt idx="29">
                  <c:v>2089.3424003899299</c:v>
                </c:pt>
                <c:pt idx="30">
                  <c:v>2089.0914851253801</c:v>
                </c:pt>
                <c:pt idx="31">
                  <c:v>2088.8057608067802</c:v>
                </c:pt>
                <c:pt idx="32">
                  <c:v>2088.4837770568902</c:v>
                </c:pt>
                <c:pt idx="33">
                  <c:v>2088.2647700918801</c:v>
                </c:pt>
                <c:pt idx="34">
                  <c:v>2088.1516406662399</c:v>
                </c:pt>
                <c:pt idx="35">
                  <c:v>2088.2343121695899</c:v>
                </c:pt>
                <c:pt idx="36">
                  <c:v>2088.51278460193</c:v>
                </c:pt>
                <c:pt idx="37">
                  <c:v>2088.9391955139399</c:v>
                </c:pt>
                <c:pt idx="38">
                  <c:v>2089.5106441511298</c:v>
                </c:pt>
                <c:pt idx="39">
                  <c:v>2090.5766714311699</c:v>
                </c:pt>
                <c:pt idx="40">
                  <c:v>2092.0734607549798</c:v>
                </c:pt>
                <c:pt idx="41">
                  <c:v>2092.7029244822402</c:v>
                </c:pt>
                <c:pt idx="42">
                  <c:v>2092.4984212897398</c:v>
                </c:pt>
                <c:pt idx="43">
                  <c:v>2092.8349088121499</c:v>
                </c:pt>
                <c:pt idx="44">
                  <c:v>2093.8298676068498</c:v>
                </c:pt>
                <c:pt idx="45">
                  <c:v>2093.9879587272899</c:v>
                </c:pt>
                <c:pt idx="46">
                  <c:v>2093.1859001070702</c:v>
                </c:pt>
                <c:pt idx="47">
                  <c:v>2092.6739169372099</c:v>
                </c:pt>
                <c:pt idx="48">
                  <c:v>2092.4520092176899</c:v>
                </c:pt>
                <c:pt idx="49">
                  <c:v>2091.7891868136398</c:v>
                </c:pt>
                <c:pt idx="50">
                  <c:v>2090.6883504795601</c:v>
                </c:pt>
                <c:pt idx="51">
                  <c:v>2089.86308582331</c:v>
                </c:pt>
                <c:pt idx="52">
                  <c:v>2089.3162935994001</c:v>
                </c:pt>
                <c:pt idx="53">
                  <c:v>2088.83476835182</c:v>
                </c:pt>
                <c:pt idx="54">
                  <c:v>2088.4170597033099</c:v>
                </c:pt>
                <c:pt idx="55">
                  <c:v>2087.8557637068802</c:v>
                </c:pt>
                <c:pt idx="56">
                  <c:v>2087.1508803625302</c:v>
                </c:pt>
                <c:pt idx="57">
                  <c:v>2086.3966841916199</c:v>
                </c:pt>
                <c:pt idx="58">
                  <c:v>2085.5888240623899</c:v>
                </c:pt>
                <c:pt idx="59">
                  <c:v>2084.65478111226</c:v>
                </c:pt>
                <c:pt idx="60">
                  <c:v>2083.5931049639798</c:v>
                </c:pt>
                <c:pt idx="61">
                  <c:v>2082.5241769294398</c:v>
                </c:pt>
                <c:pt idx="62">
                  <c:v>2081.44509625413</c:v>
                </c:pt>
                <c:pt idx="63">
                  <c:v>2080.5545646215601</c:v>
                </c:pt>
                <c:pt idx="64">
                  <c:v>2079.85113165446</c:v>
                </c:pt>
                <c:pt idx="65">
                  <c:v>2079.2724311310099</c:v>
                </c:pt>
                <c:pt idx="66">
                  <c:v>2078.8155622967101</c:v>
                </c:pt>
                <c:pt idx="67">
                  <c:v>2078.27892271356</c:v>
                </c:pt>
                <c:pt idx="68">
                  <c:v>2077.6610620043102</c:v>
                </c:pt>
                <c:pt idx="69">
                  <c:v>2076.9706824324799</c:v>
                </c:pt>
                <c:pt idx="70">
                  <c:v>2076.2048832435498</c:v>
                </c:pt>
                <c:pt idx="71">
                  <c:v>2075.51160291721</c:v>
                </c:pt>
                <c:pt idx="72">
                  <c:v>2074.8908414534599</c:v>
                </c:pt>
                <c:pt idx="73">
                  <c:v>2074.4064154513799</c:v>
                </c:pt>
                <c:pt idx="74">
                  <c:v>2074.0597752882099</c:v>
                </c:pt>
                <c:pt idx="75">
                  <c:v>2073.8639743592198</c:v>
                </c:pt>
                <c:pt idx="76">
                  <c:v>2073.8248141734198</c:v>
                </c:pt>
                <c:pt idx="77">
                  <c:v>2073.25191515898</c:v>
                </c:pt>
                <c:pt idx="78">
                  <c:v>2072.1452773158899</c:v>
                </c:pt>
                <c:pt idx="79">
                  <c:v>2072.82695462422</c:v>
                </c:pt>
                <c:pt idx="80">
                  <c:v>2075.3027485929601</c:v>
                </c:pt>
                <c:pt idx="81">
                  <c:v>2075.6667932831501</c:v>
                </c:pt>
                <c:pt idx="82">
                  <c:v>2074.1656528275898</c:v>
                </c:pt>
                <c:pt idx="83">
                  <c:v>2073.4230596746902</c:v>
                </c:pt>
                <c:pt idx="84">
                  <c:v>2073.3171821353098</c:v>
                </c:pt>
                <c:pt idx="85">
                  <c:v>2073.6797764482499</c:v>
                </c:pt>
                <c:pt idx="86">
                  <c:v>2074.5093922362498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52-4469-A6D9-5A6C277B8F9F}"/>
            </c:ext>
          </c:extLst>
        </c:ser>
        <c:ser>
          <c:idx val="2"/>
          <c:order val="2"/>
          <c:tx>
            <c:v>LateLife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'FL6 data'!$AE$6:$AE$568</c:f>
              <c:numCache>
                <c:formatCode>General</c:formatCode>
                <c:ptCount val="563"/>
                <c:pt idx="0">
                  <c:v>48.543058277668898</c:v>
                </c:pt>
                <c:pt idx="1">
                  <c:v>145.629174833007</c:v>
                </c:pt>
                <c:pt idx="2">
                  <c:v>222.08611655533801</c:v>
                </c:pt>
                <c:pt idx="3">
                  <c:v>270.935</c:v>
                </c:pt>
                <c:pt idx="4">
                  <c:v>312.80500000000001</c:v>
                </c:pt>
                <c:pt idx="5">
                  <c:v>375.49</c:v>
                </c:pt>
                <c:pt idx="6">
                  <c:v>500.49</c:v>
                </c:pt>
                <c:pt idx="7">
                  <c:v>646.24</c:v>
                </c:pt>
                <c:pt idx="8">
                  <c:v>771.24</c:v>
                </c:pt>
                <c:pt idx="9">
                  <c:v>896.24</c:v>
                </c:pt>
                <c:pt idx="10">
                  <c:v>1021.24</c:v>
                </c:pt>
                <c:pt idx="11">
                  <c:v>1146.24</c:v>
                </c:pt>
                <c:pt idx="12">
                  <c:v>1271.24</c:v>
                </c:pt>
                <c:pt idx="13">
                  <c:v>1396.24</c:v>
                </c:pt>
                <c:pt idx="14">
                  <c:v>1521.24</c:v>
                </c:pt>
                <c:pt idx="15">
                  <c:v>1632.99</c:v>
                </c:pt>
                <c:pt idx="16">
                  <c:v>1731.49</c:v>
                </c:pt>
                <c:pt idx="17">
                  <c:v>1817.9974999999999</c:v>
                </c:pt>
                <c:pt idx="18">
                  <c:v>1892.5125</c:v>
                </c:pt>
                <c:pt idx="19">
                  <c:v>1967.03</c:v>
                </c:pt>
                <c:pt idx="20">
                  <c:v>2041.55</c:v>
                </c:pt>
                <c:pt idx="21">
                  <c:v>2116.0700000000002</c:v>
                </c:pt>
                <c:pt idx="22">
                  <c:v>2190.59</c:v>
                </c:pt>
                <c:pt idx="23">
                  <c:v>2265.12</c:v>
                </c:pt>
                <c:pt idx="24">
                  <c:v>2339.66</c:v>
                </c:pt>
                <c:pt idx="25">
                  <c:v>2414.1849999999999</c:v>
                </c:pt>
                <c:pt idx="26">
                  <c:v>2488.6950000000002</c:v>
                </c:pt>
                <c:pt idx="27">
                  <c:v>2563.21</c:v>
                </c:pt>
                <c:pt idx="28">
                  <c:v>2637.73</c:v>
                </c:pt>
                <c:pt idx="29">
                  <c:v>2712.2424999999998</c:v>
                </c:pt>
                <c:pt idx="30">
                  <c:v>2786.7474999999999</c:v>
                </c:pt>
                <c:pt idx="31">
                  <c:v>2861.2525000000001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3160.51</c:v>
                </c:pt>
                <c:pt idx="35">
                  <c:v>3285.51</c:v>
                </c:pt>
                <c:pt idx="36">
                  <c:v>3410.51</c:v>
                </c:pt>
                <c:pt idx="37">
                  <c:v>3535.51</c:v>
                </c:pt>
                <c:pt idx="38">
                  <c:v>3660.51</c:v>
                </c:pt>
                <c:pt idx="39">
                  <c:v>3785.51</c:v>
                </c:pt>
                <c:pt idx="40">
                  <c:v>3910.51</c:v>
                </c:pt>
                <c:pt idx="41">
                  <c:v>4010.26</c:v>
                </c:pt>
                <c:pt idx="42">
                  <c:v>4084.76</c:v>
                </c:pt>
                <c:pt idx="43">
                  <c:v>4184.51</c:v>
                </c:pt>
                <c:pt idx="44">
                  <c:v>4309.51</c:v>
                </c:pt>
                <c:pt idx="45">
                  <c:v>4409.2700000000004</c:v>
                </c:pt>
                <c:pt idx="46">
                  <c:v>4483.79</c:v>
                </c:pt>
                <c:pt idx="47">
                  <c:v>4570.3</c:v>
                </c:pt>
                <c:pt idx="48">
                  <c:v>4668.8</c:v>
                </c:pt>
                <c:pt idx="49">
                  <c:v>4755.32</c:v>
                </c:pt>
                <c:pt idx="50">
                  <c:v>4829.8599999999997</c:v>
                </c:pt>
                <c:pt idx="51">
                  <c:v>4904.3874999999998</c:v>
                </c:pt>
                <c:pt idx="52">
                  <c:v>4978.9025000000001</c:v>
                </c:pt>
                <c:pt idx="53">
                  <c:v>5053.415</c:v>
                </c:pt>
                <c:pt idx="54">
                  <c:v>5127.9250000000002</c:v>
                </c:pt>
                <c:pt idx="55">
                  <c:v>5202.4425000000001</c:v>
                </c:pt>
                <c:pt idx="56">
                  <c:v>5276.9674999999997</c:v>
                </c:pt>
                <c:pt idx="57">
                  <c:v>5351.4975000000004</c:v>
                </c:pt>
                <c:pt idx="58">
                  <c:v>5426.0325000000003</c:v>
                </c:pt>
                <c:pt idx="59">
                  <c:v>5500.58</c:v>
                </c:pt>
                <c:pt idx="60">
                  <c:v>5575.14</c:v>
                </c:pt>
                <c:pt idx="61">
                  <c:v>5649.7025000000003</c:v>
                </c:pt>
                <c:pt idx="62">
                  <c:v>5724.2674999999999</c:v>
                </c:pt>
                <c:pt idx="63">
                  <c:v>5798.8125</c:v>
                </c:pt>
                <c:pt idx="64">
                  <c:v>5873.3374999999996</c:v>
                </c:pt>
                <c:pt idx="65">
                  <c:v>5947.8549999999996</c:v>
                </c:pt>
                <c:pt idx="66">
                  <c:v>6022.3649999999998</c:v>
                </c:pt>
                <c:pt idx="67">
                  <c:v>6096.88</c:v>
                </c:pt>
                <c:pt idx="68">
                  <c:v>6171.4</c:v>
                </c:pt>
                <c:pt idx="69">
                  <c:v>6245.9250000000002</c:v>
                </c:pt>
                <c:pt idx="70">
                  <c:v>6320.4549999999999</c:v>
                </c:pt>
                <c:pt idx="71">
                  <c:v>6394.98</c:v>
                </c:pt>
                <c:pt idx="72">
                  <c:v>6469.5</c:v>
                </c:pt>
                <c:pt idx="73">
                  <c:v>6544.0124999999998</c:v>
                </c:pt>
                <c:pt idx="74">
                  <c:v>6618.5174999999999</c:v>
                </c:pt>
                <c:pt idx="75">
                  <c:v>6718.27</c:v>
                </c:pt>
                <c:pt idx="76">
                  <c:v>6843.27</c:v>
                </c:pt>
                <c:pt idx="77">
                  <c:v>6943.0550000000003</c:v>
                </c:pt>
                <c:pt idx="78">
                  <c:v>7017.625</c:v>
                </c:pt>
                <c:pt idx="79">
                  <c:v>7117.41</c:v>
                </c:pt>
                <c:pt idx="80">
                  <c:v>7242.41</c:v>
                </c:pt>
                <c:pt idx="81">
                  <c:v>7342.21</c:v>
                </c:pt>
                <c:pt idx="82">
                  <c:v>7416.81</c:v>
                </c:pt>
                <c:pt idx="83">
                  <c:v>7503.36</c:v>
                </c:pt>
                <c:pt idx="84">
                  <c:v>7601.86</c:v>
                </c:pt>
                <c:pt idx="85">
                  <c:v>7713.61</c:v>
                </c:pt>
                <c:pt idx="86">
                  <c:v>7838.61</c:v>
                </c:pt>
              </c:numCache>
            </c:numRef>
          </c:xVal>
          <c:yVal>
            <c:numRef>
              <c:f>'FL6 data'!$AG$6:$AG$568</c:f>
              <c:numCache>
                <c:formatCode>General</c:formatCode>
                <c:ptCount val="563"/>
                <c:pt idx="0">
                  <c:v>2197.8030616532601</c:v>
                </c:pt>
                <c:pt idx="1">
                  <c:v>2199.6290866132199</c:v>
                </c:pt>
                <c:pt idx="2">
                  <c:v>2201.0664104697098</c:v>
                </c:pt>
                <c:pt idx="3">
                  <c:v>2201.6393094841501</c:v>
                </c:pt>
                <c:pt idx="4">
                  <c:v>2201.7335840055098</c:v>
                </c:pt>
                <c:pt idx="5">
                  <c:v>2202.2557198161498</c:v>
                </c:pt>
                <c:pt idx="6">
                  <c:v>2203.6553338640902</c:v>
                </c:pt>
                <c:pt idx="7">
                  <c:v>2204.9012079233398</c:v>
                </c:pt>
                <c:pt idx="8">
                  <c:v>2205.5263205188498</c:v>
                </c:pt>
                <c:pt idx="9">
                  <c:v>2206.7649426918501</c:v>
                </c:pt>
                <c:pt idx="10">
                  <c:v>2208.6170744423298</c:v>
                </c:pt>
                <c:pt idx="11">
                  <c:v>2211.2901197173101</c:v>
                </c:pt>
                <c:pt idx="12">
                  <c:v>2214.7811777622801</c:v>
                </c:pt>
                <c:pt idx="13">
                  <c:v>2217.9705573388901</c:v>
                </c:pt>
                <c:pt idx="14">
                  <c:v>2221.14543314298</c:v>
                </c:pt>
                <c:pt idx="15">
                  <c:v>2222.9700077256798</c:v>
                </c:pt>
                <c:pt idx="16">
                  <c:v>2222.9032903720999</c:v>
                </c:pt>
                <c:pt idx="17">
                  <c:v>2222.5276426639002</c:v>
                </c:pt>
                <c:pt idx="18">
                  <c:v>2221.8459653555701</c:v>
                </c:pt>
                <c:pt idx="19">
                  <c:v>2221.10482257993</c:v>
                </c:pt>
                <c:pt idx="20">
                  <c:v>2220.3056647142098</c:v>
                </c:pt>
                <c:pt idx="21">
                  <c:v>2219.5166594892598</c:v>
                </c:pt>
                <c:pt idx="22">
                  <c:v>2218.7363565278101</c:v>
                </c:pt>
                <c:pt idx="23">
                  <c:v>2217.7776571644099</c:v>
                </c:pt>
                <c:pt idx="24">
                  <c:v>2216.64346215353</c:v>
                </c:pt>
                <c:pt idx="25">
                  <c:v>2215.81674712004</c:v>
                </c:pt>
                <c:pt idx="26">
                  <c:v>2215.3004128184102</c:v>
                </c:pt>
                <c:pt idx="27">
                  <c:v>2214.6578956958901</c:v>
                </c:pt>
                <c:pt idx="28">
                  <c:v>2213.9733176330601</c:v>
                </c:pt>
                <c:pt idx="29">
                  <c:v>2213.5382044575299</c:v>
                </c:pt>
                <c:pt idx="30">
                  <c:v>2213.2843884384802</c:v>
                </c:pt>
                <c:pt idx="31">
                  <c:v>2212.9943129881199</c:v>
                </c:pt>
                <c:pt idx="32">
                  <c:v>2212.6679781064799</c:v>
                </c:pt>
                <c:pt idx="33">
                  <c:v>2212.4460703869599</c:v>
                </c:pt>
                <c:pt idx="34">
                  <c:v>2212.3314905840698</c:v>
                </c:pt>
                <c:pt idx="35">
                  <c:v>2212.4156124646802</c:v>
                </c:pt>
                <c:pt idx="36">
                  <c:v>2212.6984360287702</c:v>
                </c:pt>
                <c:pt idx="37">
                  <c:v>2213.13064844979</c:v>
                </c:pt>
                <c:pt idx="38">
                  <c:v>2213.7107993504901</c:v>
                </c:pt>
                <c:pt idx="39">
                  <c:v>2214.7971319120502</c:v>
                </c:pt>
                <c:pt idx="40">
                  <c:v>2216.3707912302102</c:v>
                </c:pt>
                <c:pt idx="41">
                  <c:v>2217.1162851376098</c:v>
                </c:pt>
                <c:pt idx="42">
                  <c:v>2216.9117819451099</c:v>
                </c:pt>
                <c:pt idx="43">
                  <c:v>2217.2526205992699</c:v>
                </c:pt>
                <c:pt idx="44">
                  <c:v>2218.2504801484802</c:v>
                </c:pt>
                <c:pt idx="45">
                  <c:v>2218.4027697599099</c:v>
                </c:pt>
                <c:pt idx="46">
                  <c:v>2217.5949096306799</c:v>
                </c:pt>
                <c:pt idx="47">
                  <c:v>2217.0800257063102</c:v>
                </c:pt>
                <c:pt idx="48">
                  <c:v>2216.8566676095402</c:v>
                </c:pt>
                <c:pt idx="49">
                  <c:v>2216.1909444509902</c:v>
                </c:pt>
                <c:pt idx="50">
                  <c:v>2215.0828562306501</c:v>
                </c:pt>
                <c:pt idx="51">
                  <c:v>2214.1647674302899</c:v>
                </c:pt>
                <c:pt idx="52">
                  <c:v>2213.4366780499099</c:v>
                </c:pt>
                <c:pt idx="53">
                  <c:v>2212.7941609273798</c:v>
                </c:pt>
                <c:pt idx="54">
                  <c:v>2212.2343153082102</c:v>
                </c:pt>
                <c:pt idx="55">
                  <c:v>2211.4830198917998</c:v>
                </c:pt>
                <c:pt idx="56">
                  <c:v>2210.5402746781601</c:v>
                </c:pt>
                <c:pt idx="57">
                  <c:v>2209.5293617336902</c:v>
                </c:pt>
                <c:pt idx="58">
                  <c:v>2208.4502810583799</c:v>
                </c:pt>
                <c:pt idx="59">
                  <c:v>2207.2000558673699</c:v>
                </c:pt>
                <c:pt idx="60">
                  <c:v>2205.7786861606501</c:v>
                </c:pt>
                <c:pt idx="61">
                  <c:v>2204.34716381317</c:v>
                </c:pt>
                <c:pt idx="62">
                  <c:v>2202.9025880704298</c:v>
                </c:pt>
                <c:pt idx="63">
                  <c:v>2201.7118283467398</c:v>
                </c:pt>
                <c:pt idx="64">
                  <c:v>2200.7719838876001</c:v>
                </c:pt>
                <c:pt idx="65">
                  <c:v>2199.9945816806598</c:v>
                </c:pt>
                <c:pt idx="66">
                  <c:v>2199.4260337979799</c:v>
                </c:pt>
                <c:pt idx="67">
                  <c:v>2198.8400813882699</c:v>
                </c:pt>
                <c:pt idx="68">
                  <c:v>2198.2149687927599</c:v>
                </c:pt>
                <c:pt idx="69">
                  <c:v>2197.5144365801698</c:v>
                </c:pt>
                <c:pt idx="70">
                  <c:v>2196.73703437323</c:v>
                </c:pt>
                <c:pt idx="71">
                  <c:v>2196.0336014061299</c:v>
                </c:pt>
                <c:pt idx="72">
                  <c:v>2195.40413767887</c:v>
                </c:pt>
                <c:pt idx="73">
                  <c:v>2194.9139101677702</c:v>
                </c:pt>
                <c:pt idx="74">
                  <c:v>2194.5614684955999</c:v>
                </c:pt>
                <c:pt idx="75">
                  <c:v>2194.3613164348499</c:v>
                </c:pt>
                <c:pt idx="76">
                  <c:v>2194.3236066263098</c:v>
                </c:pt>
                <c:pt idx="77">
                  <c:v>2193.7420053483602</c:v>
                </c:pt>
                <c:pt idx="78">
                  <c:v>2192.61796297825</c:v>
                </c:pt>
                <c:pt idx="79">
                  <c:v>2193.28513651405</c:v>
                </c:pt>
                <c:pt idx="80">
                  <c:v>2196.0524563104</c:v>
                </c:pt>
                <c:pt idx="81">
                  <c:v>2196.7877975770398</c:v>
                </c:pt>
                <c:pt idx="82">
                  <c:v>2195.3084127802499</c:v>
                </c:pt>
                <c:pt idx="83">
                  <c:v>2194.5890256633802</c:v>
                </c:pt>
                <c:pt idx="84">
                  <c:v>2194.4831481239999</c:v>
                </c:pt>
                <c:pt idx="85">
                  <c:v>2194.8500935686998</c:v>
                </c:pt>
                <c:pt idx="86">
                  <c:v>2195.6913123747099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52-4469-A6D9-5A6C277B8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243784"/>
        <c:axId val="873245584"/>
      </c:scatterChart>
      <c:valAx>
        <c:axId val="873243784"/>
        <c:scaling>
          <c:orientation val="minMax"/>
          <c:max val="17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 from DC1 for FL5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5584"/>
        <c:crosses val="autoZero"/>
        <c:crossBetween val="midCat"/>
      </c:valAx>
      <c:valAx>
        <c:axId val="873245584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Pressure at PCL (psi)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378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EarlyLife</c:v>
          </c:tx>
          <c:spPr>
            <a:ln w="19050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xVal>
            <c:numRef>
              <c:f>'FL6 data'!$C$6:$C$568</c:f>
              <c:numCache>
                <c:formatCode>General</c:formatCode>
                <c:ptCount val="563"/>
                <c:pt idx="0">
                  <c:v>48.543058277668898</c:v>
                </c:pt>
                <c:pt idx="1">
                  <c:v>145.629174833007</c:v>
                </c:pt>
                <c:pt idx="2">
                  <c:v>222.08611655533801</c:v>
                </c:pt>
                <c:pt idx="3">
                  <c:v>270.935</c:v>
                </c:pt>
                <c:pt idx="4">
                  <c:v>312.80500000000001</c:v>
                </c:pt>
                <c:pt idx="5">
                  <c:v>375.49</c:v>
                </c:pt>
                <c:pt idx="6">
                  <c:v>500.49</c:v>
                </c:pt>
                <c:pt idx="7">
                  <c:v>646.24</c:v>
                </c:pt>
                <c:pt idx="8">
                  <c:v>771.24</c:v>
                </c:pt>
                <c:pt idx="9">
                  <c:v>896.24</c:v>
                </c:pt>
                <c:pt idx="10">
                  <c:v>1021.24</c:v>
                </c:pt>
                <c:pt idx="11">
                  <c:v>1146.24</c:v>
                </c:pt>
                <c:pt idx="12">
                  <c:v>1271.24</c:v>
                </c:pt>
                <c:pt idx="13">
                  <c:v>1396.24</c:v>
                </c:pt>
                <c:pt idx="14">
                  <c:v>1521.24</c:v>
                </c:pt>
                <c:pt idx="15">
                  <c:v>1632.99</c:v>
                </c:pt>
                <c:pt idx="16">
                  <c:v>1731.49</c:v>
                </c:pt>
                <c:pt idx="17">
                  <c:v>1817.9974999999999</c:v>
                </c:pt>
                <c:pt idx="18">
                  <c:v>1892.5125</c:v>
                </c:pt>
                <c:pt idx="19">
                  <c:v>1967.03</c:v>
                </c:pt>
                <c:pt idx="20">
                  <c:v>2041.55</c:v>
                </c:pt>
                <c:pt idx="21">
                  <c:v>2116.0700000000002</c:v>
                </c:pt>
                <c:pt idx="22">
                  <c:v>2190.59</c:v>
                </c:pt>
                <c:pt idx="23">
                  <c:v>2265.12</c:v>
                </c:pt>
                <c:pt idx="24">
                  <c:v>2339.66</c:v>
                </c:pt>
                <c:pt idx="25">
                  <c:v>2414.1849999999999</c:v>
                </c:pt>
                <c:pt idx="26">
                  <c:v>2488.6950000000002</c:v>
                </c:pt>
                <c:pt idx="27">
                  <c:v>2563.21</c:v>
                </c:pt>
                <c:pt idx="28">
                  <c:v>2637.73</c:v>
                </c:pt>
                <c:pt idx="29">
                  <c:v>2712.2424999999998</c:v>
                </c:pt>
                <c:pt idx="30">
                  <c:v>2786.7474999999999</c:v>
                </c:pt>
                <c:pt idx="31">
                  <c:v>2861.2525000000001</c:v>
                </c:pt>
                <c:pt idx="32">
                  <c:v>2935.7575000000002</c:v>
                </c:pt>
                <c:pt idx="33">
                  <c:v>3035.5099999999902</c:v>
                </c:pt>
                <c:pt idx="34">
                  <c:v>3160.5099999999902</c:v>
                </c:pt>
                <c:pt idx="35">
                  <c:v>3285.5099999999902</c:v>
                </c:pt>
                <c:pt idx="36">
                  <c:v>3410.5099999999902</c:v>
                </c:pt>
                <c:pt idx="37">
                  <c:v>3535.5099999999902</c:v>
                </c:pt>
                <c:pt idx="38">
                  <c:v>3660.5099999999902</c:v>
                </c:pt>
                <c:pt idx="39">
                  <c:v>3785.5099999999902</c:v>
                </c:pt>
                <c:pt idx="40">
                  <c:v>3910.5099999999902</c:v>
                </c:pt>
                <c:pt idx="41">
                  <c:v>4010.2599999999902</c:v>
                </c:pt>
                <c:pt idx="42">
                  <c:v>4084.7599999999902</c:v>
                </c:pt>
                <c:pt idx="43">
                  <c:v>4184.5099999999902</c:v>
                </c:pt>
                <c:pt idx="44">
                  <c:v>4309.5099999999902</c:v>
                </c:pt>
                <c:pt idx="45">
                  <c:v>4409.2699999999904</c:v>
                </c:pt>
                <c:pt idx="46">
                  <c:v>4483.78999999999</c:v>
                </c:pt>
                <c:pt idx="47">
                  <c:v>4570.2999999999902</c:v>
                </c:pt>
                <c:pt idx="48">
                  <c:v>4668.7999999999902</c:v>
                </c:pt>
                <c:pt idx="49">
                  <c:v>4755.3199999999897</c:v>
                </c:pt>
                <c:pt idx="50">
                  <c:v>4829.8599999999897</c:v>
                </c:pt>
                <c:pt idx="51">
                  <c:v>4904.3874999999998</c:v>
                </c:pt>
                <c:pt idx="52">
                  <c:v>4978.9025000000001</c:v>
                </c:pt>
                <c:pt idx="53">
                  <c:v>5053.415</c:v>
                </c:pt>
                <c:pt idx="54">
                  <c:v>5127.9250000000002</c:v>
                </c:pt>
                <c:pt idx="55">
                  <c:v>5202.4425000000101</c:v>
                </c:pt>
                <c:pt idx="56">
                  <c:v>5276.9675000000198</c:v>
                </c:pt>
                <c:pt idx="57">
                  <c:v>5351.4975000000204</c:v>
                </c:pt>
                <c:pt idx="58">
                  <c:v>5426.0325000000103</c:v>
                </c:pt>
                <c:pt idx="59">
                  <c:v>5500.5800000000099</c:v>
                </c:pt>
                <c:pt idx="60">
                  <c:v>5575.1400000000103</c:v>
                </c:pt>
                <c:pt idx="61">
                  <c:v>5649.7025000000103</c:v>
                </c:pt>
                <c:pt idx="62">
                  <c:v>5724.2674999999999</c:v>
                </c:pt>
                <c:pt idx="63">
                  <c:v>5798.8125</c:v>
                </c:pt>
                <c:pt idx="64">
                  <c:v>5873.3375000000096</c:v>
                </c:pt>
                <c:pt idx="65">
                  <c:v>5947.8550000000096</c:v>
                </c:pt>
                <c:pt idx="66">
                  <c:v>6022.3650000000098</c:v>
                </c:pt>
                <c:pt idx="67">
                  <c:v>6096.8800000000101</c:v>
                </c:pt>
                <c:pt idx="68">
                  <c:v>6171.4000000000096</c:v>
                </c:pt>
                <c:pt idx="69">
                  <c:v>6245.9250000000102</c:v>
                </c:pt>
                <c:pt idx="70">
                  <c:v>6320.4550000000099</c:v>
                </c:pt>
                <c:pt idx="71">
                  <c:v>6394.9800000000096</c:v>
                </c:pt>
                <c:pt idx="72">
                  <c:v>6469.50000000001</c:v>
                </c:pt>
                <c:pt idx="73">
                  <c:v>6544.0125000000098</c:v>
                </c:pt>
                <c:pt idx="74">
                  <c:v>6618.5175000000099</c:v>
                </c:pt>
                <c:pt idx="75">
                  <c:v>6718.2700000000104</c:v>
                </c:pt>
                <c:pt idx="76">
                  <c:v>6843.2700000000104</c:v>
                </c:pt>
                <c:pt idx="77">
                  <c:v>6943.0550000000103</c:v>
                </c:pt>
                <c:pt idx="78">
                  <c:v>7017.62500000001</c:v>
                </c:pt>
                <c:pt idx="79">
                  <c:v>7117.4100000000099</c:v>
                </c:pt>
                <c:pt idx="80">
                  <c:v>7242.4100000000099</c:v>
                </c:pt>
                <c:pt idx="81">
                  <c:v>7342.21000000001</c:v>
                </c:pt>
                <c:pt idx="82">
                  <c:v>7416.8100000000104</c:v>
                </c:pt>
                <c:pt idx="83">
                  <c:v>7503.3600000000097</c:v>
                </c:pt>
                <c:pt idx="84">
                  <c:v>7601.8600000000097</c:v>
                </c:pt>
                <c:pt idx="85">
                  <c:v>7713.6100000000097</c:v>
                </c:pt>
                <c:pt idx="86">
                  <c:v>7838.6100000000097</c:v>
                </c:pt>
              </c:numCache>
            </c:numRef>
          </c:xVal>
          <c:yVal>
            <c:numRef>
              <c:f>'FL6 data'!$D$6:$D$568</c:f>
              <c:numCache>
                <c:formatCode>General</c:formatCode>
                <c:ptCount val="563"/>
                <c:pt idx="0">
                  <c:v>189.915600484675</c:v>
                </c:pt>
                <c:pt idx="1">
                  <c:v>189.78420048572599</c:v>
                </c:pt>
                <c:pt idx="2">
                  <c:v>189.71013048631801</c:v>
                </c:pt>
                <c:pt idx="3">
                  <c:v>189.65317848677401</c:v>
                </c:pt>
                <c:pt idx="4">
                  <c:v>189.59494848724</c:v>
                </c:pt>
                <c:pt idx="5">
                  <c:v>189.47910048816701</c:v>
                </c:pt>
                <c:pt idx="6">
                  <c:v>189.24933049000501</c:v>
                </c:pt>
                <c:pt idx="7">
                  <c:v>189.07888849136799</c:v>
                </c:pt>
                <c:pt idx="8">
                  <c:v>188.90662849274599</c:v>
                </c:pt>
                <c:pt idx="9">
                  <c:v>188.736006494111</c:v>
                </c:pt>
                <c:pt idx="10">
                  <c:v>188.56702249546299</c:v>
                </c:pt>
                <c:pt idx="11">
                  <c:v>188.40014449679799</c:v>
                </c:pt>
                <c:pt idx="12">
                  <c:v>188.235390498116</c:v>
                </c:pt>
                <c:pt idx="13">
                  <c:v>188.07011449943801</c:v>
                </c:pt>
                <c:pt idx="14">
                  <c:v>187.904334500765</c:v>
                </c:pt>
                <c:pt idx="15">
                  <c:v>187.772142501822</c:v>
                </c:pt>
                <c:pt idx="16">
                  <c:v>187.63627850290899</c:v>
                </c:pt>
                <c:pt idx="17">
                  <c:v>187.533318503733</c:v>
                </c:pt>
                <c:pt idx="18">
                  <c:v>187.42956650456301</c:v>
                </c:pt>
                <c:pt idx="19">
                  <c:v>187.325778505393</c:v>
                </c:pt>
                <c:pt idx="20">
                  <c:v>187.22195450622399</c:v>
                </c:pt>
                <c:pt idx="21">
                  <c:v>187.11823850705301</c:v>
                </c:pt>
                <c:pt idx="22">
                  <c:v>187.014594507883</c:v>
                </c:pt>
                <c:pt idx="23">
                  <c:v>186.91071650871399</c:v>
                </c:pt>
                <c:pt idx="24">
                  <c:v>186.806586509547</c:v>
                </c:pt>
                <c:pt idx="25">
                  <c:v>186.702978510376</c:v>
                </c:pt>
                <c:pt idx="26">
                  <c:v>186.59973051120099</c:v>
                </c:pt>
                <c:pt idx="27">
                  <c:v>186.496320512029</c:v>
                </c:pt>
                <c:pt idx="28">
                  <c:v>186.392748512857</c:v>
                </c:pt>
                <c:pt idx="29">
                  <c:v>186.28968051368199</c:v>
                </c:pt>
                <c:pt idx="30">
                  <c:v>186.18704451450299</c:v>
                </c:pt>
                <c:pt idx="31">
                  <c:v>186.08440851532399</c:v>
                </c:pt>
                <c:pt idx="32">
                  <c:v>185.981754516145</c:v>
                </c:pt>
                <c:pt idx="33">
                  <c:v>185.80983651752101</c:v>
                </c:pt>
                <c:pt idx="34">
                  <c:v>185.639034518887</c:v>
                </c:pt>
                <c:pt idx="35">
                  <c:v>185.46889852024799</c:v>
                </c:pt>
                <c:pt idx="36">
                  <c:v>185.299428521604</c:v>
                </c:pt>
                <c:pt idx="37">
                  <c:v>185.13051652295499</c:v>
                </c:pt>
                <c:pt idx="38">
                  <c:v>184.962144524302</c:v>
                </c:pt>
                <c:pt idx="39">
                  <c:v>184.79508652563899</c:v>
                </c:pt>
                <c:pt idx="40">
                  <c:v>184.62934252696499</c:v>
                </c:pt>
                <c:pt idx="41">
                  <c:v>184.530756527753</c:v>
                </c:pt>
                <c:pt idx="42">
                  <c:v>184.429506528563</c:v>
                </c:pt>
                <c:pt idx="43">
                  <c:v>184.26068452991399</c:v>
                </c:pt>
                <c:pt idx="44">
                  <c:v>184.09396853124801</c:v>
                </c:pt>
                <c:pt idx="45">
                  <c:v>183.994428532044</c:v>
                </c:pt>
                <c:pt idx="46">
                  <c:v>183.89258453285899</c:v>
                </c:pt>
                <c:pt idx="47">
                  <c:v>183.75875453392899</c:v>
                </c:pt>
                <c:pt idx="48">
                  <c:v>183.62587853499201</c:v>
                </c:pt>
                <c:pt idx="49">
                  <c:v>183.52484453580101</c:v>
                </c:pt>
                <c:pt idx="50">
                  <c:v>183.42280253661701</c:v>
                </c:pt>
                <c:pt idx="51">
                  <c:v>183.32119253742999</c:v>
                </c:pt>
                <c:pt idx="52">
                  <c:v>183.219996538239</c:v>
                </c:pt>
                <c:pt idx="53">
                  <c:v>183.11901653904701</c:v>
                </c:pt>
                <c:pt idx="54">
                  <c:v>183.01827053985301</c:v>
                </c:pt>
                <c:pt idx="55">
                  <c:v>182.91723654066101</c:v>
                </c:pt>
                <c:pt idx="56">
                  <c:v>182.81593254147199</c:v>
                </c:pt>
                <c:pt idx="57">
                  <c:v>182.714574542283</c:v>
                </c:pt>
                <c:pt idx="58">
                  <c:v>182.613018543095</c:v>
                </c:pt>
                <c:pt idx="59">
                  <c:v>182.510940543912</c:v>
                </c:pt>
                <c:pt idx="60">
                  <c:v>182.40862854472999</c:v>
                </c:pt>
                <c:pt idx="61">
                  <c:v>182.306388545548</c:v>
                </c:pt>
                <c:pt idx="62">
                  <c:v>182.20418454636601</c:v>
                </c:pt>
                <c:pt idx="63">
                  <c:v>182.10255654717901</c:v>
                </c:pt>
                <c:pt idx="64">
                  <c:v>182.00145054798799</c:v>
                </c:pt>
                <c:pt idx="65">
                  <c:v>181.90070454879401</c:v>
                </c:pt>
                <c:pt idx="66">
                  <c:v>181.80033654959701</c:v>
                </c:pt>
                <c:pt idx="67">
                  <c:v>181.699842550401</c:v>
                </c:pt>
                <c:pt idx="68">
                  <c:v>181.599222551206</c:v>
                </c:pt>
                <c:pt idx="69">
                  <c:v>181.49849455201101</c:v>
                </c:pt>
                <c:pt idx="70">
                  <c:v>181.39767655281801</c:v>
                </c:pt>
                <c:pt idx="71">
                  <c:v>181.29711055362199</c:v>
                </c:pt>
                <c:pt idx="72">
                  <c:v>181.19677855442501</c:v>
                </c:pt>
                <c:pt idx="73">
                  <c:v>181.09686055522499</c:v>
                </c:pt>
                <c:pt idx="74">
                  <c:v>180.99733855602099</c:v>
                </c:pt>
                <c:pt idx="75">
                  <c:v>180.83078455735301</c:v>
                </c:pt>
                <c:pt idx="76">
                  <c:v>180.66547255867599</c:v>
                </c:pt>
                <c:pt idx="77">
                  <c:v>180.566346559469</c:v>
                </c:pt>
                <c:pt idx="78">
                  <c:v>180.46536656027601</c:v>
                </c:pt>
                <c:pt idx="79">
                  <c:v>180.301476561588</c:v>
                </c:pt>
                <c:pt idx="80">
                  <c:v>180.14260856285799</c:v>
                </c:pt>
                <c:pt idx="81">
                  <c:v>180.046434563628</c:v>
                </c:pt>
                <c:pt idx="82">
                  <c:v>179.94522056443799</c:v>
                </c:pt>
                <c:pt idx="83">
                  <c:v>179.81383856548899</c:v>
                </c:pt>
                <c:pt idx="84">
                  <c:v>179.68432856652501</c:v>
                </c:pt>
                <c:pt idx="85">
                  <c:v>179.52096056783199</c:v>
                </c:pt>
                <c:pt idx="86">
                  <c:v>179.359230569126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4A-4084-A7FA-FE3058E19E84}"/>
            </c:ext>
          </c:extLst>
        </c:ser>
        <c:ser>
          <c:idx val="1"/>
          <c:order val="1"/>
          <c:tx>
            <c:v>MidLife</c:v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'FL6 data'!$I$6:$I$568</c:f>
              <c:numCache>
                <c:formatCode>General</c:formatCode>
                <c:ptCount val="563"/>
                <c:pt idx="0">
                  <c:v>48.543058277668891</c:v>
                </c:pt>
                <c:pt idx="1">
                  <c:v>145.62917483300683</c:v>
                </c:pt>
                <c:pt idx="2">
                  <c:v>222.08611655533775</c:v>
                </c:pt>
                <c:pt idx="3">
                  <c:v>270.93500000000017</c:v>
                </c:pt>
                <c:pt idx="4">
                  <c:v>312.80499999999995</c:v>
                </c:pt>
                <c:pt idx="5">
                  <c:v>375.49</c:v>
                </c:pt>
                <c:pt idx="6">
                  <c:v>500.48999999999984</c:v>
                </c:pt>
                <c:pt idx="7">
                  <c:v>646.23999999999796</c:v>
                </c:pt>
                <c:pt idx="8">
                  <c:v>771.24000000000103</c:v>
                </c:pt>
                <c:pt idx="9">
                  <c:v>896.23999999999876</c:v>
                </c:pt>
                <c:pt idx="10">
                  <c:v>1021.2400000000017</c:v>
                </c:pt>
                <c:pt idx="11">
                  <c:v>1146.2399999999996</c:v>
                </c:pt>
                <c:pt idx="12">
                  <c:v>1271.2400000000025</c:v>
                </c:pt>
                <c:pt idx="13">
                  <c:v>1396.2400000000002</c:v>
                </c:pt>
                <c:pt idx="14">
                  <c:v>1521.2399999999982</c:v>
                </c:pt>
                <c:pt idx="15">
                  <c:v>1632.9899999999993</c:v>
                </c:pt>
                <c:pt idx="16">
                  <c:v>1731.4899999999993</c:v>
                </c:pt>
                <c:pt idx="17">
                  <c:v>1817.9974999999981</c:v>
                </c:pt>
                <c:pt idx="18">
                  <c:v>1892.5125000000014</c:v>
                </c:pt>
                <c:pt idx="19">
                  <c:v>1967.030000000002</c:v>
                </c:pt>
                <c:pt idx="20">
                  <c:v>2041.5500000000002</c:v>
                </c:pt>
                <c:pt idx="21">
                  <c:v>2116.0699999999983</c:v>
                </c:pt>
                <c:pt idx="22">
                  <c:v>2190.5900000000015</c:v>
                </c:pt>
                <c:pt idx="23">
                  <c:v>2265.12</c:v>
                </c:pt>
                <c:pt idx="24">
                  <c:v>2339.6599999999989</c:v>
                </c:pt>
                <c:pt idx="25">
                  <c:v>2414.1850000000022</c:v>
                </c:pt>
                <c:pt idx="26">
                  <c:v>2488.6950000000002</c:v>
                </c:pt>
                <c:pt idx="27">
                  <c:v>2563.2100000000032</c:v>
                </c:pt>
                <c:pt idx="28">
                  <c:v>2637.7300000000014</c:v>
                </c:pt>
                <c:pt idx="29">
                  <c:v>2712.2425000000017</c:v>
                </c:pt>
                <c:pt idx="30">
                  <c:v>2786.747499999999</c:v>
                </c:pt>
                <c:pt idx="31">
                  <c:v>2861.2525000000019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3160.5099999999979</c:v>
                </c:pt>
                <c:pt idx="35">
                  <c:v>3285.5100000000011</c:v>
                </c:pt>
                <c:pt idx="36">
                  <c:v>3410.5099999999989</c:v>
                </c:pt>
                <c:pt idx="37">
                  <c:v>3535.5100000000016</c:v>
                </c:pt>
                <c:pt idx="38">
                  <c:v>3660.5099999999993</c:v>
                </c:pt>
                <c:pt idx="39">
                  <c:v>3785.509999999997</c:v>
                </c:pt>
                <c:pt idx="40">
                  <c:v>3910.51</c:v>
                </c:pt>
                <c:pt idx="41">
                  <c:v>4010.2599999999979</c:v>
                </c:pt>
                <c:pt idx="42">
                  <c:v>4084.7600000000007</c:v>
                </c:pt>
                <c:pt idx="43">
                  <c:v>4184.5099999999984</c:v>
                </c:pt>
                <c:pt idx="44">
                  <c:v>4309.5099999999957</c:v>
                </c:pt>
                <c:pt idx="45">
                  <c:v>4409.2699999999995</c:v>
                </c:pt>
                <c:pt idx="46">
                  <c:v>4483.7899999999972</c:v>
                </c:pt>
                <c:pt idx="47">
                  <c:v>4570.2999999999993</c:v>
                </c:pt>
                <c:pt idx="48">
                  <c:v>4668.7999999999993</c:v>
                </c:pt>
                <c:pt idx="49">
                  <c:v>4755.3199999999952</c:v>
                </c:pt>
                <c:pt idx="50">
                  <c:v>4829.8599999999997</c:v>
                </c:pt>
                <c:pt idx="51">
                  <c:v>4904.3875000000007</c:v>
                </c:pt>
                <c:pt idx="52">
                  <c:v>4978.9024999999983</c:v>
                </c:pt>
                <c:pt idx="53">
                  <c:v>5053.4149999999991</c:v>
                </c:pt>
                <c:pt idx="54">
                  <c:v>5127.9249999999965</c:v>
                </c:pt>
                <c:pt idx="55">
                  <c:v>5202.4424999999974</c:v>
                </c:pt>
                <c:pt idx="56">
                  <c:v>5276.9675000000007</c:v>
                </c:pt>
                <c:pt idx="57">
                  <c:v>5351.4975000000095</c:v>
                </c:pt>
                <c:pt idx="58">
                  <c:v>5426.0325000000239</c:v>
                </c:pt>
                <c:pt idx="59">
                  <c:v>5500.5800000000254</c:v>
                </c:pt>
                <c:pt idx="60">
                  <c:v>5575.140000000014</c:v>
                </c:pt>
                <c:pt idx="61">
                  <c:v>5649.7025000000122</c:v>
                </c:pt>
                <c:pt idx="62">
                  <c:v>5724.2675000000163</c:v>
                </c:pt>
                <c:pt idx="63">
                  <c:v>5798.81250000001</c:v>
                </c:pt>
                <c:pt idx="64">
                  <c:v>5873.3374999999915</c:v>
                </c:pt>
                <c:pt idx="65">
                  <c:v>5947.8550000000032</c:v>
                </c:pt>
                <c:pt idx="66">
                  <c:v>6022.3649999999907</c:v>
                </c:pt>
                <c:pt idx="67">
                  <c:v>6096.8799999999937</c:v>
                </c:pt>
                <c:pt idx="68">
                  <c:v>6171.4000000000124</c:v>
                </c:pt>
                <c:pt idx="69">
                  <c:v>6245.9249999999947</c:v>
                </c:pt>
                <c:pt idx="70">
                  <c:v>6320.4549999999936</c:v>
                </c:pt>
                <c:pt idx="71">
                  <c:v>6394.9799999999759</c:v>
                </c:pt>
                <c:pt idx="72">
                  <c:v>6469.4999999999955</c:v>
                </c:pt>
                <c:pt idx="73">
                  <c:v>6544.0124999999898</c:v>
                </c:pt>
                <c:pt idx="74">
                  <c:v>6618.5175000000145</c:v>
                </c:pt>
                <c:pt idx="75">
                  <c:v>6718.2699999999941</c:v>
                </c:pt>
                <c:pt idx="76">
                  <c:v>6843.2699999999804</c:v>
                </c:pt>
                <c:pt idx="77">
                  <c:v>6943.0550000000112</c:v>
                </c:pt>
                <c:pt idx="78">
                  <c:v>7017.6249999999791</c:v>
                </c:pt>
                <c:pt idx="79">
                  <c:v>7117.4100000000089</c:v>
                </c:pt>
                <c:pt idx="80">
                  <c:v>7242.4099999999962</c:v>
                </c:pt>
                <c:pt idx="81">
                  <c:v>7342.2100000000228</c:v>
                </c:pt>
                <c:pt idx="82">
                  <c:v>7416.8099999999804</c:v>
                </c:pt>
                <c:pt idx="83">
                  <c:v>7503.3600000000051</c:v>
                </c:pt>
                <c:pt idx="84">
                  <c:v>7601.8599999999878</c:v>
                </c:pt>
                <c:pt idx="85">
                  <c:v>7713.6099999999742</c:v>
                </c:pt>
                <c:pt idx="86">
                  <c:v>7838.6100000000142</c:v>
                </c:pt>
              </c:numCache>
            </c:numRef>
          </c:xVal>
          <c:yVal>
            <c:numRef>
              <c:f>'FL6 data'!$J$6:$J$568</c:f>
              <c:numCache>
                <c:formatCode>General</c:formatCode>
                <c:ptCount val="563"/>
                <c:pt idx="0">
                  <c:v>129.81988296544</c:v>
                </c:pt>
                <c:pt idx="1">
                  <c:v>129.62971296696199</c:v>
                </c:pt>
                <c:pt idx="2">
                  <c:v>129.52124496783</c:v>
                </c:pt>
                <c:pt idx="3">
                  <c:v>129.439110968487</c:v>
                </c:pt>
                <c:pt idx="4">
                  <c:v>129.35614896915001</c:v>
                </c:pt>
                <c:pt idx="5">
                  <c:v>129.19143097046799</c:v>
                </c:pt>
                <c:pt idx="6">
                  <c:v>128.864730973082</c:v>
                </c:pt>
                <c:pt idx="7">
                  <c:v>128.620506975035</c:v>
                </c:pt>
                <c:pt idx="8">
                  <c:v>128.375256976998</c:v>
                </c:pt>
                <c:pt idx="9">
                  <c:v>128.13126697894899</c:v>
                </c:pt>
                <c:pt idx="10">
                  <c:v>127.88869898089</c:v>
                </c:pt>
                <c:pt idx="11">
                  <c:v>127.64793098281601</c:v>
                </c:pt>
                <c:pt idx="12">
                  <c:v>127.409160984726</c:v>
                </c:pt>
                <c:pt idx="13">
                  <c:v>127.17051698663499</c:v>
                </c:pt>
                <c:pt idx="14">
                  <c:v>126.931998988544</c:v>
                </c:pt>
                <c:pt idx="15">
                  <c:v>126.742944990056</c:v>
                </c:pt>
                <c:pt idx="16">
                  <c:v>126.55142499158799</c:v>
                </c:pt>
                <c:pt idx="17">
                  <c:v>126.40641699274801</c:v>
                </c:pt>
                <c:pt idx="18">
                  <c:v>126.261336993909</c:v>
                </c:pt>
                <c:pt idx="19">
                  <c:v>126.116436995068</c:v>
                </c:pt>
                <c:pt idx="20">
                  <c:v>125.971770996225</c:v>
                </c:pt>
                <c:pt idx="21">
                  <c:v>125.82741099738</c:v>
                </c:pt>
                <c:pt idx="22">
                  <c:v>125.683338998533</c:v>
                </c:pt>
                <c:pt idx="23">
                  <c:v>125.539338999685</c:v>
                </c:pt>
                <c:pt idx="24">
                  <c:v>125.39548300083599</c:v>
                </c:pt>
                <c:pt idx="25">
                  <c:v>125.252293001981</c:v>
                </c:pt>
                <c:pt idx="26">
                  <c:v>125.109625003123</c:v>
                </c:pt>
                <c:pt idx="27">
                  <c:v>124.966993004264</c:v>
                </c:pt>
                <c:pt idx="28">
                  <c:v>124.824307005405</c:v>
                </c:pt>
                <c:pt idx="29">
                  <c:v>124.68210700654301</c:v>
                </c:pt>
                <c:pt idx="30">
                  <c:v>124.54032100767699</c:v>
                </c:pt>
                <c:pt idx="31">
                  <c:v>124.39869700881</c:v>
                </c:pt>
                <c:pt idx="32">
                  <c:v>124.25723500994199</c:v>
                </c:pt>
                <c:pt idx="33">
                  <c:v>124.020967011832</c:v>
                </c:pt>
                <c:pt idx="34">
                  <c:v>123.785635013714</c:v>
                </c:pt>
                <c:pt idx="35">
                  <c:v>123.551383015588</c:v>
                </c:pt>
                <c:pt idx="36">
                  <c:v>123.31819301745401</c:v>
                </c:pt>
                <c:pt idx="37">
                  <c:v>123.085867019313</c:v>
                </c:pt>
                <c:pt idx="38">
                  <c:v>122.854459021164</c:v>
                </c:pt>
                <c:pt idx="39">
                  <c:v>122.624617023003</c:v>
                </c:pt>
                <c:pt idx="40">
                  <c:v>122.396323024829</c:v>
                </c:pt>
                <c:pt idx="41">
                  <c:v>122.26020702591801</c:v>
                </c:pt>
                <c:pt idx="42">
                  <c:v>122.12274102701799</c:v>
                </c:pt>
                <c:pt idx="43">
                  <c:v>121.893799028849</c:v>
                </c:pt>
                <c:pt idx="44">
                  <c:v>121.666495030668</c:v>
                </c:pt>
                <c:pt idx="45">
                  <c:v>121.530685031754</c:v>
                </c:pt>
                <c:pt idx="46">
                  <c:v>121.393777032849</c:v>
                </c:pt>
                <c:pt idx="47">
                  <c:v>121.213579034291</c:v>
                </c:pt>
                <c:pt idx="48">
                  <c:v>121.03408303572699</c:v>
                </c:pt>
                <c:pt idx="49">
                  <c:v>120.897967036816</c:v>
                </c:pt>
                <c:pt idx="50">
                  <c:v>120.761617037907</c:v>
                </c:pt>
                <c:pt idx="51">
                  <c:v>120.625717038994</c:v>
                </c:pt>
                <c:pt idx="52">
                  <c:v>120.49019504007801</c:v>
                </c:pt>
                <c:pt idx="53">
                  <c:v>120.35496104116</c:v>
                </c:pt>
                <c:pt idx="54">
                  <c:v>120.21999704224</c:v>
                </c:pt>
                <c:pt idx="55">
                  <c:v>120.085015043319</c:v>
                </c:pt>
                <c:pt idx="56">
                  <c:v>119.950069044399</c:v>
                </c:pt>
                <c:pt idx="57">
                  <c:v>119.815231045478</c:v>
                </c:pt>
                <c:pt idx="58">
                  <c:v>119.68051904655501</c:v>
                </c:pt>
                <c:pt idx="59">
                  <c:v>119.545699047634</c:v>
                </c:pt>
                <c:pt idx="60">
                  <c:v>119.41095104871199</c:v>
                </c:pt>
                <c:pt idx="61">
                  <c:v>119.27640104978801</c:v>
                </c:pt>
                <c:pt idx="62">
                  <c:v>119.142085050863</c:v>
                </c:pt>
                <c:pt idx="63">
                  <c:v>119.008309051933</c:v>
                </c:pt>
                <c:pt idx="64">
                  <c:v>118.87498305299999</c:v>
                </c:pt>
                <c:pt idx="65">
                  <c:v>118.742107054063</c:v>
                </c:pt>
                <c:pt idx="66">
                  <c:v>118.609609055123</c:v>
                </c:pt>
                <c:pt idx="67">
                  <c:v>118.47721905618199</c:v>
                </c:pt>
                <c:pt idx="68">
                  <c:v>118.34497305724</c:v>
                </c:pt>
                <c:pt idx="69">
                  <c:v>118.212835058297</c:v>
                </c:pt>
                <c:pt idx="70">
                  <c:v>118.080859059353</c:v>
                </c:pt>
                <c:pt idx="71">
                  <c:v>117.949243060406</c:v>
                </c:pt>
                <c:pt idx="72">
                  <c:v>117.81777106145699</c:v>
                </c:pt>
                <c:pt idx="73">
                  <c:v>117.686731062506</c:v>
                </c:pt>
                <c:pt idx="74">
                  <c:v>117.55606906355101</c:v>
                </c:pt>
                <c:pt idx="75">
                  <c:v>117.33798106529601</c:v>
                </c:pt>
                <c:pt idx="76">
                  <c:v>117.120847067033</c:v>
                </c:pt>
                <c:pt idx="77">
                  <c:v>116.990833068073</c:v>
                </c:pt>
                <c:pt idx="78">
                  <c:v>116.860333069117</c:v>
                </c:pt>
                <c:pt idx="79">
                  <c:v>116.645917070832</c:v>
                </c:pt>
                <c:pt idx="80">
                  <c:v>116.43497507252</c:v>
                </c:pt>
                <c:pt idx="81">
                  <c:v>116.308057073535</c:v>
                </c:pt>
                <c:pt idx="82">
                  <c:v>116.178367074573</c:v>
                </c:pt>
                <c:pt idx="83">
                  <c:v>116.00871707592999</c:v>
                </c:pt>
                <c:pt idx="84">
                  <c:v>115.840201077278</c:v>
                </c:pt>
                <c:pt idx="85">
                  <c:v>115.627747078978</c:v>
                </c:pt>
                <c:pt idx="86">
                  <c:v>115.41673308066601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4A-4084-A7FA-FE3058E19E84}"/>
            </c:ext>
          </c:extLst>
        </c:ser>
        <c:ser>
          <c:idx val="2"/>
          <c:order val="2"/>
          <c:tx>
            <c:v>LateLife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'FL6 data'!$O$6:$O$568</c:f>
              <c:numCache>
                <c:formatCode>General</c:formatCode>
                <c:ptCount val="563"/>
                <c:pt idx="0">
                  <c:v>48.543058277668891</c:v>
                </c:pt>
                <c:pt idx="1">
                  <c:v>145.62917483300683</c:v>
                </c:pt>
                <c:pt idx="2">
                  <c:v>222.08611655533775</c:v>
                </c:pt>
                <c:pt idx="3">
                  <c:v>270.93500000000017</c:v>
                </c:pt>
                <c:pt idx="4">
                  <c:v>312.80499999999995</c:v>
                </c:pt>
                <c:pt idx="5">
                  <c:v>375.49</c:v>
                </c:pt>
                <c:pt idx="6">
                  <c:v>500.48999999999984</c:v>
                </c:pt>
                <c:pt idx="7">
                  <c:v>646.23999999999796</c:v>
                </c:pt>
                <c:pt idx="8">
                  <c:v>771.24000000000103</c:v>
                </c:pt>
                <c:pt idx="9">
                  <c:v>896.23999999999876</c:v>
                </c:pt>
                <c:pt idx="10">
                  <c:v>1021.2400000000017</c:v>
                </c:pt>
                <c:pt idx="11">
                  <c:v>1146.2399999999996</c:v>
                </c:pt>
                <c:pt idx="12">
                  <c:v>1271.2400000000025</c:v>
                </c:pt>
                <c:pt idx="13">
                  <c:v>1396.2400000000002</c:v>
                </c:pt>
                <c:pt idx="14">
                  <c:v>1521.2399999999982</c:v>
                </c:pt>
                <c:pt idx="15">
                  <c:v>1632.9899999999993</c:v>
                </c:pt>
                <c:pt idx="16">
                  <c:v>1731.4899999999993</c:v>
                </c:pt>
                <c:pt idx="17">
                  <c:v>1817.9974999999981</c:v>
                </c:pt>
                <c:pt idx="18">
                  <c:v>1892.5125000000014</c:v>
                </c:pt>
                <c:pt idx="19">
                  <c:v>1967.030000000002</c:v>
                </c:pt>
                <c:pt idx="20">
                  <c:v>2041.5500000000002</c:v>
                </c:pt>
                <c:pt idx="21">
                  <c:v>2116.0699999999983</c:v>
                </c:pt>
                <c:pt idx="22">
                  <c:v>2190.5900000000015</c:v>
                </c:pt>
                <c:pt idx="23">
                  <c:v>2265.12</c:v>
                </c:pt>
                <c:pt idx="24">
                  <c:v>2339.6599999999989</c:v>
                </c:pt>
                <c:pt idx="25">
                  <c:v>2414.1850000000022</c:v>
                </c:pt>
                <c:pt idx="26">
                  <c:v>2488.6950000000002</c:v>
                </c:pt>
                <c:pt idx="27">
                  <c:v>2563.2100000000032</c:v>
                </c:pt>
                <c:pt idx="28">
                  <c:v>2637.7300000000014</c:v>
                </c:pt>
                <c:pt idx="29">
                  <c:v>2712.2425000000017</c:v>
                </c:pt>
                <c:pt idx="30">
                  <c:v>2786.747499999999</c:v>
                </c:pt>
                <c:pt idx="31">
                  <c:v>2861.2525000000019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3160.5099999999979</c:v>
                </c:pt>
                <c:pt idx="35">
                  <c:v>3285.5100000000011</c:v>
                </c:pt>
                <c:pt idx="36">
                  <c:v>3410.5099999999989</c:v>
                </c:pt>
                <c:pt idx="37">
                  <c:v>3535.5100000000016</c:v>
                </c:pt>
                <c:pt idx="38">
                  <c:v>3660.5099999999993</c:v>
                </c:pt>
                <c:pt idx="39">
                  <c:v>3785.509999999997</c:v>
                </c:pt>
                <c:pt idx="40">
                  <c:v>3910.51</c:v>
                </c:pt>
                <c:pt idx="41">
                  <c:v>4010.2599999999979</c:v>
                </c:pt>
                <c:pt idx="42">
                  <c:v>4084.7600000000007</c:v>
                </c:pt>
                <c:pt idx="43">
                  <c:v>4184.5099999999984</c:v>
                </c:pt>
                <c:pt idx="44">
                  <c:v>4309.5099999999957</c:v>
                </c:pt>
                <c:pt idx="45">
                  <c:v>4409.2699999999995</c:v>
                </c:pt>
                <c:pt idx="46">
                  <c:v>4483.7899999999972</c:v>
                </c:pt>
                <c:pt idx="47">
                  <c:v>4570.2999999999993</c:v>
                </c:pt>
                <c:pt idx="48">
                  <c:v>4668.7999999999993</c:v>
                </c:pt>
                <c:pt idx="49">
                  <c:v>4755.3199999999952</c:v>
                </c:pt>
                <c:pt idx="50">
                  <c:v>4829.8599999999997</c:v>
                </c:pt>
                <c:pt idx="51">
                  <c:v>4904.3875000000007</c:v>
                </c:pt>
                <c:pt idx="52">
                  <c:v>4978.9024999999983</c:v>
                </c:pt>
                <c:pt idx="53">
                  <c:v>5053.4149999999991</c:v>
                </c:pt>
                <c:pt idx="54">
                  <c:v>5127.9249999999965</c:v>
                </c:pt>
                <c:pt idx="55">
                  <c:v>5202.4424999999974</c:v>
                </c:pt>
                <c:pt idx="56">
                  <c:v>5276.9675000000007</c:v>
                </c:pt>
                <c:pt idx="57">
                  <c:v>5351.4975000000095</c:v>
                </c:pt>
                <c:pt idx="58">
                  <c:v>5426.0325000000239</c:v>
                </c:pt>
                <c:pt idx="59">
                  <c:v>5500.5800000000254</c:v>
                </c:pt>
                <c:pt idx="60">
                  <c:v>5575.140000000014</c:v>
                </c:pt>
                <c:pt idx="61">
                  <c:v>5649.7025000000122</c:v>
                </c:pt>
                <c:pt idx="62">
                  <c:v>5724.2675000000163</c:v>
                </c:pt>
                <c:pt idx="63">
                  <c:v>5798.81250000001</c:v>
                </c:pt>
                <c:pt idx="64">
                  <c:v>5873.3374999999915</c:v>
                </c:pt>
                <c:pt idx="65">
                  <c:v>5947.8550000000032</c:v>
                </c:pt>
                <c:pt idx="66">
                  <c:v>6022.3649999999907</c:v>
                </c:pt>
                <c:pt idx="67">
                  <c:v>6096.8799999999937</c:v>
                </c:pt>
                <c:pt idx="68">
                  <c:v>6171.4000000000124</c:v>
                </c:pt>
                <c:pt idx="69">
                  <c:v>6245.9249999999947</c:v>
                </c:pt>
                <c:pt idx="70">
                  <c:v>6320.4549999999936</c:v>
                </c:pt>
                <c:pt idx="71">
                  <c:v>6394.9799999999759</c:v>
                </c:pt>
                <c:pt idx="72">
                  <c:v>6469.4999999999955</c:v>
                </c:pt>
                <c:pt idx="73">
                  <c:v>6544.0124999999898</c:v>
                </c:pt>
                <c:pt idx="74">
                  <c:v>6618.5175000000145</c:v>
                </c:pt>
                <c:pt idx="75">
                  <c:v>6718.2699999999941</c:v>
                </c:pt>
                <c:pt idx="76">
                  <c:v>6843.2699999999804</c:v>
                </c:pt>
                <c:pt idx="77">
                  <c:v>6943.0550000000112</c:v>
                </c:pt>
                <c:pt idx="78">
                  <c:v>7017.6249999999791</c:v>
                </c:pt>
                <c:pt idx="79">
                  <c:v>7117.4100000000089</c:v>
                </c:pt>
                <c:pt idx="80">
                  <c:v>7242.4099999999962</c:v>
                </c:pt>
                <c:pt idx="81">
                  <c:v>7342.2100000000228</c:v>
                </c:pt>
                <c:pt idx="82">
                  <c:v>7416.8099999999804</c:v>
                </c:pt>
                <c:pt idx="83">
                  <c:v>7503.3600000000051</c:v>
                </c:pt>
                <c:pt idx="84">
                  <c:v>7601.8599999999878</c:v>
                </c:pt>
                <c:pt idx="85">
                  <c:v>7713.6099999999742</c:v>
                </c:pt>
                <c:pt idx="86">
                  <c:v>7838.6100000000142</c:v>
                </c:pt>
              </c:numCache>
            </c:numRef>
          </c:xVal>
          <c:yVal>
            <c:numRef>
              <c:f>'FL6 data'!$P$6:$P$568</c:f>
              <c:numCache>
                <c:formatCode>General</c:formatCode>
                <c:ptCount val="563"/>
                <c:pt idx="0">
                  <c:v>102.58734118330101</c:v>
                </c:pt>
                <c:pt idx="1">
                  <c:v>102.00601318795199</c:v>
                </c:pt>
                <c:pt idx="2">
                  <c:v>101.679817190561</c:v>
                </c:pt>
                <c:pt idx="3">
                  <c:v>101.43413519252699</c:v>
                </c:pt>
                <c:pt idx="4">
                  <c:v>101.188471194492</c:v>
                </c:pt>
                <c:pt idx="5">
                  <c:v>100.711651198306</c:v>
                </c:pt>
                <c:pt idx="6">
                  <c:v>99.778549205771299</c:v>
                </c:pt>
                <c:pt idx="7">
                  <c:v>99.073903211408407</c:v>
                </c:pt>
                <c:pt idx="8">
                  <c:v>98.361949217104097</c:v>
                </c:pt>
                <c:pt idx="9">
                  <c:v>97.650697222794093</c:v>
                </c:pt>
                <c:pt idx="10">
                  <c:v>96.946411228428403</c:v>
                </c:pt>
                <c:pt idx="11">
                  <c:v>96.254005233967604</c:v>
                </c:pt>
                <c:pt idx="12">
                  <c:v>95.574757239401606</c:v>
                </c:pt>
                <c:pt idx="13">
                  <c:v>94.906669244746297</c:v>
                </c:pt>
                <c:pt idx="14">
                  <c:v>94.247221250021894</c:v>
                </c:pt>
                <c:pt idx="15">
                  <c:v>93.731197254150104</c:v>
                </c:pt>
                <c:pt idx="16">
                  <c:v>93.2166492582665</c:v>
                </c:pt>
                <c:pt idx="17">
                  <c:v>92.828443261372101</c:v>
                </c:pt>
                <c:pt idx="18">
                  <c:v>92.443081264455003</c:v>
                </c:pt>
                <c:pt idx="19">
                  <c:v>92.061499267507699</c:v>
                </c:pt>
                <c:pt idx="20">
                  <c:v>91.684111270526799</c:v>
                </c:pt>
                <c:pt idx="21">
                  <c:v>91.310827273513098</c:v>
                </c:pt>
                <c:pt idx="22">
                  <c:v>90.941071276471106</c:v>
                </c:pt>
                <c:pt idx="23">
                  <c:v>90.574411279404401</c:v>
                </c:pt>
                <c:pt idx="24">
                  <c:v>90.210433282316203</c:v>
                </c:pt>
                <c:pt idx="25">
                  <c:v>89.849065285207203</c:v>
                </c:pt>
                <c:pt idx="26">
                  <c:v>89.490001288079696</c:v>
                </c:pt>
                <c:pt idx="27">
                  <c:v>89.133097290934899</c:v>
                </c:pt>
                <c:pt idx="28">
                  <c:v>88.778335293772997</c:v>
                </c:pt>
                <c:pt idx="29">
                  <c:v>88.426003296591702</c:v>
                </c:pt>
                <c:pt idx="30">
                  <c:v>88.076047299391306</c:v>
                </c:pt>
                <c:pt idx="31">
                  <c:v>87.728125302174703</c:v>
                </c:pt>
                <c:pt idx="32">
                  <c:v>87.3820753049431</c:v>
                </c:pt>
                <c:pt idx="33">
                  <c:v>86.808307309533205</c:v>
                </c:pt>
                <c:pt idx="34">
                  <c:v>86.241325314069101</c:v>
                </c:pt>
                <c:pt idx="35">
                  <c:v>85.681093318551007</c:v>
                </c:pt>
                <c:pt idx="36">
                  <c:v>85.127953322976097</c:v>
                </c:pt>
                <c:pt idx="37">
                  <c:v>84.581653327346501</c:v>
                </c:pt>
                <c:pt idx="38">
                  <c:v>84.041563331667206</c:v>
                </c:pt>
                <c:pt idx="39">
                  <c:v>83.508277335933499</c:v>
                </c:pt>
                <c:pt idx="40">
                  <c:v>82.981849340144905</c:v>
                </c:pt>
                <c:pt idx="41">
                  <c:v>82.668487342651801</c:v>
                </c:pt>
                <c:pt idx="42">
                  <c:v>82.356295345149306</c:v>
                </c:pt>
                <c:pt idx="43">
                  <c:v>81.842323349261093</c:v>
                </c:pt>
                <c:pt idx="44">
                  <c:v>81.336253353309701</c:v>
                </c:pt>
                <c:pt idx="45">
                  <c:v>81.0367873557054</c:v>
                </c:pt>
                <c:pt idx="46">
                  <c:v>80.739697358082097</c:v>
                </c:pt>
                <c:pt idx="47">
                  <c:v>80.352247361181696</c:v>
                </c:pt>
                <c:pt idx="48">
                  <c:v>79.970071364239104</c:v>
                </c:pt>
                <c:pt idx="49">
                  <c:v>79.683745366529706</c:v>
                </c:pt>
                <c:pt idx="50">
                  <c:v>79.400137368798596</c:v>
                </c:pt>
                <c:pt idx="51">
                  <c:v>79.119085371047007</c:v>
                </c:pt>
                <c:pt idx="52">
                  <c:v>78.840031373279501</c:v>
                </c:pt>
                <c:pt idx="53">
                  <c:v>78.562831375497097</c:v>
                </c:pt>
                <c:pt idx="54">
                  <c:v>78.287359377700895</c:v>
                </c:pt>
                <c:pt idx="55">
                  <c:v>78.013417379892402</c:v>
                </c:pt>
                <c:pt idx="56">
                  <c:v>77.740915382072401</c:v>
                </c:pt>
                <c:pt idx="57">
                  <c:v>77.469745384241804</c:v>
                </c:pt>
                <c:pt idx="58">
                  <c:v>77.199961386400005</c:v>
                </c:pt>
                <c:pt idx="59">
                  <c:v>76.931491388547798</c:v>
                </c:pt>
                <c:pt idx="60">
                  <c:v>76.664263390685605</c:v>
                </c:pt>
                <c:pt idx="61">
                  <c:v>76.398277392813497</c:v>
                </c:pt>
                <c:pt idx="62">
                  <c:v>76.133497394931794</c:v>
                </c:pt>
                <c:pt idx="63">
                  <c:v>75.870121397038801</c:v>
                </c:pt>
                <c:pt idx="64">
                  <c:v>75.607969399135996</c:v>
                </c:pt>
                <c:pt idx="65">
                  <c:v>75.346789401225394</c:v>
                </c:pt>
                <c:pt idx="66">
                  <c:v>75.086599403306906</c:v>
                </c:pt>
                <c:pt idx="67">
                  <c:v>74.827597405378995</c:v>
                </c:pt>
                <c:pt idx="68">
                  <c:v>74.569855407440897</c:v>
                </c:pt>
                <c:pt idx="69">
                  <c:v>74.313409409492493</c:v>
                </c:pt>
                <c:pt idx="70">
                  <c:v>74.058421411532393</c:v>
                </c:pt>
                <c:pt idx="71">
                  <c:v>73.805089413559003</c:v>
                </c:pt>
                <c:pt idx="72">
                  <c:v>73.553377415572697</c:v>
                </c:pt>
                <c:pt idx="73">
                  <c:v>73.303663417570405</c:v>
                </c:pt>
                <c:pt idx="74">
                  <c:v>73.056037419551501</c:v>
                </c:pt>
                <c:pt idx="75">
                  <c:v>72.648535422811406</c:v>
                </c:pt>
                <c:pt idx="76">
                  <c:v>72.247099426022999</c:v>
                </c:pt>
                <c:pt idx="77">
                  <c:v>72.008815427929207</c:v>
                </c:pt>
                <c:pt idx="78">
                  <c:v>71.772727429817905</c:v>
                </c:pt>
                <c:pt idx="79">
                  <c:v>71.387077432903098</c:v>
                </c:pt>
                <c:pt idx="80">
                  <c:v>71.008771435929603</c:v>
                </c:pt>
                <c:pt idx="81">
                  <c:v>70.784311437725293</c:v>
                </c:pt>
                <c:pt idx="82">
                  <c:v>70.5599594395201</c:v>
                </c:pt>
                <c:pt idx="83">
                  <c:v>70.267909441856503</c:v>
                </c:pt>
                <c:pt idx="84">
                  <c:v>69.979261444165701</c:v>
                </c:pt>
                <c:pt idx="85">
                  <c:v>69.617335447061095</c:v>
                </c:pt>
                <c:pt idx="86">
                  <c:v>69.261097449911006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4A-4084-A7FA-FE3058E19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243784"/>
        <c:axId val="873245584"/>
      </c:scatterChart>
      <c:valAx>
        <c:axId val="873243784"/>
        <c:scaling>
          <c:orientation val="minMax"/>
          <c:max val="17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 from DC1 for FL5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5584"/>
        <c:crosses val="autoZero"/>
        <c:crossBetween val="midCat"/>
      </c:valAx>
      <c:valAx>
        <c:axId val="87324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Temperature at SS (</a:t>
                </a:r>
                <a:r>
                  <a:rPr lang="en-US" baseline="0">
                    <a:latin typeface="Arial" panose="020B0604020202020204" pitchFamily="34" charset="0"/>
                    <a:cs typeface="Arial" panose="020B0604020202020204" pitchFamily="34" charset="0"/>
                  </a:rPr>
                  <a:t>°F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378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EarlyLife</c:v>
          </c:tx>
          <c:spPr>
            <a:ln w="19050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xVal>
            <c:numRef>
              <c:f>'FL6 data'!$C$6:$C$568</c:f>
              <c:numCache>
                <c:formatCode>General</c:formatCode>
                <c:ptCount val="563"/>
                <c:pt idx="0">
                  <c:v>48.543058277668898</c:v>
                </c:pt>
                <c:pt idx="1">
                  <c:v>145.629174833007</c:v>
                </c:pt>
                <c:pt idx="2">
                  <c:v>222.08611655533801</c:v>
                </c:pt>
                <c:pt idx="3">
                  <c:v>270.935</c:v>
                </c:pt>
                <c:pt idx="4">
                  <c:v>312.80500000000001</c:v>
                </c:pt>
                <c:pt idx="5">
                  <c:v>375.49</c:v>
                </c:pt>
                <c:pt idx="6">
                  <c:v>500.49</c:v>
                </c:pt>
                <c:pt idx="7">
                  <c:v>646.24</c:v>
                </c:pt>
                <c:pt idx="8">
                  <c:v>771.24</c:v>
                </c:pt>
                <c:pt idx="9">
                  <c:v>896.24</c:v>
                </c:pt>
                <c:pt idx="10">
                  <c:v>1021.24</c:v>
                </c:pt>
                <c:pt idx="11">
                  <c:v>1146.24</c:v>
                </c:pt>
                <c:pt idx="12">
                  <c:v>1271.24</c:v>
                </c:pt>
                <c:pt idx="13">
                  <c:v>1396.24</c:v>
                </c:pt>
                <c:pt idx="14">
                  <c:v>1521.24</c:v>
                </c:pt>
                <c:pt idx="15">
                  <c:v>1632.99</c:v>
                </c:pt>
                <c:pt idx="16">
                  <c:v>1731.49</c:v>
                </c:pt>
                <c:pt idx="17">
                  <c:v>1817.9974999999999</c:v>
                </c:pt>
                <c:pt idx="18">
                  <c:v>1892.5125</c:v>
                </c:pt>
                <c:pt idx="19">
                  <c:v>1967.03</c:v>
                </c:pt>
                <c:pt idx="20">
                  <c:v>2041.55</c:v>
                </c:pt>
                <c:pt idx="21">
                  <c:v>2116.0700000000002</c:v>
                </c:pt>
                <c:pt idx="22">
                  <c:v>2190.59</c:v>
                </c:pt>
                <c:pt idx="23">
                  <c:v>2265.12</c:v>
                </c:pt>
                <c:pt idx="24">
                  <c:v>2339.66</c:v>
                </c:pt>
                <c:pt idx="25">
                  <c:v>2414.1849999999999</c:v>
                </c:pt>
                <c:pt idx="26">
                  <c:v>2488.6950000000002</c:v>
                </c:pt>
                <c:pt idx="27">
                  <c:v>2563.21</c:v>
                </c:pt>
                <c:pt idx="28">
                  <c:v>2637.73</c:v>
                </c:pt>
                <c:pt idx="29">
                  <c:v>2712.2424999999998</c:v>
                </c:pt>
                <c:pt idx="30">
                  <c:v>2786.7474999999999</c:v>
                </c:pt>
                <c:pt idx="31">
                  <c:v>2861.2525000000001</c:v>
                </c:pt>
                <c:pt idx="32">
                  <c:v>2935.7575000000002</c:v>
                </c:pt>
                <c:pt idx="33">
                  <c:v>3035.5099999999902</c:v>
                </c:pt>
                <c:pt idx="34">
                  <c:v>3160.5099999999902</c:v>
                </c:pt>
                <c:pt idx="35">
                  <c:v>3285.5099999999902</c:v>
                </c:pt>
                <c:pt idx="36">
                  <c:v>3410.5099999999902</c:v>
                </c:pt>
                <c:pt idx="37">
                  <c:v>3535.5099999999902</c:v>
                </c:pt>
                <c:pt idx="38">
                  <c:v>3660.5099999999902</c:v>
                </c:pt>
                <c:pt idx="39">
                  <c:v>3785.5099999999902</c:v>
                </c:pt>
                <c:pt idx="40">
                  <c:v>3910.5099999999902</c:v>
                </c:pt>
                <c:pt idx="41">
                  <c:v>4010.2599999999902</c:v>
                </c:pt>
                <c:pt idx="42">
                  <c:v>4084.7599999999902</c:v>
                </c:pt>
                <c:pt idx="43">
                  <c:v>4184.5099999999902</c:v>
                </c:pt>
                <c:pt idx="44">
                  <c:v>4309.5099999999902</c:v>
                </c:pt>
                <c:pt idx="45">
                  <c:v>4409.2699999999904</c:v>
                </c:pt>
                <c:pt idx="46">
                  <c:v>4483.78999999999</c:v>
                </c:pt>
                <c:pt idx="47">
                  <c:v>4570.2999999999902</c:v>
                </c:pt>
                <c:pt idx="48">
                  <c:v>4668.7999999999902</c:v>
                </c:pt>
                <c:pt idx="49">
                  <c:v>4755.3199999999897</c:v>
                </c:pt>
                <c:pt idx="50">
                  <c:v>4829.8599999999897</c:v>
                </c:pt>
                <c:pt idx="51">
                  <c:v>4904.3874999999998</c:v>
                </c:pt>
                <c:pt idx="52">
                  <c:v>4978.9025000000001</c:v>
                </c:pt>
                <c:pt idx="53">
                  <c:v>5053.415</c:v>
                </c:pt>
                <c:pt idx="54">
                  <c:v>5127.9250000000002</c:v>
                </c:pt>
                <c:pt idx="55">
                  <c:v>5202.4425000000101</c:v>
                </c:pt>
                <c:pt idx="56">
                  <c:v>5276.9675000000198</c:v>
                </c:pt>
                <c:pt idx="57">
                  <c:v>5351.4975000000204</c:v>
                </c:pt>
                <c:pt idx="58">
                  <c:v>5426.0325000000103</c:v>
                </c:pt>
                <c:pt idx="59">
                  <c:v>5500.5800000000099</c:v>
                </c:pt>
                <c:pt idx="60">
                  <c:v>5575.1400000000103</c:v>
                </c:pt>
                <c:pt idx="61">
                  <c:v>5649.7025000000103</c:v>
                </c:pt>
                <c:pt idx="62">
                  <c:v>5724.2674999999999</c:v>
                </c:pt>
                <c:pt idx="63">
                  <c:v>5798.8125</c:v>
                </c:pt>
                <c:pt idx="64">
                  <c:v>5873.3375000000096</c:v>
                </c:pt>
                <c:pt idx="65">
                  <c:v>5947.8550000000096</c:v>
                </c:pt>
                <c:pt idx="66">
                  <c:v>6022.3650000000098</c:v>
                </c:pt>
                <c:pt idx="67">
                  <c:v>6096.8800000000101</c:v>
                </c:pt>
                <c:pt idx="68">
                  <c:v>6171.4000000000096</c:v>
                </c:pt>
                <c:pt idx="69">
                  <c:v>6245.9250000000102</c:v>
                </c:pt>
                <c:pt idx="70">
                  <c:v>6320.4550000000099</c:v>
                </c:pt>
                <c:pt idx="71">
                  <c:v>6394.9800000000096</c:v>
                </c:pt>
                <c:pt idx="72">
                  <c:v>6469.50000000001</c:v>
                </c:pt>
                <c:pt idx="73">
                  <c:v>6544.0125000000098</c:v>
                </c:pt>
                <c:pt idx="74">
                  <c:v>6618.5175000000099</c:v>
                </c:pt>
                <c:pt idx="75">
                  <c:v>6718.2700000000104</c:v>
                </c:pt>
                <c:pt idx="76">
                  <c:v>6843.2700000000104</c:v>
                </c:pt>
                <c:pt idx="77">
                  <c:v>6943.0550000000103</c:v>
                </c:pt>
                <c:pt idx="78">
                  <c:v>7017.62500000001</c:v>
                </c:pt>
                <c:pt idx="79">
                  <c:v>7117.4100000000099</c:v>
                </c:pt>
                <c:pt idx="80">
                  <c:v>7242.4100000000099</c:v>
                </c:pt>
                <c:pt idx="81">
                  <c:v>7342.21000000001</c:v>
                </c:pt>
                <c:pt idx="82">
                  <c:v>7416.8100000000104</c:v>
                </c:pt>
                <c:pt idx="83">
                  <c:v>7503.3600000000097</c:v>
                </c:pt>
                <c:pt idx="84">
                  <c:v>7601.8600000000097</c:v>
                </c:pt>
                <c:pt idx="85">
                  <c:v>7713.6100000000097</c:v>
                </c:pt>
                <c:pt idx="86">
                  <c:v>7838.6100000000097</c:v>
                </c:pt>
              </c:numCache>
            </c:numRef>
          </c:xVal>
          <c:yVal>
            <c:numRef>
              <c:f>'FL6 data'!$F$6:$F$568</c:f>
              <c:numCache>
                <c:formatCode>General</c:formatCode>
                <c:ptCount val="563"/>
                <c:pt idx="0">
                  <c:v>48.110557311216098</c:v>
                </c:pt>
                <c:pt idx="1">
                  <c:v>48.114596400266301</c:v>
                </c:pt>
                <c:pt idx="2">
                  <c:v>48.1170747903018</c:v>
                </c:pt>
                <c:pt idx="3">
                  <c:v>48.119178612573698</c:v>
                </c:pt>
                <c:pt idx="4">
                  <c:v>48.1203335298447</c:v>
                </c:pt>
                <c:pt idx="5">
                  <c:v>48.123180244847703</c:v>
                </c:pt>
                <c:pt idx="6">
                  <c:v>48.129254485413199</c:v>
                </c:pt>
                <c:pt idx="7">
                  <c:v>48.133911611273398</c:v>
                </c:pt>
                <c:pt idx="8">
                  <c:v>48.137931971935501</c:v>
                </c:pt>
                <c:pt idx="9">
                  <c:v>48.142314414768997</c:v>
                </c:pt>
                <c:pt idx="10">
                  <c:v>48.1470089974055</c:v>
                </c:pt>
                <c:pt idx="11">
                  <c:v>48.152171789746397</c:v>
                </c:pt>
                <c:pt idx="12">
                  <c:v>48.158021289653803</c:v>
                </c:pt>
                <c:pt idx="13">
                  <c:v>48.1638270899888</c:v>
                </c:pt>
                <c:pt idx="14">
                  <c:v>48.169308264928802</c:v>
                </c:pt>
                <c:pt idx="15">
                  <c:v>48.173796835295299</c:v>
                </c:pt>
                <c:pt idx="16">
                  <c:v>48.176818348588</c:v>
                </c:pt>
                <c:pt idx="17">
                  <c:v>48.178959627636203</c:v>
                </c:pt>
                <c:pt idx="18">
                  <c:v>48.180913622802798</c:v>
                </c:pt>
                <c:pt idx="19">
                  <c:v>48.182836403989</c:v>
                </c:pt>
                <c:pt idx="20">
                  <c:v>48.184721728398799</c:v>
                </c:pt>
                <c:pt idx="21">
                  <c:v>48.186600810012699</c:v>
                </c:pt>
                <c:pt idx="22">
                  <c:v>48.188548562383097</c:v>
                </c:pt>
                <c:pt idx="23">
                  <c:v>48.1904089156087</c:v>
                </c:pt>
                <c:pt idx="24">
                  <c:v>48.192144412913201</c:v>
                </c:pt>
                <c:pt idx="25">
                  <c:v>48.193804996664902</c:v>
                </c:pt>
                <c:pt idx="26">
                  <c:v>48.195833905384099</c:v>
                </c:pt>
                <c:pt idx="27">
                  <c:v>48.1978066289388</c:v>
                </c:pt>
                <c:pt idx="28">
                  <c:v>48.1996857105526</c:v>
                </c:pt>
                <c:pt idx="29">
                  <c:v>48.201514849798002</c:v>
                </c:pt>
                <c:pt idx="30">
                  <c:v>48.203593700885698</c:v>
                </c:pt>
                <c:pt idx="31">
                  <c:v>48.205647580789098</c:v>
                </c:pt>
                <c:pt idx="32">
                  <c:v>48.207670246712297</c:v>
                </c:pt>
                <c:pt idx="33">
                  <c:v>48.211234883262101</c:v>
                </c:pt>
                <c:pt idx="34">
                  <c:v>48.214868190568502</c:v>
                </c:pt>
                <c:pt idx="35">
                  <c:v>48.218507740671001</c:v>
                </c:pt>
                <c:pt idx="36">
                  <c:v>48.222322089063198</c:v>
                </c:pt>
                <c:pt idx="37">
                  <c:v>48.226223836600099</c:v>
                </c:pt>
                <c:pt idx="38">
                  <c:v>48.230119341341002</c:v>
                </c:pt>
                <c:pt idx="39">
                  <c:v>48.234289529108601</c:v>
                </c:pt>
                <c:pt idx="40">
                  <c:v>48.238859255823897</c:v>
                </c:pt>
                <c:pt idx="41">
                  <c:v>48.241805855563797</c:v>
                </c:pt>
                <c:pt idx="42">
                  <c:v>48.243878463855403</c:v>
                </c:pt>
                <c:pt idx="43">
                  <c:v>48.247530499550003</c:v>
                </c:pt>
                <c:pt idx="44">
                  <c:v>48.251681958929403</c:v>
                </c:pt>
                <c:pt idx="45">
                  <c:v>48.254297690478197</c:v>
                </c:pt>
                <c:pt idx="46">
                  <c:v>48.256126829723499</c:v>
                </c:pt>
                <c:pt idx="47">
                  <c:v>48.258617705351099</c:v>
                </c:pt>
                <c:pt idx="48">
                  <c:v>48.261520605518598</c:v>
                </c:pt>
                <c:pt idx="49">
                  <c:v>48.263524543053599</c:v>
                </c:pt>
                <c:pt idx="50">
                  <c:v>48.265216340785599</c:v>
                </c:pt>
                <c:pt idx="51">
                  <c:v>48.266858196149201</c:v>
                </c:pt>
                <c:pt idx="52">
                  <c:v>48.268706063782702</c:v>
                </c:pt>
                <c:pt idx="53">
                  <c:v>48.270535203027997</c:v>
                </c:pt>
                <c:pt idx="54">
                  <c:v>48.272520412174799</c:v>
                </c:pt>
                <c:pt idx="55">
                  <c:v>48.274418222176799</c:v>
                </c:pt>
                <c:pt idx="56">
                  <c:v>48.276191176257598</c:v>
                </c:pt>
                <c:pt idx="57">
                  <c:v>48.277932916358097</c:v>
                </c:pt>
                <c:pt idx="58">
                  <c:v>48.279674656458603</c:v>
                </c:pt>
                <c:pt idx="59">
                  <c:v>48.281335240210403</c:v>
                </c:pt>
                <c:pt idx="60">
                  <c:v>48.282864725244899</c:v>
                </c:pt>
                <c:pt idx="61">
                  <c:v>48.284400453075399</c:v>
                </c:pt>
                <c:pt idx="62">
                  <c:v>48.285917452517801</c:v>
                </c:pt>
                <c:pt idx="63">
                  <c:v>48.287378266795599</c:v>
                </c:pt>
                <c:pt idx="64">
                  <c:v>48.289107521303997</c:v>
                </c:pt>
                <c:pt idx="65">
                  <c:v>48.290805561832101</c:v>
                </c:pt>
                <c:pt idx="66">
                  <c:v>48.292715857426202</c:v>
                </c:pt>
                <c:pt idx="67">
                  <c:v>48.294576210651897</c:v>
                </c:pt>
                <c:pt idx="68">
                  <c:v>48.296386621509001</c:v>
                </c:pt>
                <c:pt idx="69">
                  <c:v>48.298153332793703</c:v>
                </c:pt>
                <c:pt idx="70">
                  <c:v>48.299845130525803</c:v>
                </c:pt>
                <c:pt idx="71">
                  <c:v>48.3015119570736</c:v>
                </c:pt>
                <c:pt idx="72">
                  <c:v>48.3032849111544</c:v>
                </c:pt>
                <c:pt idx="73">
                  <c:v>48.305014165662797</c:v>
                </c:pt>
                <c:pt idx="74">
                  <c:v>48.306943189644997</c:v>
                </c:pt>
                <c:pt idx="75">
                  <c:v>48.310357999089398</c:v>
                </c:pt>
                <c:pt idx="76">
                  <c:v>48.314072462744598</c:v>
                </c:pt>
                <c:pt idx="77">
                  <c:v>48.3160576718914</c:v>
                </c:pt>
                <c:pt idx="78">
                  <c:v>48.317543457353501</c:v>
                </c:pt>
                <c:pt idx="79">
                  <c:v>48.320483814297397</c:v>
                </c:pt>
                <c:pt idx="80">
                  <c:v>48.325459322756501</c:v>
                </c:pt>
                <c:pt idx="81">
                  <c:v>48.329005230918099</c:v>
                </c:pt>
                <c:pt idx="82">
                  <c:v>48.330347432070802</c:v>
                </c:pt>
                <c:pt idx="83">
                  <c:v>48.332214028092501</c:v>
                </c:pt>
                <c:pt idx="84">
                  <c:v>48.334935887174296</c:v>
                </c:pt>
                <c:pt idx="85">
                  <c:v>48.338488038131999</c:v>
                </c:pt>
                <c:pt idx="86">
                  <c:v>48.342489670405897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C5-4A26-B624-EEC11B1CFD7F}"/>
            </c:ext>
          </c:extLst>
        </c:ser>
        <c:ser>
          <c:idx val="1"/>
          <c:order val="1"/>
          <c:tx>
            <c:v>MidLife</c:v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'FL6 data'!$I$6:$I$568</c:f>
              <c:numCache>
                <c:formatCode>General</c:formatCode>
                <c:ptCount val="563"/>
                <c:pt idx="0">
                  <c:v>48.543058277668891</c:v>
                </c:pt>
                <c:pt idx="1">
                  <c:v>145.62917483300683</c:v>
                </c:pt>
                <c:pt idx="2">
                  <c:v>222.08611655533775</c:v>
                </c:pt>
                <c:pt idx="3">
                  <c:v>270.93500000000017</c:v>
                </c:pt>
                <c:pt idx="4">
                  <c:v>312.80499999999995</c:v>
                </c:pt>
                <c:pt idx="5">
                  <c:v>375.49</c:v>
                </c:pt>
                <c:pt idx="6">
                  <c:v>500.48999999999984</c:v>
                </c:pt>
                <c:pt idx="7">
                  <c:v>646.23999999999796</c:v>
                </c:pt>
                <c:pt idx="8">
                  <c:v>771.24000000000103</c:v>
                </c:pt>
                <c:pt idx="9">
                  <c:v>896.23999999999876</c:v>
                </c:pt>
                <c:pt idx="10">
                  <c:v>1021.2400000000017</c:v>
                </c:pt>
                <c:pt idx="11">
                  <c:v>1146.2399999999996</c:v>
                </c:pt>
                <c:pt idx="12">
                  <c:v>1271.2400000000025</c:v>
                </c:pt>
                <c:pt idx="13">
                  <c:v>1396.2400000000002</c:v>
                </c:pt>
                <c:pt idx="14">
                  <c:v>1521.2399999999982</c:v>
                </c:pt>
                <c:pt idx="15">
                  <c:v>1632.9899999999993</c:v>
                </c:pt>
                <c:pt idx="16">
                  <c:v>1731.4899999999993</c:v>
                </c:pt>
                <c:pt idx="17">
                  <c:v>1817.9974999999981</c:v>
                </c:pt>
                <c:pt idx="18">
                  <c:v>1892.5125000000014</c:v>
                </c:pt>
                <c:pt idx="19">
                  <c:v>1967.030000000002</c:v>
                </c:pt>
                <c:pt idx="20">
                  <c:v>2041.5500000000002</c:v>
                </c:pt>
                <c:pt idx="21">
                  <c:v>2116.0699999999983</c:v>
                </c:pt>
                <c:pt idx="22">
                  <c:v>2190.5900000000015</c:v>
                </c:pt>
                <c:pt idx="23">
                  <c:v>2265.12</c:v>
                </c:pt>
                <c:pt idx="24">
                  <c:v>2339.6599999999989</c:v>
                </c:pt>
                <c:pt idx="25">
                  <c:v>2414.1850000000022</c:v>
                </c:pt>
                <c:pt idx="26">
                  <c:v>2488.6950000000002</c:v>
                </c:pt>
                <c:pt idx="27">
                  <c:v>2563.2100000000032</c:v>
                </c:pt>
                <c:pt idx="28">
                  <c:v>2637.7300000000014</c:v>
                </c:pt>
                <c:pt idx="29">
                  <c:v>2712.2425000000017</c:v>
                </c:pt>
                <c:pt idx="30">
                  <c:v>2786.747499999999</c:v>
                </c:pt>
                <c:pt idx="31">
                  <c:v>2861.2525000000019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3160.5099999999979</c:v>
                </c:pt>
                <c:pt idx="35">
                  <c:v>3285.5100000000011</c:v>
                </c:pt>
                <c:pt idx="36">
                  <c:v>3410.5099999999989</c:v>
                </c:pt>
                <c:pt idx="37">
                  <c:v>3535.5100000000016</c:v>
                </c:pt>
                <c:pt idx="38">
                  <c:v>3660.5099999999993</c:v>
                </c:pt>
                <c:pt idx="39">
                  <c:v>3785.509999999997</c:v>
                </c:pt>
                <c:pt idx="40">
                  <c:v>3910.51</c:v>
                </c:pt>
                <c:pt idx="41">
                  <c:v>4010.2599999999979</c:v>
                </c:pt>
                <c:pt idx="42">
                  <c:v>4084.7600000000007</c:v>
                </c:pt>
                <c:pt idx="43">
                  <c:v>4184.5099999999984</c:v>
                </c:pt>
                <c:pt idx="44">
                  <c:v>4309.5099999999957</c:v>
                </c:pt>
                <c:pt idx="45">
                  <c:v>4409.2699999999995</c:v>
                </c:pt>
                <c:pt idx="46">
                  <c:v>4483.7899999999972</c:v>
                </c:pt>
                <c:pt idx="47">
                  <c:v>4570.2999999999993</c:v>
                </c:pt>
                <c:pt idx="48">
                  <c:v>4668.7999999999993</c:v>
                </c:pt>
                <c:pt idx="49">
                  <c:v>4755.3199999999952</c:v>
                </c:pt>
                <c:pt idx="50">
                  <c:v>4829.8599999999997</c:v>
                </c:pt>
                <c:pt idx="51">
                  <c:v>4904.3875000000007</c:v>
                </c:pt>
                <c:pt idx="52">
                  <c:v>4978.9024999999983</c:v>
                </c:pt>
                <c:pt idx="53">
                  <c:v>5053.4149999999991</c:v>
                </c:pt>
                <c:pt idx="54">
                  <c:v>5127.9249999999965</c:v>
                </c:pt>
                <c:pt idx="55">
                  <c:v>5202.4424999999974</c:v>
                </c:pt>
                <c:pt idx="56">
                  <c:v>5276.9675000000007</c:v>
                </c:pt>
                <c:pt idx="57">
                  <c:v>5351.4975000000095</c:v>
                </c:pt>
                <c:pt idx="58">
                  <c:v>5426.0325000000239</c:v>
                </c:pt>
                <c:pt idx="59">
                  <c:v>5500.5800000000254</c:v>
                </c:pt>
                <c:pt idx="60">
                  <c:v>5575.140000000014</c:v>
                </c:pt>
                <c:pt idx="61">
                  <c:v>5649.7025000000122</c:v>
                </c:pt>
                <c:pt idx="62">
                  <c:v>5724.2675000000163</c:v>
                </c:pt>
                <c:pt idx="63">
                  <c:v>5798.81250000001</c:v>
                </c:pt>
                <c:pt idx="64">
                  <c:v>5873.3374999999915</c:v>
                </c:pt>
                <c:pt idx="65">
                  <c:v>5947.8550000000032</c:v>
                </c:pt>
                <c:pt idx="66">
                  <c:v>6022.3649999999907</c:v>
                </c:pt>
                <c:pt idx="67">
                  <c:v>6096.8799999999937</c:v>
                </c:pt>
                <c:pt idx="68">
                  <c:v>6171.4000000000124</c:v>
                </c:pt>
                <c:pt idx="69">
                  <c:v>6245.9249999999947</c:v>
                </c:pt>
                <c:pt idx="70">
                  <c:v>6320.4549999999936</c:v>
                </c:pt>
                <c:pt idx="71">
                  <c:v>6394.9799999999759</c:v>
                </c:pt>
                <c:pt idx="72">
                  <c:v>6469.4999999999955</c:v>
                </c:pt>
                <c:pt idx="73">
                  <c:v>6544.0124999999898</c:v>
                </c:pt>
                <c:pt idx="74">
                  <c:v>6618.5175000000145</c:v>
                </c:pt>
                <c:pt idx="75">
                  <c:v>6718.2699999999941</c:v>
                </c:pt>
                <c:pt idx="76">
                  <c:v>6843.2699999999804</c:v>
                </c:pt>
                <c:pt idx="77">
                  <c:v>6943.0550000000112</c:v>
                </c:pt>
                <c:pt idx="78">
                  <c:v>7017.6249999999791</c:v>
                </c:pt>
                <c:pt idx="79">
                  <c:v>7117.4100000000089</c:v>
                </c:pt>
                <c:pt idx="80">
                  <c:v>7242.4099999999962</c:v>
                </c:pt>
                <c:pt idx="81">
                  <c:v>7342.2100000000228</c:v>
                </c:pt>
                <c:pt idx="82">
                  <c:v>7416.8099999999804</c:v>
                </c:pt>
                <c:pt idx="83">
                  <c:v>7503.3600000000051</c:v>
                </c:pt>
                <c:pt idx="84">
                  <c:v>7601.8599999999878</c:v>
                </c:pt>
                <c:pt idx="85">
                  <c:v>7713.6099999999742</c:v>
                </c:pt>
                <c:pt idx="86">
                  <c:v>7838.6100000000142</c:v>
                </c:pt>
              </c:numCache>
            </c:numRef>
          </c:xVal>
          <c:yVal>
            <c:numRef>
              <c:f>'FL6 data'!$L$6:$L$568</c:f>
              <c:numCache>
                <c:formatCode>General</c:formatCode>
                <c:ptCount val="563"/>
                <c:pt idx="0">
                  <c:v>51.133394076613001</c:v>
                </c:pt>
                <c:pt idx="1">
                  <c:v>51.130728402695702</c:v>
                </c:pt>
                <c:pt idx="2">
                  <c:v>51.1365154746426</c:v>
                </c:pt>
                <c:pt idx="3">
                  <c:v>51.8210630337135</c:v>
                </c:pt>
                <c:pt idx="4">
                  <c:v>51.979973407399299</c:v>
                </c:pt>
                <c:pt idx="5">
                  <c:v>51.3988814646208</c:v>
                </c:pt>
                <c:pt idx="6">
                  <c:v>51.382725108419699</c:v>
                </c:pt>
                <c:pt idx="7">
                  <c:v>51.738370957113801</c:v>
                </c:pt>
                <c:pt idx="8">
                  <c:v>51.768080423559397</c:v>
                </c:pt>
                <c:pt idx="9">
                  <c:v>51.289757389506697</c:v>
                </c:pt>
                <c:pt idx="10">
                  <c:v>51.277540237618901</c:v>
                </c:pt>
                <c:pt idx="11">
                  <c:v>51.033759051508802</c:v>
                </c:pt>
                <c:pt idx="12">
                  <c:v>51.032522977889101</c:v>
                </c:pt>
                <c:pt idx="13">
                  <c:v>51.1059382595448</c:v>
                </c:pt>
                <c:pt idx="14">
                  <c:v>51.117524889030598</c:v>
                </c:pt>
                <c:pt idx="15">
                  <c:v>52.368069310008998</c:v>
                </c:pt>
                <c:pt idx="16">
                  <c:v>52.549216523257599</c:v>
                </c:pt>
                <c:pt idx="17">
                  <c:v>53.491735143881002</c:v>
                </c:pt>
                <c:pt idx="18">
                  <c:v>53.548394760914</c:v>
                </c:pt>
                <c:pt idx="19">
                  <c:v>53.665809269194597</c:v>
                </c:pt>
                <c:pt idx="20">
                  <c:v>53.673019698642896</c:v>
                </c:pt>
                <c:pt idx="21">
                  <c:v>53.6594853167867</c:v>
                </c:pt>
                <c:pt idx="22">
                  <c:v>53.665815511990701</c:v>
                </c:pt>
                <c:pt idx="23">
                  <c:v>53.938994024743302</c:v>
                </c:pt>
                <c:pt idx="24">
                  <c:v>53.943164212510901</c:v>
                </c:pt>
                <c:pt idx="25">
                  <c:v>53.409105495242002</c:v>
                </c:pt>
                <c:pt idx="26">
                  <c:v>53.388073515318702</c:v>
                </c:pt>
                <c:pt idx="27">
                  <c:v>53.645807350620998</c:v>
                </c:pt>
                <c:pt idx="28">
                  <c:v>53.651251068784603</c:v>
                </c:pt>
                <c:pt idx="29">
                  <c:v>53.172309997922099</c:v>
                </c:pt>
                <c:pt idx="30">
                  <c:v>53.144741810524899</c:v>
                </c:pt>
                <c:pt idx="31">
                  <c:v>53.267319111146399</c:v>
                </c:pt>
                <c:pt idx="32">
                  <c:v>53.267712407298198</c:v>
                </c:pt>
                <c:pt idx="33">
                  <c:v>52.702377281772897</c:v>
                </c:pt>
                <c:pt idx="34">
                  <c:v>52.673554292367797</c:v>
                </c:pt>
                <c:pt idx="35">
                  <c:v>52.196030336210697</c:v>
                </c:pt>
                <c:pt idx="36">
                  <c:v>52.179980107542598</c:v>
                </c:pt>
                <c:pt idx="37">
                  <c:v>51.943496750025702</c:v>
                </c:pt>
                <c:pt idx="38">
                  <c:v>51.928308027213703</c:v>
                </c:pt>
                <c:pt idx="39">
                  <c:v>51.490013801492402</c:v>
                </c:pt>
                <c:pt idx="40">
                  <c:v>51.4835462647751</c:v>
                </c:pt>
                <c:pt idx="41">
                  <c:v>52.824286603216201</c:v>
                </c:pt>
                <c:pt idx="42">
                  <c:v>52.990451105922801</c:v>
                </c:pt>
                <c:pt idx="43">
                  <c:v>51.824571485098701</c:v>
                </c:pt>
                <c:pt idx="44">
                  <c:v>51.793894385263997</c:v>
                </c:pt>
                <c:pt idx="45">
                  <c:v>53.633415400443603</c:v>
                </c:pt>
                <c:pt idx="46">
                  <c:v>53.738981081803999</c:v>
                </c:pt>
                <c:pt idx="47">
                  <c:v>52.934715422706603</c:v>
                </c:pt>
                <c:pt idx="48">
                  <c:v>52.915119285876898</c:v>
                </c:pt>
                <c:pt idx="49">
                  <c:v>53.973173333167203</c:v>
                </c:pt>
                <c:pt idx="50">
                  <c:v>54.009712418501501</c:v>
                </c:pt>
                <c:pt idx="51">
                  <c:v>53.712511626513098</c:v>
                </c:pt>
                <c:pt idx="52">
                  <c:v>53.6985277633406</c:v>
                </c:pt>
                <c:pt idx="53">
                  <c:v>53.526095493390599</c:v>
                </c:pt>
                <c:pt idx="54">
                  <c:v>53.525989365857598</c:v>
                </c:pt>
                <c:pt idx="55">
                  <c:v>53.8876844839331</c:v>
                </c:pt>
                <c:pt idx="56">
                  <c:v>53.904920843852501</c:v>
                </c:pt>
                <c:pt idx="57">
                  <c:v>54.007908250440401</c:v>
                </c:pt>
                <c:pt idx="58">
                  <c:v>54.015817873047297</c:v>
                </c:pt>
                <c:pt idx="59">
                  <c:v>54.216773478191598</c:v>
                </c:pt>
                <c:pt idx="60">
                  <c:v>54.223896508495102</c:v>
                </c:pt>
                <c:pt idx="61">
                  <c:v>54.237256092061699</c:v>
                </c:pt>
                <c:pt idx="62">
                  <c:v>54.236232273508001</c:v>
                </c:pt>
                <c:pt idx="63">
                  <c:v>53.927207625783701</c:v>
                </c:pt>
                <c:pt idx="64">
                  <c:v>53.9136233015589</c:v>
                </c:pt>
                <c:pt idx="65">
                  <c:v>53.615286320687801</c:v>
                </c:pt>
                <c:pt idx="66">
                  <c:v>53.606521435020802</c:v>
                </c:pt>
                <c:pt idx="67">
                  <c:v>53.814999609416297</c:v>
                </c:pt>
                <c:pt idx="68">
                  <c:v>53.828446592127797</c:v>
                </c:pt>
                <c:pt idx="69">
                  <c:v>53.988212228873699</c:v>
                </c:pt>
                <c:pt idx="70">
                  <c:v>53.993836988123</c:v>
                </c:pt>
                <c:pt idx="71">
                  <c:v>53.8437851420451</c:v>
                </c:pt>
                <c:pt idx="72">
                  <c:v>53.833802911146499</c:v>
                </c:pt>
                <c:pt idx="73">
                  <c:v>53.458329942168497</c:v>
                </c:pt>
                <c:pt idx="74">
                  <c:v>53.426897464010601</c:v>
                </c:pt>
                <c:pt idx="75">
                  <c:v>52.703188845260598</c:v>
                </c:pt>
                <c:pt idx="76">
                  <c:v>52.698194608413303</c:v>
                </c:pt>
                <c:pt idx="77">
                  <c:v>54.2461083768736</c:v>
                </c:pt>
                <c:pt idx="78">
                  <c:v>54.2684888007457</c:v>
                </c:pt>
                <c:pt idx="79">
                  <c:v>51.426399709649601</c:v>
                </c:pt>
                <c:pt idx="80">
                  <c:v>51.393587573562598</c:v>
                </c:pt>
                <c:pt idx="81">
                  <c:v>54.341598185394503</c:v>
                </c:pt>
                <c:pt idx="82">
                  <c:v>54.432786707430601</c:v>
                </c:pt>
                <c:pt idx="83">
                  <c:v>52.912734537782299</c:v>
                </c:pt>
                <c:pt idx="84">
                  <c:v>52.831565703421099</c:v>
                </c:pt>
                <c:pt idx="85">
                  <c:v>51.9423418327547</c:v>
                </c:pt>
                <c:pt idx="86">
                  <c:v>51.909498482687503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C5-4A26-B624-EEC11B1CFD7F}"/>
            </c:ext>
          </c:extLst>
        </c:ser>
        <c:ser>
          <c:idx val="2"/>
          <c:order val="2"/>
          <c:tx>
            <c:v>LateLife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'FL6 data'!$O$6:$O$568</c:f>
              <c:numCache>
                <c:formatCode>General</c:formatCode>
                <c:ptCount val="563"/>
                <c:pt idx="0">
                  <c:v>48.543058277668891</c:v>
                </c:pt>
                <c:pt idx="1">
                  <c:v>145.62917483300683</c:v>
                </c:pt>
                <c:pt idx="2">
                  <c:v>222.08611655533775</c:v>
                </c:pt>
                <c:pt idx="3">
                  <c:v>270.93500000000017</c:v>
                </c:pt>
                <c:pt idx="4">
                  <c:v>312.80499999999995</c:v>
                </c:pt>
                <c:pt idx="5">
                  <c:v>375.49</c:v>
                </c:pt>
                <c:pt idx="6">
                  <c:v>500.48999999999984</c:v>
                </c:pt>
                <c:pt idx="7">
                  <c:v>646.23999999999796</c:v>
                </c:pt>
                <c:pt idx="8">
                  <c:v>771.24000000000103</c:v>
                </c:pt>
                <c:pt idx="9">
                  <c:v>896.23999999999876</c:v>
                </c:pt>
                <c:pt idx="10">
                  <c:v>1021.2400000000017</c:v>
                </c:pt>
                <c:pt idx="11">
                  <c:v>1146.2399999999996</c:v>
                </c:pt>
                <c:pt idx="12">
                  <c:v>1271.2400000000025</c:v>
                </c:pt>
                <c:pt idx="13">
                  <c:v>1396.2400000000002</c:v>
                </c:pt>
                <c:pt idx="14">
                  <c:v>1521.2399999999982</c:v>
                </c:pt>
                <c:pt idx="15">
                  <c:v>1632.9899999999993</c:v>
                </c:pt>
                <c:pt idx="16">
                  <c:v>1731.4899999999993</c:v>
                </c:pt>
                <c:pt idx="17">
                  <c:v>1817.9974999999981</c:v>
                </c:pt>
                <c:pt idx="18">
                  <c:v>1892.5125000000014</c:v>
                </c:pt>
                <c:pt idx="19">
                  <c:v>1967.030000000002</c:v>
                </c:pt>
                <c:pt idx="20">
                  <c:v>2041.5500000000002</c:v>
                </c:pt>
                <c:pt idx="21">
                  <c:v>2116.0699999999983</c:v>
                </c:pt>
                <c:pt idx="22">
                  <c:v>2190.5900000000015</c:v>
                </c:pt>
                <c:pt idx="23">
                  <c:v>2265.12</c:v>
                </c:pt>
                <c:pt idx="24">
                  <c:v>2339.6599999999989</c:v>
                </c:pt>
                <c:pt idx="25">
                  <c:v>2414.1850000000022</c:v>
                </c:pt>
                <c:pt idx="26">
                  <c:v>2488.6950000000002</c:v>
                </c:pt>
                <c:pt idx="27">
                  <c:v>2563.2100000000032</c:v>
                </c:pt>
                <c:pt idx="28">
                  <c:v>2637.7300000000014</c:v>
                </c:pt>
                <c:pt idx="29">
                  <c:v>2712.2425000000017</c:v>
                </c:pt>
                <c:pt idx="30">
                  <c:v>2786.747499999999</c:v>
                </c:pt>
                <c:pt idx="31">
                  <c:v>2861.2525000000019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3160.5099999999979</c:v>
                </c:pt>
                <c:pt idx="35">
                  <c:v>3285.5100000000011</c:v>
                </c:pt>
                <c:pt idx="36">
                  <c:v>3410.5099999999989</c:v>
                </c:pt>
                <c:pt idx="37">
                  <c:v>3535.5100000000016</c:v>
                </c:pt>
                <c:pt idx="38">
                  <c:v>3660.5099999999993</c:v>
                </c:pt>
                <c:pt idx="39">
                  <c:v>3785.509999999997</c:v>
                </c:pt>
                <c:pt idx="40">
                  <c:v>3910.51</c:v>
                </c:pt>
                <c:pt idx="41">
                  <c:v>4010.2599999999979</c:v>
                </c:pt>
                <c:pt idx="42">
                  <c:v>4084.7600000000007</c:v>
                </c:pt>
                <c:pt idx="43">
                  <c:v>4184.5099999999984</c:v>
                </c:pt>
                <c:pt idx="44">
                  <c:v>4309.5099999999957</c:v>
                </c:pt>
                <c:pt idx="45">
                  <c:v>4409.2699999999995</c:v>
                </c:pt>
                <c:pt idx="46">
                  <c:v>4483.7899999999972</c:v>
                </c:pt>
                <c:pt idx="47">
                  <c:v>4570.2999999999993</c:v>
                </c:pt>
                <c:pt idx="48">
                  <c:v>4668.7999999999993</c:v>
                </c:pt>
                <c:pt idx="49">
                  <c:v>4755.3199999999952</c:v>
                </c:pt>
                <c:pt idx="50">
                  <c:v>4829.8599999999997</c:v>
                </c:pt>
                <c:pt idx="51">
                  <c:v>4904.3875000000007</c:v>
                </c:pt>
                <c:pt idx="52">
                  <c:v>4978.9024999999983</c:v>
                </c:pt>
                <c:pt idx="53">
                  <c:v>5053.4149999999991</c:v>
                </c:pt>
                <c:pt idx="54">
                  <c:v>5127.9249999999965</c:v>
                </c:pt>
                <c:pt idx="55">
                  <c:v>5202.4424999999974</c:v>
                </c:pt>
                <c:pt idx="56">
                  <c:v>5276.9675000000007</c:v>
                </c:pt>
                <c:pt idx="57">
                  <c:v>5351.4975000000095</c:v>
                </c:pt>
                <c:pt idx="58">
                  <c:v>5426.0325000000239</c:v>
                </c:pt>
                <c:pt idx="59">
                  <c:v>5500.5800000000254</c:v>
                </c:pt>
                <c:pt idx="60">
                  <c:v>5575.140000000014</c:v>
                </c:pt>
                <c:pt idx="61">
                  <c:v>5649.7025000000122</c:v>
                </c:pt>
                <c:pt idx="62">
                  <c:v>5724.2675000000163</c:v>
                </c:pt>
                <c:pt idx="63">
                  <c:v>5798.81250000001</c:v>
                </c:pt>
                <c:pt idx="64">
                  <c:v>5873.3374999999915</c:v>
                </c:pt>
                <c:pt idx="65">
                  <c:v>5947.8550000000032</c:v>
                </c:pt>
                <c:pt idx="66">
                  <c:v>6022.3649999999907</c:v>
                </c:pt>
                <c:pt idx="67">
                  <c:v>6096.8799999999937</c:v>
                </c:pt>
                <c:pt idx="68">
                  <c:v>6171.4000000000124</c:v>
                </c:pt>
                <c:pt idx="69">
                  <c:v>6245.9249999999947</c:v>
                </c:pt>
                <c:pt idx="70">
                  <c:v>6320.4549999999936</c:v>
                </c:pt>
                <c:pt idx="71">
                  <c:v>6394.9799999999759</c:v>
                </c:pt>
                <c:pt idx="72">
                  <c:v>6469.4999999999955</c:v>
                </c:pt>
                <c:pt idx="73">
                  <c:v>6544.0124999999898</c:v>
                </c:pt>
                <c:pt idx="74">
                  <c:v>6618.5175000000145</c:v>
                </c:pt>
                <c:pt idx="75">
                  <c:v>6718.2699999999941</c:v>
                </c:pt>
                <c:pt idx="76">
                  <c:v>6843.2699999999804</c:v>
                </c:pt>
                <c:pt idx="77">
                  <c:v>6943.0550000000112</c:v>
                </c:pt>
                <c:pt idx="78">
                  <c:v>7017.6249999999791</c:v>
                </c:pt>
                <c:pt idx="79">
                  <c:v>7117.4100000000089</c:v>
                </c:pt>
                <c:pt idx="80">
                  <c:v>7242.4099999999962</c:v>
                </c:pt>
                <c:pt idx="81">
                  <c:v>7342.2100000000228</c:v>
                </c:pt>
                <c:pt idx="82">
                  <c:v>7416.8099999999804</c:v>
                </c:pt>
                <c:pt idx="83">
                  <c:v>7503.3600000000051</c:v>
                </c:pt>
                <c:pt idx="84">
                  <c:v>7601.8599999999878</c:v>
                </c:pt>
                <c:pt idx="85">
                  <c:v>7713.6099999999742</c:v>
                </c:pt>
                <c:pt idx="86">
                  <c:v>7838.6100000000142</c:v>
                </c:pt>
              </c:numCache>
            </c:numRef>
          </c:xVal>
          <c:yVal>
            <c:numRef>
              <c:f>'FL6 data'!$R$6:$R$568</c:f>
              <c:numCache>
                <c:formatCode>General</c:formatCode>
                <c:ptCount val="563"/>
                <c:pt idx="0">
                  <c:v>51.267077311423797</c:v>
                </c:pt>
                <c:pt idx="1">
                  <c:v>51.2756299420248</c:v>
                </c:pt>
                <c:pt idx="2">
                  <c:v>51.287497497333298</c:v>
                </c:pt>
                <c:pt idx="3">
                  <c:v>52.253320475645602</c:v>
                </c:pt>
                <c:pt idx="4">
                  <c:v>52.395731139347099</c:v>
                </c:pt>
                <c:pt idx="5">
                  <c:v>51.5287628366316</c:v>
                </c:pt>
                <c:pt idx="6">
                  <c:v>51.533569789597102</c:v>
                </c:pt>
                <c:pt idx="7">
                  <c:v>51.955882457407</c:v>
                </c:pt>
                <c:pt idx="8">
                  <c:v>51.983975039673197</c:v>
                </c:pt>
                <c:pt idx="9">
                  <c:v>51.466859270908998</c:v>
                </c:pt>
                <c:pt idx="10">
                  <c:v>51.471503911177003</c:v>
                </c:pt>
                <c:pt idx="11">
                  <c:v>51.270542063236597</c:v>
                </c:pt>
                <c:pt idx="12">
                  <c:v>51.281454470748002</c:v>
                </c:pt>
                <c:pt idx="13">
                  <c:v>51.353589979211598</c:v>
                </c:pt>
                <c:pt idx="14">
                  <c:v>51.380315389140797</c:v>
                </c:pt>
                <c:pt idx="15">
                  <c:v>58.308870109805</c:v>
                </c:pt>
                <c:pt idx="16">
                  <c:v>59.5263901396305</c:v>
                </c:pt>
                <c:pt idx="17">
                  <c:v>62.219407503630002</c:v>
                </c:pt>
                <c:pt idx="18">
                  <c:v>62.246507481322801</c:v>
                </c:pt>
                <c:pt idx="19">
                  <c:v>62.326446484860298</c:v>
                </c:pt>
                <c:pt idx="20">
                  <c:v>62.329318171047497</c:v>
                </c:pt>
                <c:pt idx="21">
                  <c:v>62.321583346730201</c:v>
                </c:pt>
                <c:pt idx="22">
                  <c:v>62.3267711102554</c:v>
                </c:pt>
                <c:pt idx="23">
                  <c:v>62.468289054120397</c:v>
                </c:pt>
                <c:pt idx="24">
                  <c:v>62.4658543636574</c:v>
                </c:pt>
                <c:pt idx="25">
                  <c:v>62.101574728013397</c:v>
                </c:pt>
                <c:pt idx="26">
                  <c:v>62.1063629525908</c:v>
                </c:pt>
                <c:pt idx="27">
                  <c:v>62.328544064336199</c:v>
                </c:pt>
                <c:pt idx="28">
                  <c:v>62.321383577256299</c:v>
                </c:pt>
                <c:pt idx="29">
                  <c:v>61.784759070807198</c:v>
                </c:pt>
                <c:pt idx="30">
                  <c:v>61.788729489100803</c:v>
                </c:pt>
                <c:pt idx="31">
                  <c:v>61.988904744737702</c:v>
                </c:pt>
                <c:pt idx="32">
                  <c:v>61.934074266950098</c:v>
                </c:pt>
                <c:pt idx="33">
                  <c:v>60.069120100625497</c:v>
                </c:pt>
                <c:pt idx="34">
                  <c:v>58.669972162254901</c:v>
                </c:pt>
                <c:pt idx="35">
                  <c:v>52.915905878180403</c:v>
                </c:pt>
                <c:pt idx="36">
                  <c:v>52.832258653783697</c:v>
                </c:pt>
                <c:pt idx="37">
                  <c:v>52.345801256465997</c:v>
                </c:pt>
                <c:pt idx="38">
                  <c:v>52.337348510601899</c:v>
                </c:pt>
                <c:pt idx="39">
                  <c:v>51.830739367605098</c:v>
                </c:pt>
                <c:pt idx="40">
                  <c:v>51.8690701354084</c:v>
                </c:pt>
                <c:pt idx="41">
                  <c:v>61.462249983595001</c:v>
                </c:pt>
                <c:pt idx="42">
                  <c:v>61.050337814019699</c:v>
                </c:pt>
                <c:pt idx="43">
                  <c:v>52.191891362423497</c:v>
                </c:pt>
                <c:pt idx="44">
                  <c:v>52.251909603736202</c:v>
                </c:pt>
                <c:pt idx="45">
                  <c:v>62.420775133314201</c:v>
                </c:pt>
                <c:pt idx="46">
                  <c:v>62.449123670218803</c:v>
                </c:pt>
                <c:pt idx="47">
                  <c:v>61.205271526615903</c:v>
                </c:pt>
                <c:pt idx="48">
                  <c:v>61.285560126732697</c:v>
                </c:pt>
                <c:pt idx="49">
                  <c:v>62.586777323323197</c:v>
                </c:pt>
                <c:pt idx="50">
                  <c:v>62.5919588440523</c:v>
                </c:pt>
                <c:pt idx="51">
                  <c:v>62.423228552165398</c:v>
                </c:pt>
                <c:pt idx="52">
                  <c:v>62.416929570941697</c:v>
                </c:pt>
                <c:pt idx="53">
                  <c:v>62.269025246708203</c:v>
                </c:pt>
                <c:pt idx="54">
                  <c:v>62.275829894412702</c:v>
                </c:pt>
                <c:pt idx="55">
                  <c:v>62.538333225904204</c:v>
                </c:pt>
                <c:pt idx="56">
                  <c:v>62.542578327224398</c:v>
                </c:pt>
                <c:pt idx="57">
                  <c:v>62.5922709838553</c:v>
                </c:pt>
                <c:pt idx="58">
                  <c:v>62.5957045216878</c:v>
                </c:pt>
                <c:pt idx="59">
                  <c:v>62.6660608332745</c:v>
                </c:pt>
                <c:pt idx="60">
                  <c:v>62.669057375382899</c:v>
                </c:pt>
                <c:pt idx="61">
                  <c:v>62.675175315520903</c:v>
                </c:pt>
                <c:pt idx="62">
                  <c:v>62.677048154338699</c:v>
                </c:pt>
                <c:pt idx="63">
                  <c:v>62.561181859480698</c:v>
                </c:pt>
                <c:pt idx="64">
                  <c:v>62.559808444347702</c:v>
                </c:pt>
                <c:pt idx="65">
                  <c:v>62.353215594361998</c:v>
                </c:pt>
                <c:pt idx="66">
                  <c:v>62.359420933644799</c:v>
                </c:pt>
                <c:pt idx="67">
                  <c:v>62.518730846278402</c:v>
                </c:pt>
                <c:pt idx="68">
                  <c:v>62.526409485431202</c:v>
                </c:pt>
                <c:pt idx="69">
                  <c:v>62.615931180919503</c:v>
                </c:pt>
                <c:pt idx="70">
                  <c:v>62.619115006909702</c:v>
                </c:pt>
                <c:pt idx="71">
                  <c:v>62.540767916367301</c:v>
                </c:pt>
                <c:pt idx="72">
                  <c:v>62.536148247283499</c:v>
                </c:pt>
                <c:pt idx="73">
                  <c:v>62.204893002792403</c:v>
                </c:pt>
                <c:pt idx="74">
                  <c:v>62.060453430371702</c:v>
                </c:pt>
                <c:pt idx="75">
                  <c:v>57.786978602055498</c:v>
                </c:pt>
                <c:pt idx="76">
                  <c:v>58.579501561765603</c:v>
                </c:pt>
                <c:pt idx="77">
                  <c:v>62.748216029413101</c:v>
                </c:pt>
                <c:pt idx="78">
                  <c:v>62.653075817471503</c:v>
                </c:pt>
                <c:pt idx="79">
                  <c:v>51.873240323175899</c:v>
                </c:pt>
                <c:pt idx="80">
                  <c:v>51.929918668596997</c:v>
                </c:pt>
                <c:pt idx="81">
                  <c:v>62.750463435994398</c:v>
                </c:pt>
                <c:pt idx="82">
                  <c:v>62.760701621531403</c:v>
                </c:pt>
                <c:pt idx="83">
                  <c:v>60.067815356249099</c:v>
                </c:pt>
                <c:pt idx="84">
                  <c:v>58.465970072633802</c:v>
                </c:pt>
                <c:pt idx="85">
                  <c:v>52.452278386050999</c:v>
                </c:pt>
                <c:pt idx="86">
                  <c:v>52.432388837806499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C5-4A26-B624-EEC11B1CF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243784"/>
        <c:axId val="873245584"/>
      </c:scatterChart>
      <c:valAx>
        <c:axId val="873243784"/>
        <c:scaling>
          <c:orientation val="minMax"/>
          <c:max val="17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 from DC1 for FL5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5584"/>
        <c:crosses val="autoZero"/>
        <c:crossBetween val="midCat"/>
      </c:valAx>
      <c:valAx>
        <c:axId val="87324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Density at SS (lb/ft</a:t>
                </a:r>
                <a:r>
                  <a:rPr lang="en-US" baseline="30000"/>
                  <a:t>3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378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EarlyLife</c:v>
          </c:tx>
          <c:spPr>
            <a:ln w="19050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xVal>
            <c:numRef>
              <c:f>'FL6 data'!$U$6:$U$568</c:f>
              <c:numCache>
                <c:formatCode>General</c:formatCode>
                <c:ptCount val="563"/>
                <c:pt idx="0">
                  <c:v>48.543058277668941</c:v>
                </c:pt>
                <c:pt idx="1">
                  <c:v>145.62917483300683</c:v>
                </c:pt>
                <c:pt idx="2">
                  <c:v>222.08611655533801</c:v>
                </c:pt>
                <c:pt idx="3">
                  <c:v>270.93500000000023</c:v>
                </c:pt>
                <c:pt idx="4">
                  <c:v>312.80500000000023</c:v>
                </c:pt>
                <c:pt idx="5">
                  <c:v>375.49000000000029</c:v>
                </c:pt>
                <c:pt idx="6">
                  <c:v>500.49000000000024</c:v>
                </c:pt>
                <c:pt idx="7">
                  <c:v>646.24000000000035</c:v>
                </c:pt>
                <c:pt idx="8">
                  <c:v>771.24000000000024</c:v>
                </c:pt>
                <c:pt idx="9">
                  <c:v>896.24000000000024</c:v>
                </c:pt>
                <c:pt idx="10">
                  <c:v>1021.2400000000004</c:v>
                </c:pt>
                <c:pt idx="11">
                  <c:v>1146.2400000000005</c:v>
                </c:pt>
                <c:pt idx="12">
                  <c:v>1271.2400000000005</c:v>
                </c:pt>
                <c:pt idx="13">
                  <c:v>1396.2400000000005</c:v>
                </c:pt>
                <c:pt idx="14">
                  <c:v>1521.2400000000007</c:v>
                </c:pt>
                <c:pt idx="15">
                  <c:v>1632.9900000000007</c:v>
                </c:pt>
                <c:pt idx="16">
                  <c:v>1731.4900000000007</c:v>
                </c:pt>
                <c:pt idx="17">
                  <c:v>1817.9974999999999</c:v>
                </c:pt>
                <c:pt idx="18">
                  <c:v>1892.5124999999975</c:v>
                </c:pt>
                <c:pt idx="19">
                  <c:v>1967.029999999997</c:v>
                </c:pt>
                <c:pt idx="20">
                  <c:v>2041.549999999997</c:v>
                </c:pt>
                <c:pt idx="21">
                  <c:v>2116.069999999997</c:v>
                </c:pt>
                <c:pt idx="22">
                  <c:v>2190.5899999999974</c:v>
                </c:pt>
                <c:pt idx="23">
                  <c:v>2265.1199999999972</c:v>
                </c:pt>
                <c:pt idx="24">
                  <c:v>2339.6599999999971</c:v>
                </c:pt>
                <c:pt idx="25">
                  <c:v>2414.1849999999972</c:v>
                </c:pt>
                <c:pt idx="26">
                  <c:v>2488.694999999997</c:v>
                </c:pt>
                <c:pt idx="27">
                  <c:v>2563.2099999999973</c:v>
                </c:pt>
                <c:pt idx="28">
                  <c:v>2637.7299999999973</c:v>
                </c:pt>
                <c:pt idx="29">
                  <c:v>2712.242499999998</c:v>
                </c:pt>
                <c:pt idx="30">
                  <c:v>2786.7474999999986</c:v>
                </c:pt>
                <c:pt idx="31">
                  <c:v>2861.2524999999978</c:v>
                </c:pt>
                <c:pt idx="32">
                  <c:v>2935.7574999999956</c:v>
                </c:pt>
                <c:pt idx="33">
                  <c:v>3035.5099999999939</c:v>
                </c:pt>
                <c:pt idx="34">
                  <c:v>3160.5099999999943</c:v>
                </c:pt>
                <c:pt idx="35">
                  <c:v>3285.5099999999939</c:v>
                </c:pt>
                <c:pt idx="36">
                  <c:v>3410.5099999999943</c:v>
                </c:pt>
                <c:pt idx="37">
                  <c:v>3535.5099999999939</c:v>
                </c:pt>
                <c:pt idx="38">
                  <c:v>3660.5099999999939</c:v>
                </c:pt>
                <c:pt idx="39">
                  <c:v>3785.5099999999934</c:v>
                </c:pt>
                <c:pt idx="40">
                  <c:v>3910.5099999999929</c:v>
                </c:pt>
                <c:pt idx="41">
                  <c:v>4010.2599999999925</c:v>
                </c:pt>
                <c:pt idx="42">
                  <c:v>4084.7599999999929</c:v>
                </c:pt>
                <c:pt idx="43">
                  <c:v>4184.5099999999929</c:v>
                </c:pt>
                <c:pt idx="44">
                  <c:v>4309.509999999992</c:v>
                </c:pt>
                <c:pt idx="45">
                  <c:v>4409.2699999999913</c:v>
                </c:pt>
                <c:pt idx="46">
                  <c:v>4483.7899999999927</c:v>
                </c:pt>
                <c:pt idx="47">
                  <c:v>4570.299999999992</c:v>
                </c:pt>
                <c:pt idx="48">
                  <c:v>4668.799999999992</c:v>
                </c:pt>
                <c:pt idx="49">
                  <c:v>4755.3199999999915</c:v>
                </c:pt>
                <c:pt idx="50">
                  <c:v>4829.8599999999924</c:v>
                </c:pt>
                <c:pt idx="51">
                  <c:v>4904.3874999999953</c:v>
                </c:pt>
                <c:pt idx="52">
                  <c:v>4978.9025000000011</c:v>
                </c:pt>
                <c:pt idx="53">
                  <c:v>5053.4150000000036</c:v>
                </c:pt>
                <c:pt idx="54">
                  <c:v>5127.9250000000029</c:v>
                </c:pt>
                <c:pt idx="55">
                  <c:v>5202.4425000000074</c:v>
                </c:pt>
                <c:pt idx="56">
                  <c:v>5276.967500000017</c:v>
                </c:pt>
                <c:pt idx="57">
                  <c:v>5351.4975000000195</c:v>
                </c:pt>
                <c:pt idx="58">
                  <c:v>5426.0325000000148</c:v>
                </c:pt>
                <c:pt idx="59">
                  <c:v>5500.5800000000127</c:v>
                </c:pt>
                <c:pt idx="60">
                  <c:v>5575.1400000000122</c:v>
                </c:pt>
                <c:pt idx="61">
                  <c:v>5649.7025000000085</c:v>
                </c:pt>
                <c:pt idx="62">
                  <c:v>5724.2674999999981</c:v>
                </c:pt>
                <c:pt idx="63">
                  <c:v>5798.8124999999991</c:v>
                </c:pt>
                <c:pt idx="64">
                  <c:v>5873.3375000000096</c:v>
                </c:pt>
                <c:pt idx="65">
                  <c:v>5947.8550000000141</c:v>
                </c:pt>
                <c:pt idx="66">
                  <c:v>6022.3650000000134</c:v>
                </c:pt>
                <c:pt idx="67">
                  <c:v>6096.8800000000138</c:v>
                </c:pt>
                <c:pt idx="68">
                  <c:v>6171.4000000000142</c:v>
                </c:pt>
                <c:pt idx="69">
                  <c:v>6245.9250000000147</c:v>
                </c:pt>
                <c:pt idx="70">
                  <c:v>6320.4550000000136</c:v>
                </c:pt>
                <c:pt idx="71">
                  <c:v>6394.9800000000141</c:v>
                </c:pt>
                <c:pt idx="72">
                  <c:v>6469.5000000000146</c:v>
                </c:pt>
                <c:pt idx="73">
                  <c:v>6544.0125000000135</c:v>
                </c:pt>
                <c:pt idx="74">
                  <c:v>6618.5175000000127</c:v>
                </c:pt>
                <c:pt idx="75">
                  <c:v>6718.2700000000114</c:v>
                </c:pt>
                <c:pt idx="76">
                  <c:v>6843.2700000000104</c:v>
                </c:pt>
                <c:pt idx="77">
                  <c:v>6943.0550000000103</c:v>
                </c:pt>
                <c:pt idx="78">
                  <c:v>7017.6250000000118</c:v>
                </c:pt>
                <c:pt idx="79">
                  <c:v>7117.4100000000117</c:v>
                </c:pt>
                <c:pt idx="80">
                  <c:v>7242.4100000000099</c:v>
                </c:pt>
                <c:pt idx="81">
                  <c:v>7342.21000000001</c:v>
                </c:pt>
                <c:pt idx="82">
                  <c:v>7416.8100000000104</c:v>
                </c:pt>
                <c:pt idx="83">
                  <c:v>7503.3600000000115</c:v>
                </c:pt>
                <c:pt idx="84">
                  <c:v>7601.8600000000106</c:v>
                </c:pt>
                <c:pt idx="85">
                  <c:v>7713.6100000000124</c:v>
                </c:pt>
                <c:pt idx="86">
                  <c:v>7838.6100000000106</c:v>
                </c:pt>
              </c:numCache>
            </c:numRef>
          </c:xVal>
          <c:yVal>
            <c:numRef>
              <c:f>'FL6 data'!$V$6:$V$568</c:f>
              <c:numCache>
                <c:formatCode>General</c:formatCode>
                <c:ptCount val="563"/>
                <c:pt idx="0">
                  <c:v>160.35645072114781</c:v>
                </c:pt>
                <c:pt idx="1">
                  <c:v>160.25953872192315</c:v>
                </c:pt>
                <c:pt idx="2">
                  <c:v>160.20175872238536</c:v>
                </c:pt>
                <c:pt idx="3">
                  <c:v>160.15713672274237</c:v>
                </c:pt>
                <c:pt idx="4">
                  <c:v>160.13346672293173</c:v>
                </c:pt>
                <c:pt idx="5">
                  <c:v>160.01268672389793</c:v>
                </c:pt>
                <c:pt idx="6">
                  <c:v>159.83257872533883</c:v>
                </c:pt>
                <c:pt idx="7">
                  <c:v>159.69644472642787</c:v>
                </c:pt>
                <c:pt idx="8">
                  <c:v>159.56182272750488</c:v>
                </c:pt>
                <c:pt idx="9">
                  <c:v>159.41771472865776</c:v>
                </c:pt>
                <c:pt idx="10">
                  <c:v>159.28662072970647</c:v>
                </c:pt>
                <c:pt idx="11">
                  <c:v>159.14550073083547</c:v>
                </c:pt>
                <c:pt idx="12">
                  <c:v>159.01437073188447</c:v>
                </c:pt>
                <c:pt idx="13">
                  <c:v>158.88172873294562</c:v>
                </c:pt>
                <c:pt idx="14">
                  <c:v>158.98661473210652</c:v>
                </c:pt>
                <c:pt idx="15">
                  <c:v>158.83298473333559</c:v>
                </c:pt>
                <c:pt idx="16">
                  <c:v>158.54165473566621</c:v>
                </c:pt>
                <c:pt idx="17">
                  <c:v>158.44798273641558</c:v>
                </c:pt>
                <c:pt idx="18">
                  <c:v>158.36404873708705</c:v>
                </c:pt>
                <c:pt idx="19">
                  <c:v>158.2799707377597</c:v>
                </c:pt>
                <c:pt idx="20">
                  <c:v>158.19618073843003</c:v>
                </c:pt>
                <c:pt idx="21">
                  <c:v>158.11262473909846</c:v>
                </c:pt>
                <c:pt idx="22">
                  <c:v>158.02887073976851</c:v>
                </c:pt>
                <c:pt idx="23">
                  <c:v>157.94439674044429</c:v>
                </c:pt>
                <c:pt idx="24">
                  <c:v>157.8605167411153</c:v>
                </c:pt>
                <c:pt idx="25">
                  <c:v>157.77825674177342</c:v>
                </c:pt>
                <c:pt idx="26">
                  <c:v>157.69507874243885</c:v>
                </c:pt>
                <c:pt idx="27">
                  <c:v>157.61071274311374</c:v>
                </c:pt>
                <c:pt idx="28">
                  <c:v>157.52704874378304</c:v>
                </c:pt>
                <c:pt idx="29">
                  <c:v>157.44471674444171</c:v>
                </c:pt>
                <c:pt idx="30">
                  <c:v>157.36173674510556</c:v>
                </c:pt>
                <c:pt idx="31">
                  <c:v>157.27758674577876</c:v>
                </c:pt>
                <c:pt idx="32">
                  <c:v>157.18895474648781</c:v>
                </c:pt>
                <c:pt idx="33">
                  <c:v>157.07110874743057</c:v>
                </c:pt>
                <c:pt idx="34">
                  <c:v>156.91886474864856</c:v>
                </c:pt>
                <c:pt idx="35">
                  <c:v>156.78294674973588</c:v>
                </c:pt>
                <c:pt idx="36">
                  <c:v>156.6572707507413</c:v>
                </c:pt>
                <c:pt idx="37">
                  <c:v>156.50956275192294</c:v>
                </c:pt>
                <c:pt idx="38">
                  <c:v>156.40399275276749</c:v>
                </c:pt>
                <c:pt idx="39">
                  <c:v>156.23923875408553</c:v>
                </c:pt>
                <c:pt idx="40">
                  <c:v>156.16921875464573</c:v>
                </c:pt>
                <c:pt idx="41">
                  <c:v>156.08361075533057</c:v>
                </c:pt>
                <c:pt idx="42">
                  <c:v>155.93406675652693</c:v>
                </c:pt>
                <c:pt idx="43">
                  <c:v>155.80857075753087</c:v>
                </c:pt>
                <c:pt idx="44">
                  <c:v>155.75680275794505</c:v>
                </c:pt>
                <c:pt idx="45">
                  <c:v>155.66485875868059</c:v>
                </c:pt>
                <c:pt idx="46">
                  <c:v>155.52165075982629</c:v>
                </c:pt>
                <c:pt idx="47">
                  <c:v>155.66433675868475</c:v>
                </c:pt>
                <c:pt idx="48">
                  <c:v>155.3042107615658</c:v>
                </c:pt>
                <c:pt idx="49">
                  <c:v>155.21916076224616</c:v>
                </c:pt>
                <c:pt idx="50">
                  <c:v>155.13666676290612</c:v>
                </c:pt>
                <c:pt idx="51">
                  <c:v>155.05604476355109</c:v>
                </c:pt>
                <c:pt idx="52">
                  <c:v>154.97490076420027</c:v>
                </c:pt>
                <c:pt idx="53">
                  <c:v>154.89406276484695</c:v>
                </c:pt>
                <c:pt idx="54">
                  <c:v>154.81290076549627</c:v>
                </c:pt>
                <c:pt idx="55">
                  <c:v>154.7298307661608</c:v>
                </c:pt>
                <c:pt idx="56">
                  <c:v>154.64811076681457</c:v>
                </c:pt>
                <c:pt idx="57">
                  <c:v>154.56617476747007</c:v>
                </c:pt>
                <c:pt idx="58">
                  <c:v>154.48425676812542</c:v>
                </c:pt>
                <c:pt idx="59">
                  <c:v>154.40161876878653</c:v>
                </c:pt>
                <c:pt idx="60">
                  <c:v>154.3192867694452</c:v>
                </c:pt>
                <c:pt idx="61">
                  <c:v>154.23706277010297</c:v>
                </c:pt>
                <c:pt idx="62">
                  <c:v>154.15492877076002</c:v>
                </c:pt>
                <c:pt idx="63">
                  <c:v>154.0737307714096</c:v>
                </c:pt>
                <c:pt idx="64">
                  <c:v>153.99258677205879</c:v>
                </c:pt>
                <c:pt idx="65">
                  <c:v>153.91191077270418</c:v>
                </c:pt>
                <c:pt idx="66">
                  <c:v>153.83109077335075</c:v>
                </c:pt>
                <c:pt idx="67">
                  <c:v>153.7494067740042</c:v>
                </c:pt>
                <c:pt idx="68">
                  <c:v>153.66810077465468</c:v>
                </c:pt>
                <c:pt idx="69">
                  <c:v>153.58666877530612</c:v>
                </c:pt>
                <c:pt idx="70">
                  <c:v>153.50534477595673</c:v>
                </c:pt>
                <c:pt idx="71">
                  <c:v>153.42447077660367</c:v>
                </c:pt>
                <c:pt idx="72">
                  <c:v>153.34336277725259</c:v>
                </c:pt>
                <c:pt idx="73">
                  <c:v>153.26218277790198</c:v>
                </c:pt>
                <c:pt idx="74">
                  <c:v>153.17563877859433</c:v>
                </c:pt>
                <c:pt idx="75">
                  <c:v>153.09242477926009</c:v>
                </c:pt>
                <c:pt idx="76">
                  <c:v>152.9308567805526</c:v>
                </c:pt>
                <c:pt idx="77">
                  <c:v>152.8341067813266</c:v>
                </c:pt>
                <c:pt idx="78">
                  <c:v>152.74372878204963</c:v>
                </c:pt>
                <c:pt idx="79">
                  <c:v>152.62503678299916</c:v>
                </c:pt>
                <c:pt idx="80">
                  <c:v>152.54563878363436</c:v>
                </c:pt>
                <c:pt idx="81">
                  <c:v>152.4578347843368</c:v>
                </c:pt>
                <c:pt idx="82">
                  <c:v>152.32994478535988</c:v>
                </c:pt>
                <c:pt idx="83">
                  <c:v>152.23893678608798</c:v>
                </c:pt>
                <c:pt idx="84">
                  <c:v>152.12069478703393</c:v>
                </c:pt>
                <c:pt idx="85">
                  <c:v>151.99363278805041</c:v>
                </c:pt>
                <c:pt idx="86">
                  <c:v>151.86972078904171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F7-47D8-99BE-9BA0DD8D23EC}"/>
            </c:ext>
          </c:extLst>
        </c:ser>
        <c:ser>
          <c:idx val="1"/>
          <c:order val="1"/>
          <c:tx>
            <c:v>MidLife</c:v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'FL6 data'!$Z$6:$Z$568</c:f>
              <c:numCache>
                <c:formatCode>General</c:formatCode>
                <c:ptCount val="563"/>
                <c:pt idx="0">
                  <c:v>48.543058277668898</c:v>
                </c:pt>
                <c:pt idx="1">
                  <c:v>145.629174833007</c:v>
                </c:pt>
                <c:pt idx="2">
                  <c:v>222.08611655533801</c:v>
                </c:pt>
                <c:pt idx="3">
                  <c:v>270.935</c:v>
                </c:pt>
                <c:pt idx="4">
                  <c:v>312.80500000000001</c:v>
                </c:pt>
                <c:pt idx="5">
                  <c:v>375.49</c:v>
                </c:pt>
                <c:pt idx="6">
                  <c:v>500.49</c:v>
                </c:pt>
                <c:pt idx="7">
                  <c:v>646.24</c:v>
                </c:pt>
                <c:pt idx="8">
                  <c:v>771.24</c:v>
                </c:pt>
                <c:pt idx="9">
                  <c:v>896.24</c:v>
                </c:pt>
                <c:pt idx="10">
                  <c:v>1021.24</c:v>
                </c:pt>
                <c:pt idx="11">
                  <c:v>1146.24</c:v>
                </c:pt>
                <c:pt idx="12">
                  <c:v>1271.24</c:v>
                </c:pt>
                <c:pt idx="13">
                  <c:v>1396.24</c:v>
                </c:pt>
                <c:pt idx="14">
                  <c:v>1521.24</c:v>
                </c:pt>
                <c:pt idx="15">
                  <c:v>1632.99</c:v>
                </c:pt>
                <c:pt idx="16">
                  <c:v>1731.49</c:v>
                </c:pt>
                <c:pt idx="17">
                  <c:v>1817.9974999999999</c:v>
                </c:pt>
                <c:pt idx="18">
                  <c:v>1892.5125</c:v>
                </c:pt>
                <c:pt idx="19">
                  <c:v>1967.03</c:v>
                </c:pt>
                <c:pt idx="20">
                  <c:v>2041.55</c:v>
                </c:pt>
                <c:pt idx="21">
                  <c:v>2116.0700000000002</c:v>
                </c:pt>
                <c:pt idx="22">
                  <c:v>2190.59</c:v>
                </c:pt>
                <c:pt idx="23">
                  <c:v>2265.12</c:v>
                </c:pt>
                <c:pt idx="24">
                  <c:v>2339.66</c:v>
                </c:pt>
                <c:pt idx="25">
                  <c:v>2414.1849999999999</c:v>
                </c:pt>
                <c:pt idx="26">
                  <c:v>2488.6950000000002</c:v>
                </c:pt>
                <c:pt idx="27">
                  <c:v>2563.21</c:v>
                </c:pt>
                <c:pt idx="28">
                  <c:v>2637.73</c:v>
                </c:pt>
                <c:pt idx="29">
                  <c:v>2712.2424999999998</c:v>
                </c:pt>
                <c:pt idx="30">
                  <c:v>2786.7474999999999</c:v>
                </c:pt>
                <c:pt idx="31">
                  <c:v>2861.2525000000001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3160.51</c:v>
                </c:pt>
                <c:pt idx="35">
                  <c:v>3285.51</c:v>
                </c:pt>
                <c:pt idx="36">
                  <c:v>3410.51</c:v>
                </c:pt>
                <c:pt idx="37">
                  <c:v>3535.51</c:v>
                </c:pt>
                <c:pt idx="38">
                  <c:v>3660.51</c:v>
                </c:pt>
                <c:pt idx="39">
                  <c:v>3785.51</c:v>
                </c:pt>
                <c:pt idx="40">
                  <c:v>3910.51</c:v>
                </c:pt>
                <c:pt idx="41">
                  <c:v>4010.26</c:v>
                </c:pt>
                <c:pt idx="42">
                  <c:v>4084.76</c:v>
                </c:pt>
                <c:pt idx="43">
                  <c:v>4184.51</c:v>
                </c:pt>
                <c:pt idx="44">
                  <c:v>4309.51</c:v>
                </c:pt>
                <c:pt idx="45">
                  <c:v>4409.2700000000004</c:v>
                </c:pt>
                <c:pt idx="46">
                  <c:v>4483.79</c:v>
                </c:pt>
                <c:pt idx="47">
                  <c:v>4570.3</c:v>
                </c:pt>
                <c:pt idx="48">
                  <c:v>4668.8</c:v>
                </c:pt>
                <c:pt idx="49">
                  <c:v>4755.32</c:v>
                </c:pt>
                <c:pt idx="50">
                  <c:v>4829.8599999999997</c:v>
                </c:pt>
                <c:pt idx="51">
                  <c:v>4904.3874999999998</c:v>
                </c:pt>
                <c:pt idx="52">
                  <c:v>4978.9025000000001</c:v>
                </c:pt>
                <c:pt idx="53">
                  <c:v>5053.415</c:v>
                </c:pt>
                <c:pt idx="54">
                  <c:v>5127.9250000000002</c:v>
                </c:pt>
                <c:pt idx="55">
                  <c:v>5202.4425000000001</c:v>
                </c:pt>
                <c:pt idx="56">
                  <c:v>5276.9674999999997</c:v>
                </c:pt>
                <c:pt idx="57">
                  <c:v>5351.4975000000004</c:v>
                </c:pt>
                <c:pt idx="58">
                  <c:v>5426.0325000000003</c:v>
                </c:pt>
                <c:pt idx="59">
                  <c:v>5500.58</c:v>
                </c:pt>
                <c:pt idx="60">
                  <c:v>5575.14</c:v>
                </c:pt>
                <c:pt idx="61">
                  <c:v>5649.7025000000003</c:v>
                </c:pt>
                <c:pt idx="62">
                  <c:v>5724.2674999999999</c:v>
                </c:pt>
                <c:pt idx="63">
                  <c:v>5798.8125</c:v>
                </c:pt>
                <c:pt idx="64">
                  <c:v>5873.3374999999996</c:v>
                </c:pt>
                <c:pt idx="65">
                  <c:v>5947.8549999999996</c:v>
                </c:pt>
                <c:pt idx="66">
                  <c:v>6022.3649999999998</c:v>
                </c:pt>
                <c:pt idx="67">
                  <c:v>6096.88</c:v>
                </c:pt>
                <c:pt idx="68">
                  <c:v>6171.4</c:v>
                </c:pt>
                <c:pt idx="69">
                  <c:v>6245.9250000000002</c:v>
                </c:pt>
                <c:pt idx="70">
                  <c:v>6320.4549999999999</c:v>
                </c:pt>
                <c:pt idx="71">
                  <c:v>6394.98</c:v>
                </c:pt>
                <c:pt idx="72">
                  <c:v>6469.5</c:v>
                </c:pt>
                <c:pt idx="73">
                  <c:v>6544.0124999999998</c:v>
                </c:pt>
                <c:pt idx="74">
                  <c:v>6618.5174999999999</c:v>
                </c:pt>
                <c:pt idx="75">
                  <c:v>6718.27</c:v>
                </c:pt>
                <c:pt idx="76">
                  <c:v>6843.27</c:v>
                </c:pt>
                <c:pt idx="77">
                  <c:v>6943.0550000000003</c:v>
                </c:pt>
                <c:pt idx="78">
                  <c:v>7017.625</c:v>
                </c:pt>
                <c:pt idx="79">
                  <c:v>7117.41</c:v>
                </c:pt>
                <c:pt idx="80">
                  <c:v>7242.41</c:v>
                </c:pt>
                <c:pt idx="81">
                  <c:v>7342.21</c:v>
                </c:pt>
                <c:pt idx="82">
                  <c:v>7416.81</c:v>
                </c:pt>
                <c:pt idx="83">
                  <c:v>7503.36</c:v>
                </c:pt>
                <c:pt idx="84">
                  <c:v>7601.86</c:v>
                </c:pt>
                <c:pt idx="85">
                  <c:v>7713.61</c:v>
                </c:pt>
                <c:pt idx="86">
                  <c:v>7838.61</c:v>
                </c:pt>
              </c:numCache>
            </c:numRef>
          </c:xVal>
          <c:yVal>
            <c:numRef>
              <c:f>'FL6 data'!$AA$6:$AA$568</c:f>
              <c:numCache>
                <c:formatCode>General</c:formatCode>
                <c:ptCount val="563"/>
                <c:pt idx="0">
                  <c:v>112.471483104228</c:v>
                </c:pt>
                <c:pt idx="1">
                  <c:v>111.647533110819</c:v>
                </c:pt>
                <c:pt idx="2">
                  <c:v>111.27622911379</c:v>
                </c:pt>
                <c:pt idx="3">
                  <c:v>111.065701115474</c:v>
                </c:pt>
                <c:pt idx="4">
                  <c:v>111.145945114832</c:v>
                </c:pt>
                <c:pt idx="5">
                  <c:v>110.51603511987101</c:v>
                </c:pt>
                <c:pt idx="6">
                  <c:v>110.136685122906</c:v>
                </c:pt>
                <c:pt idx="7">
                  <c:v>109.915969124672</c:v>
                </c:pt>
                <c:pt idx="8">
                  <c:v>109.705891126352</c:v>
                </c:pt>
                <c:pt idx="9">
                  <c:v>109.484671128122</c:v>
                </c:pt>
                <c:pt idx="10">
                  <c:v>109.296013129632</c:v>
                </c:pt>
                <c:pt idx="11">
                  <c:v>109.088401131292</c:v>
                </c:pt>
                <c:pt idx="12">
                  <c:v>108.90499913276</c:v>
                </c:pt>
                <c:pt idx="13">
                  <c:v>108.89004113287901</c:v>
                </c:pt>
                <c:pt idx="14">
                  <c:v>112.518391103852</c:v>
                </c:pt>
                <c:pt idx="15">
                  <c:v>112.487755104098</c:v>
                </c:pt>
                <c:pt idx="16">
                  <c:v>112.216495106268</c:v>
                </c:pt>
                <c:pt idx="17">
                  <c:v>112.130113106959</c:v>
                </c:pt>
                <c:pt idx="18">
                  <c:v>111.92505710859901</c:v>
                </c:pt>
                <c:pt idx="19">
                  <c:v>111.06224511550199</c:v>
                </c:pt>
                <c:pt idx="20">
                  <c:v>107.74954314200301</c:v>
                </c:pt>
                <c:pt idx="21">
                  <c:v>107.610619143115</c:v>
                </c:pt>
                <c:pt idx="22">
                  <c:v>107.49824514401401</c:v>
                </c:pt>
                <c:pt idx="23">
                  <c:v>107.387563144899</c:v>
                </c:pt>
                <c:pt idx="24">
                  <c:v>107.270023145839</c:v>
                </c:pt>
                <c:pt idx="25">
                  <c:v>107.152285146781</c:v>
                </c:pt>
                <c:pt idx="26">
                  <c:v>107.05130514758901</c:v>
                </c:pt>
                <c:pt idx="27">
                  <c:v>106.94497914844</c:v>
                </c:pt>
                <c:pt idx="28">
                  <c:v>106.825909149392</c:v>
                </c:pt>
                <c:pt idx="29">
                  <c:v>106.70489515036</c:v>
                </c:pt>
                <c:pt idx="30">
                  <c:v>106.602223151182</c:v>
                </c:pt>
                <c:pt idx="31">
                  <c:v>106.48959715208299</c:v>
                </c:pt>
                <c:pt idx="32">
                  <c:v>106.358935153128</c:v>
                </c:pt>
                <c:pt idx="33">
                  <c:v>106.21365715429</c:v>
                </c:pt>
                <c:pt idx="34">
                  <c:v>105.995731156034</c:v>
                </c:pt>
                <c:pt idx="35">
                  <c:v>105.79139515766801</c:v>
                </c:pt>
                <c:pt idx="36">
                  <c:v>105.696355158429</c:v>
                </c:pt>
                <c:pt idx="37">
                  <c:v>105.435751160514</c:v>
                </c:pt>
                <c:pt idx="38">
                  <c:v>105.586753159306</c:v>
                </c:pt>
                <c:pt idx="39">
                  <c:v>105.110707163114</c:v>
                </c:pt>
                <c:pt idx="40">
                  <c:v>106.975867148193</c:v>
                </c:pt>
                <c:pt idx="41">
                  <c:v>108.01444913988399</c:v>
                </c:pt>
                <c:pt idx="42">
                  <c:v>104.68219916654201</c:v>
                </c:pt>
                <c:pt idx="43">
                  <c:v>104.77241516581999</c:v>
                </c:pt>
                <c:pt idx="44">
                  <c:v>107.554657143562</c:v>
                </c:pt>
                <c:pt idx="45">
                  <c:v>108.028255139774</c:v>
                </c:pt>
                <c:pt idx="46">
                  <c:v>107.79864714161</c:v>
                </c:pt>
                <c:pt idx="47">
                  <c:v>107.55591714355199</c:v>
                </c:pt>
                <c:pt idx="48">
                  <c:v>107.383999144928</c:v>
                </c:pt>
                <c:pt idx="49">
                  <c:v>107.248819146009</c:v>
                </c:pt>
                <c:pt idx="50">
                  <c:v>107.02614114779</c:v>
                </c:pt>
                <c:pt idx="51">
                  <c:v>105.90655915674699</c:v>
                </c:pt>
                <c:pt idx="52">
                  <c:v>103.95422517236599</c:v>
                </c:pt>
                <c:pt idx="53">
                  <c:v>103.2249911782</c:v>
                </c:pt>
                <c:pt idx="54">
                  <c:v>103.12872717897</c:v>
                </c:pt>
                <c:pt idx="55">
                  <c:v>103.024543179803</c:v>
                </c:pt>
                <c:pt idx="56">
                  <c:v>102.91504918067901</c:v>
                </c:pt>
                <c:pt idx="57">
                  <c:v>102.80978518152099</c:v>
                </c:pt>
                <c:pt idx="58">
                  <c:v>102.70493518236</c:v>
                </c:pt>
                <c:pt idx="59">
                  <c:v>102.601579183187</c:v>
                </c:pt>
                <c:pt idx="60">
                  <c:v>102.49575718403401</c:v>
                </c:pt>
                <c:pt idx="61">
                  <c:v>102.39211318486301</c:v>
                </c:pt>
                <c:pt idx="62">
                  <c:v>102.28875718569</c:v>
                </c:pt>
                <c:pt idx="63">
                  <c:v>102.18585118651301</c:v>
                </c:pt>
                <c:pt idx="64">
                  <c:v>102.089461187284</c:v>
                </c:pt>
                <c:pt idx="65">
                  <c:v>101.989849188081</c:v>
                </c:pt>
                <c:pt idx="66">
                  <c:v>101.896627188827</c:v>
                </c:pt>
                <c:pt idx="67">
                  <c:v>101.80002118959899</c:v>
                </c:pt>
                <c:pt idx="68">
                  <c:v>101.69617919043</c:v>
                </c:pt>
                <c:pt idx="69">
                  <c:v>101.595199191238</c:v>
                </c:pt>
                <c:pt idx="70">
                  <c:v>101.488063192095</c:v>
                </c:pt>
                <c:pt idx="71">
                  <c:v>101.379199192966</c:v>
                </c:pt>
                <c:pt idx="72">
                  <c:v>101.268967193848</c:v>
                </c:pt>
                <c:pt idx="73">
                  <c:v>101.150419194796</c:v>
                </c:pt>
                <c:pt idx="74">
                  <c:v>101.04198719566401</c:v>
                </c:pt>
                <c:pt idx="75">
                  <c:v>101.06248919550001</c:v>
                </c:pt>
                <c:pt idx="76">
                  <c:v>100.78672919770599</c:v>
                </c:pt>
                <c:pt idx="77">
                  <c:v>100.683049198535</c:v>
                </c:pt>
                <c:pt idx="78">
                  <c:v>100.52729519978099</c:v>
                </c:pt>
                <c:pt idx="79">
                  <c:v>100.34500920124</c:v>
                </c:pt>
                <c:pt idx="80">
                  <c:v>101.69866319041</c:v>
                </c:pt>
                <c:pt idx="81">
                  <c:v>101.841331189269</c:v>
                </c:pt>
                <c:pt idx="82">
                  <c:v>100.00619520395</c:v>
                </c:pt>
                <c:pt idx="83">
                  <c:v>100.065235203478</c:v>
                </c:pt>
                <c:pt idx="84">
                  <c:v>99.695047206439298</c:v>
                </c:pt>
                <c:pt idx="85">
                  <c:v>99.506191207950096</c:v>
                </c:pt>
                <c:pt idx="86">
                  <c:v>99.351121209190694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F7-47D8-99BE-9BA0DD8D23EC}"/>
            </c:ext>
          </c:extLst>
        </c:ser>
        <c:ser>
          <c:idx val="2"/>
          <c:order val="2"/>
          <c:tx>
            <c:v>LateLife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'FL6 data'!$AE$6:$AE$568</c:f>
              <c:numCache>
                <c:formatCode>General</c:formatCode>
                <c:ptCount val="563"/>
                <c:pt idx="0">
                  <c:v>48.543058277668898</c:v>
                </c:pt>
                <c:pt idx="1">
                  <c:v>145.629174833007</c:v>
                </c:pt>
                <c:pt idx="2">
                  <c:v>222.08611655533801</c:v>
                </c:pt>
                <c:pt idx="3">
                  <c:v>270.935</c:v>
                </c:pt>
                <c:pt idx="4">
                  <c:v>312.80500000000001</c:v>
                </c:pt>
                <c:pt idx="5">
                  <c:v>375.49</c:v>
                </c:pt>
                <c:pt idx="6">
                  <c:v>500.49</c:v>
                </c:pt>
                <c:pt idx="7">
                  <c:v>646.24</c:v>
                </c:pt>
                <c:pt idx="8">
                  <c:v>771.24</c:v>
                </c:pt>
                <c:pt idx="9">
                  <c:v>896.24</c:v>
                </c:pt>
                <c:pt idx="10">
                  <c:v>1021.24</c:v>
                </c:pt>
                <c:pt idx="11">
                  <c:v>1146.24</c:v>
                </c:pt>
                <c:pt idx="12">
                  <c:v>1271.24</c:v>
                </c:pt>
                <c:pt idx="13">
                  <c:v>1396.24</c:v>
                </c:pt>
                <c:pt idx="14">
                  <c:v>1521.24</c:v>
                </c:pt>
                <c:pt idx="15">
                  <c:v>1632.99</c:v>
                </c:pt>
                <c:pt idx="16">
                  <c:v>1731.49</c:v>
                </c:pt>
                <c:pt idx="17">
                  <c:v>1817.9974999999999</c:v>
                </c:pt>
                <c:pt idx="18">
                  <c:v>1892.5125</c:v>
                </c:pt>
                <c:pt idx="19">
                  <c:v>1967.03</c:v>
                </c:pt>
                <c:pt idx="20">
                  <c:v>2041.55</c:v>
                </c:pt>
                <c:pt idx="21">
                  <c:v>2116.0700000000002</c:v>
                </c:pt>
                <c:pt idx="22">
                  <c:v>2190.59</c:v>
                </c:pt>
                <c:pt idx="23">
                  <c:v>2265.12</c:v>
                </c:pt>
                <c:pt idx="24">
                  <c:v>2339.66</c:v>
                </c:pt>
                <c:pt idx="25">
                  <c:v>2414.1849999999999</c:v>
                </c:pt>
                <c:pt idx="26">
                  <c:v>2488.6950000000002</c:v>
                </c:pt>
                <c:pt idx="27">
                  <c:v>2563.21</c:v>
                </c:pt>
                <c:pt idx="28">
                  <c:v>2637.73</c:v>
                </c:pt>
                <c:pt idx="29">
                  <c:v>2712.2424999999998</c:v>
                </c:pt>
                <c:pt idx="30">
                  <c:v>2786.7474999999999</c:v>
                </c:pt>
                <c:pt idx="31">
                  <c:v>2861.2525000000001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3160.51</c:v>
                </c:pt>
                <c:pt idx="35">
                  <c:v>3285.51</c:v>
                </c:pt>
                <c:pt idx="36">
                  <c:v>3410.51</c:v>
                </c:pt>
                <c:pt idx="37">
                  <c:v>3535.51</c:v>
                </c:pt>
                <c:pt idx="38">
                  <c:v>3660.51</c:v>
                </c:pt>
                <c:pt idx="39">
                  <c:v>3785.51</c:v>
                </c:pt>
                <c:pt idx="40">
                  <c:v>3910.51</c:v>
                </c:pt>
                <c:pt idx="41">
                  <c:v>4010.26</c:v>
                </c:pt>
                <c:pt idx="42">
                  <c:v>4084.76</c:v>
                </c:pt>
                <c:pt idx="43">
                  <c:v>4184.51</c:v>
                </c:pt>
                <c:pt idx="44">
                  <c:v>4309.51</c:v>
                </c:pt>
                <c:pt idx="45">
                  <c:v>4409.2700000000004</c:v>
                </c:pt>
                <c:pt idx="46">
                  <c:v>4483.79</c:v>
                </c:pt>
                <c:pt idx="47">
                  <c:v>4570.3</c:v>
                </c:pt>
                <c:pt idx="48">
                  <c:v>4668.8</c:v>
                </c:pt>
                <c:pt idx="49">
                  <c:v>4755.32</c:v>
                </c:pt>
                <c:pt idx="50">
                  <c:v>4829.8599999999997</c:v>
                </c:pt>
                <c:pt idx="51">
                  <c:v>4904.3874999999998</c:v>
                </c:pt>
                <c:pt idx="52">
                  <c:v>4978.9025000000001</c:v>
                </c:pt>
                <c:pt idx="53">
                  <c:v>5053.415</c:v>
                </c:pt>
                <c:pt idx="54">
                  <c:v>5127.9250000000002</c:v>
                </c:pt>
                <c:pt idx="55">
                  <c:v>5202.4425000000001</c:v>
                </c:pt>
                <c:pt idx="56">
                  <c:v>5276.9674999999997</c:v>
                </c:pt>
                <c:pt idx="57">
                  <c:v>5351.4975000000004</c:v>
                </c:pt>
                <c:pt idx="58">
                  <c:v>5426.0325000000003</c:v>
                </c:pt>
                <c:pt idx="59">
                  <c:v>5500.58</c:v>
                </c:pt>
                <c:pt idx="60">
                  <c:v>5575.14</c:v>
                </c:pt>
                <c:pt idx="61">
                  <c:v>5649.7025000000003</c:v>
                </c:pt>
                <c:pt idx="62">
                  <c:v>5724.2674999999999</c:v>
                </c:pt>
                <c:pt idx="63">
                  <c:v>5798.8125</c:v>
                </c:pt>
                <c:pt idx="64">
                  <c:v>5873.3374999999996</c:v>
                </c:pt>
                <c:pt idx="65">
                  <c:v>5947.8549999999996</c:v>
                </c:pt>
                <c:pt idx="66">
                  <c:v>6022.3649999999998</c:v>
                </c:pt>
                <c:pt idx="67">
                  <c:v>6096.88</c:v>
                </c:pt>
                <c:pt idx="68">
                  <c:v>6171.4</c:v>
                </c:pt>
                <c:pt idx="69">
                  <c:v>6245.9250000000002</c:v>
                </c:pt>
                <c:pt idx="70">
                  <c:v>6320.4549999999999</c:v>
                </c:pt>
                <c:pt idx="71">
                  <c:v>6394.98</c:v>
                </c:pt>
                <c:pt idx="72">
                  <c:v>6469.5</c:v>
                </c:pt>
                <c:pt idx="73">
                  <c:v>6544.0124999999998</c:v>
                </c:pt>
                <c:pt idx="74">
                  <c:v>6618.5174999999999</c:v>
                </c:pt>
                <c:pt idx="75">
                  <c:v>6718.27</c:v>
                </c:pt>
                <c:pt idx="76">
                  <c:v>6843.27</c:v>
                </c:pt>
                <c:pt idx="77">
                  <c:v>6943.0550000000003</c:v>
                </c:pt>
                <c:pt idx="78">
                  <c:v>7017.625</c:v>
                </c:pt>
                <c:pt idx="79">
                  <c:v>7117.41</c:v>
                </c:pt>
                <c:pt idx="80">
                  <c:v>7242.41</c:v>
                </c:pt>
                <c:pt idx="81">
                  <c:v>7342.21</c:v>
                </c:pt>
                <c:pt idx="82">
                  <c:v>7416.81</c:v>
                </c:pt>
                <c:pt idx="83">
                  <c:v>7503.36</c:v>
                </c:pt>
                <c:pt idx="84">
                  <c:v>7601.86</c:v>
                </c:pt>
                <c:pt idx="85">
                  <c:v>7713.61</c:v>
                </c:pt>
                <c:pt idx="86">
                  <c:v>7838.61</c:v>
                </c:pt>
              </c:numCache>
            </c:numRef>
          </c:xVal>
          <c:yVal>
            <c:numRef>
              <c:f>'FL6 data'!$AF$6:$AF$568</c:f>
              <c:numCache>
                <c:formatCode>General</c:formatCode>
                <c:ptCount val="563"/>
                <c:pt idx="0">
                  <c:v>87.4828573041368</c:v>
                </c:pt>
                <c:pt idx="1">
                  <c:v>87.115819307073096</c:v>
                </c:pt>
                <c:pt idx="2">
                  <c:v>86.902825308777096</c:v>
                </c:pt>
                <c:pt idx="3">
                  <c:v>86.795149309638504</c:v>
                </c:pt>
                <c:pt idx="4">
                  <c:v>86.870515309035596</c:v>
                </c:pt>
                <c:pt idx="5">
                  <c:v>86.208835314328994</c:v>
                </c:pt>
                <c:pt idx="6">
                  <c:v>85.533637319730602</c:v>
                </c:pt>
                <c:pt idx="7">
                  <c:v>85.047313323621196</c:v>
                </c:pt>
                <c:pt idx="8">
                  <c:v>84.541639327666601</c:v>
                </c:pt>
                <c:pt idx="9">
                  <c:v>83.9974993320197</c:v>
                </c:pt>
                <c:pt idx="10">
                  <c:v>83.496613336026797</c:v>
                </c:pt>
                <c:pt idx="11">
                  <c:v>82.974973340199895</c:v>
                </c:pt>
                <c:pt idx="12">
                  <c:v>82.484725344121898</c:v>
                </c:pt>
                <c:pt idx="13">
                  <c:v>82.023475347811896</c:v>
                </c:pt>
                <c:pt idx="14">
                  <c:v>83.894323332845104</c:v>
                </c:pt>
                <c:pt idx="15">
                  <c:v>83.952085332383007</c:v>
                </c:pt>
                <c:pt idx="16">
                  <c:v>83.451469336388001</c:v>
                </c:pt>
                <c:pt idx="17">
                  <c:v>83.255107337958805</c:v>
                </c:pt>
                <c:pt idx="18">
                  <c:v>82.929991340559795</c:v>
                </c:pt>
                <c:pt idx="19">
                  <c:v>82.603345343172904</c:v>
                </c:pt>
                <c:pt idx="20">
                  <c:v>82.271083345831002</c:v>
                </c:pt>
                <c:pt idx="21">
                  <c:v>81.940477348475895</c:v>
                </c:pt>
                <c:pt idx="22">
                  <c:v>81.610393351116599</c:v>
                </c:pt>
                <c:pt idx="23">
                  <c:v>81.287527353699502</c:v>
                </c:pt>
                <c:pt idx="24">
                  <c:v>80.955409356356398</c:v>
                </c:pt>
                <c:pt idx="25">
                  <c:v>80.613679359090298</c:v>
                </c:pt>
                <c:pt idx="26">
                  <c:v>80.297311361621198</c:v>
                </c:pt>
                <c:pt idx="27">
                  <c:v>79.983481364131904</c:v>
                </c:pt>
                <c:pt idx="28">
                  <c:v>78.796255373629705</c:v>
                </c:pt>
                <c:pt idx="29">
                  <c:v>77.513809383889296</c:v>
                </c:pt>
                <c:pt idx="30">
                  <c:v>77.2109413863122</c:v>
                </c:pt>
                <c:pt idx="31">
                  <c:v>76.954513388363594</c:v>
                </c:pt>
                <c:pt idx="32">
                  <c:v>76.672741390617801</c:v>
                </c:pt>
                <c:pt idx="33">
                  <c:v>76.2459073940325</c:v>
                </c:pt>
                <c:pt idx="34">
                  <c:v>75.706609398346899</c:v>
                </c:pt>
                <c:pt idx="35">
                  <c:v>75.047521403619598</c:v>
                </c:pt>
                <c:pt idx="36">
                  <c:v>74.698717406409997</c:v>
                </c:pt>
                <c:pt idx="37">
                  <c:v>74.2396634100824</c:v>
                </c:pt>
                <c:pt idx="38">
                  <c:v>74.171389410628606</c:v>
                </c:pt>
                <c:pt idx="39">
                  <c:v>73.470001416239697</c:v>
                </c:pt>
                <c:pt idx="40">
                  <c:v>74.861041405111393</c:v>
                </c:pt>
                <c:pt idx="41">
                  <c:v>75.060823403513197</c:v>
                </c:pt>
                <c:pt idx="42">
                  <c:v>73.111405419108493</c:v>
                </c:pt>
                <c:pt idx="43">
                  <c:v>72.3958334248331</c:v>
                </c:pt>
                <c:pt idx="44">
                  <c:v>73.682311414541203</c:v>
                </c:pt>
                <c:pt idx="45">
                  <c:v>73.977313412181203</c:v>
                </c:pt>
                <c:pt idx="46">
                  <c:v>73.726303414189303</c:v>
                </c:pt>
                <c:pt idx="47">
                  <c:v>73.3890734168872</c:v>
                </c:pt>
                <c:pt idx="48">
                  <c:v>73.117291419061402</c:v>
                </c:pt>
                <c:pt idx="49">
                  <c:v>72.917023420663597</c:v>
                </c:pt>
                <c:pt idx="50">
                  <c:v>72.6832574225337</c:v>
                </c:pt>
                <c:pt idx="51">
                  <c:v>72.443767424449604</c:v>
                </c:pt>
                <c:pt idx="52">
                  <c:v>72.211639426306604</c:v>
                </c:pt>
                <c:pt idx="53">
                  <c:v>71.9796734281624</c:v>
                </c:pt>
                <c:pt idx="54">
                  <c:v>71.7578594299369</c:v>
                </c:pt>
                <c:pt idx="55">
                  <c:v>71.547079431623104</c:v>
                </c:pt>
                <c:pt idx="56">
                  <c:v>71.327317433381197</c:v>
                </c:pt>
                <c:pt idx="57">
                  <c:v>71.109553435123303</c:v>
                </c:pt>
                <c:pt idx="58">
                  <c:v>70.890835436873104</c:v>
                </c:pt>
                <c:pt idx="59">
                  <c:v>70.674799438601397</c:v>
                </c:pt>
                <c:pt idx="60">
                  <c:v>70.456117440350795</c:v>
                </c:pt>
                <c:pt idx="61">
                  <c:v>70.237687442098206</c:v>
                </c:pt>
                <c:pt idx="62">
                  <c:v>70.018483443851906</c:v>
                </c:pt>
                <c:pt idx="63">
                  <c:v>69.797893445616594</c:v>
                </c:pt>
                <c:pt idx="64">
                  <c:v>69.5831174473348</c:v>
                </c:pt>
                <c:pt idx="65">
                  <c:v>69.373345449013001</c:v>
                </c:pt>
                <c:pt idx="66">
                  <c:v>69.100465451196001</c:v>
                </c:pt>
                <c:pt idx="67">
                  <c:v>68.178793458569402</c:v>
                </c:pt>
                <c:pt idx="68">
                  <c:v>67.615231463077905</c:v>
                </c:pt>
                <c:pt idx="69">
                  <c:v>67.364941465080193</c:v>
                </c:pt>
                <c:pt idx="70">
                  <c:v>67.163809466689301</c:v>
                </c:pt>
                <c:pt idx="71">
                  <c:v>66.973045468215403</c:v>
                </c:pt>
                <c:pt idx="72">
                  <c:v>66.778087469775102</c:v>
                </c:pt>
                <c:pt idx="73">
                  <c:v>66.567685471458304</c:v>
                </c:pt>
                <c:pt idx="74">
                  <c:v>66.342847473256995</c:v>
                </c:pt>
                <c:pt idx="75">
                  <c:v>66.071299475429399</c:v>
                </c:pt>
                <c:pt idx="76">
                  <c:v>65.824051477407394</c:v>
                </c:pt>
                <c:pt idx="77">
                  <c:v>65.741539478067494</c:v>
                </c:pt>
                <c:pt idx="78">
                  <c:v>65.469847480241</c:v>
                </c:pt>
                <c:pt idx="79">
                  <c:v>64.761961485904095</c:v>
                </c:pt>
                <c:pt idx="80">
                  <c:v>66.111259475109705</c:v>
                </c:pt>
                <c:pt idx="81">
                  <c:v>66.125335474997101</c:v>
                </c:pt>
                <c:pt idx="82">
                  <c:v>64.620895487032598</c:v>
                </c:pt>
                <c:pt idx="83">
                  <c:v>64.258519489931601</c:v>
                </c:pt>
                <c:pt idx="84">
                  <c:v>63.930991492551797</c:v>
                </c:pt>
                <c:pt idx="85">
                  <c:v>63.393115496854897</c:v>
                </c:pt>
                <c:pt idx="86">
                  <c:v>63.130351498956998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F7-47D8-99BE-9BA0DD8D2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243784"/>
        <c:axId val="873245584"/>
      </c:scatterChart>
      <c:valAx>
        <c:axId val="873243784"/>
        <c:scaling>
          <c:orientation val="minMax"/>
          <c:max val="17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 from DC1 for FL5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5584"/>
        <c:crosses val="autoZero"/>
        <c:crossBetween val="midCat"/>
      </c:valAx>
      <c:valAx>
        <c:axId val="87324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Temperature at PCL (</a:t>
                </a:r>
                <a:r>
                  <a:rPr lang="en-US" baseline="0">
                    <a:latin typeface="Arial" panose="020B0604020202020204" pitchFamily="34" charset="0"/>
                    <a:cs typeface="Arial" panose="020B0604020202020204" pitchFamily="34" charset="0"/>
                  </a:rPr>
                  <a:t>°F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378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EarlyLife</c:v>
          </c:tx>
          <c:spPr>
            <a:ln w="19050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xVal>
            <c:numRef>
              <c:f>'FL6 data'!$U$6:$U$568</c:f>
              <c:numCache>
                <c:formatCode>General</c:formatCode>
                <c:ptCount val="563"/>
                <c:pt idx="0">
                  <c:v>48.543058277668941</c:v>
                </c:pt>
                <c:pt idx="1">
                  <c:v>145.62917483300683</c:v>
                </c:pt>
                <c:pt idx="2">
                  <c:v>222.08611655533801</c:v>
                </c:pt>
                <c:pt idx="3">
                  <c:v>270.93500000000023</c:v>
                </c:pt>
                <c:pt idx="4">
                  <c:v>312.80500000000023</c:v>
                </c:pt>
                <c:pt idx="5">
                  <c:v>375.49000000000029</c:v>
                </c:pt>
                <c:pt idx="6">
                  <c:v>500.49000000000024</c:v>
                </c:pt>
                <c:pt idx="7">
                  <c:v>646.24000000000035</c:v>
                </c:pt>
                <c:pt idx="8">
                  <c:v>771.24000000000024</c:v>
                </c:pt>
                <c:pt idx="9">
                  <c:v>896.24000000000024</c:v>
                </c:pt>
                <c:pt idx="10">
                  <c:v>1021.2400000000004</c:v>
                </c:pt>
                <c:pt idx="11">
                  <c:v>1146.2400000000005</c:v>
                </c:pt>
                <c:pt idx="12">
                  <c:v>1271.2400000000005</c:v>
                </c:pt>
                <c:pt idx="13">
                  <c:v>1396.2400000000005</c:v>
                </c:pt>
                <c:pt idx="14">
                  <c:v>1521.2400000000007</c:v>
                </c:pt>
                <c:pt idx="15">
                  <c:v>1632.9900000000007</c:v>
                </c:pt>
                <c:pt idx="16">
                  <c:v>1731.4900000000007</c:v>
                </c:pt>
                <c:pt idx="17">
                  <c:v>1817.9974999999999</c:v>
                </c:pt>
                <c:pt idx="18">
                  <c:v>1892.5124999999975</c:v>
                </c:pt>
                <c:pt idx="19">
                  <c:v>1967.029999999997</c:v>
                </c:pt>
                <c:pt idx="20">
                  <c:v>2041.549999999997</c:v>
                </c:pt>
                <c:pt idx="21">
                  <c:v>2116.069999999997</c:v>
                </c:pt>
                <c:pt idx="22">
                  <c:v>2190.5899999999974</c:v>
                </c:pt>
                <c:pt idx="23">
                  <c:v>2265.1199999999972</c:v>
                </c:pt>
                <c:pt idx="24">
                  <c:v>2339.6599999999971</c:v>
                </c:pt>
                <c:pt idx="25">
                  <c:v>2414.1849999999972</c:v>
                </c:pt>
                <c:pt idx="26">
                  <c:v>2488.694999999997</c:v>
                </c:pt>
                <c:pt idx="27">
                  <c:v>2563.2099999999973</c:v>
                </c:pt>
                <c:pt idx="28">
                  <c:v>2637.7299999999973</c:v>
                </c:pt>
                <c:pt idx="29">
                  <c:v>2712.242499999998</c:v>
                </c:pt>
                <c:pt idx="30">
                  <c:v>2786.7474999999986</c:v>
                </c:pt>
                <c:pt idx="31">
                  <c:v>2861.2524999999978</c:v>
                </c:pt>
                <c:pt idx="32">
                  <c:v>2935.7574999999956</c:v>
                </c:pt>
                <c:pt idx="33">
                  <c:v>3035.5099999999939</c:v>
                </c:pt>
                <c:pt idx="34">
                  <c:v>3160.5099999999943</c:v>
                </c:pt>
                <c:pt idx="35">
                  <c:v>3285.5099999999939</c:v>
                </c:pt>
                <c:pt idx="36">
                  <c:v>3410.5099999999943</c:v>
                </c:pt>
                <c:pt idx="37">
                  <c:v>3535.5099999999939</c:v>
                </c:pt>
                <c:pt idx="38">
                  <c:v>3660.5099999999939</c:v>
                </c:pt>
                <c:pt idx="39">
                  <c:v>3785.5099999999934</c:v>
                </c:pt>
                <c:pt idx="40">
                  <c:v>3910.5099999999929</c:v>
                </c:pt>
                <c:pt idx="41">
                  <c:v>4010.2599999999925</c:v>
                </c:pt>
                <c:pt idx="42">
                  <c:v>4084.7599999999929</c:v>
                </c:pt>
                <c:pt idx="43">
                  <c:v>4184.5099999999929</c:v>
                </c:pt>
                <c:pt idx="44">
                  <c:v>4309.509999999992</c:v>
                </c:pt>
                <c:pt idx="45">
                  <c:v>4409.2699999999913</c:v>
                </c:pt>
                <c:pt idx="46">
                  <c:v>4483.7899999999927</c:v>
                </c:pt>
                <c:pt idx="47">
                  <c:v>4570.299999999992</c:v>
                </c:pt>
                <c:pt idx="48">
                  <c:v>4668.799999999992</c:v>
                </c:pt>
                <c:pt idx="49">
                  <c:v>4755.3199999999915</c:v>
                </c:pt>
                <c:pt idx="50">
                  <c:v>4829.8599999999924</c:v>
                </c:pt>
                <c:pt idx="51">
                  <c:v>4904.3874999999953</c:v>
                </c:pt>
                <c:pt idx="52">
                  <c:v>4978.9025000000011</c:v>
                </c:pt>
                <c:pt idx="53">
                  <c:v>5053.4150000000036</c:v>
                </c:pt>
                <c:pt idx="54">
                  <c:v>5127.9250000000029</c:v>
                </c:pt>
                <c:pt idx="55">
                  <c:v>5202.4425000000074</c:v>
                </c:pt>
                <c:pt idx="56">
                  <c:v>5276.967500000017</c:v>
                </c:pt>
                <c:pt idx="57">
                  <c:v>5351.4975000000195</c:v>
                </c:pt>
                <c:pt idx="58">
                  <c:v>5426.0325000000148</c:v>
                </c:pt>
                <c:pt idx="59">
                  <c:v>5500.5800000000127</c:v>
                </c:pt>
                <c:pt idx="60">
                  <c:v>5575.1400000000122</c:v>
                </c:pt>
                <c:pt idx="61">
                  <c:v>5649.7025000000085</c:v>
                </c:pt>
                <c:pt idx="62">
                  <c:v>5724.2674999999981</c:v>
                </c:pt>
                <c:pt idx="63">
                  <c:v>5798.8124999999991</c:v>
                </c:pt>
                <c:pt idx="64">
                  <c:v>5873.3375000000096</c:v>
                </c:pt>
                <c:pt idx="65">
                  <c:v>5947.8550000000141</c:v>
                </c:pt>
                <c:pt idx="66">
                  <c:v>6022.3650000000134</c:v>
                </c:pt>
                <c:pt idx="67">
                  <c:v>6096.8800000000138</c:v>
                </c:pt>
                <c:pt idx="68">
                  <c:v>6171.4000000000142</c:v>
                </c:pt>
                <c:pt idx="69">
                  <c:v>6245.9250000000147</c:v>
                </c:pt>
                <c:pt idx="70">
                  <c:v>6320.4550000000136</c:v>
                </c:pt>
                <c:pt idx="71">
                  <c:v>6394.9800000000141</c:v>
                </c:pt>
                <c:pt idx="72">
                  <c:v>6469.5000000000146</c:v>
                </c:pt>
                <c:pt idx="73">
                  <c:v>6544.0125000000135</c:v>
                </c:pt>
                <c:pt idx="74">
                  <c:v>6618.5175000000127</c:v>
                </c:pt>
                <c:pt idx="75">
                  <c:v>6718.2700000000114</c:v>
                </c:pt>
                <c:pt idx="76">
                  <c:v>6843.2700000000104</c:v>
                </c:pt>
                <c:pt idx="77">
                  <c:v>6943.0550000000103</c:v>
                </c:pt>
                <c:pt idx="78">
                  <c:v>7017.6250000000118</c:v>
                </c:pt>
                <c:pt idx="79">
                  <c:v>7117.4100000000117</c:v>
                </c:pt>
                <c:pt idx="80">
                  <c:v>7242.4100000000099</c:v>
                </c:pt>
                <c:pt idx="81">
                  <c:v>7342.21000000001</c:v>
                </c:pt>
                <c:pt idx="82">
                  <c:v>7416.8100000000104</c:v>
                </c:pt>
                <c:pt idx="83">
                  <c:v>7503.3600000000115</c:v>
                </c:pt>
                <c:pt idx="84">
                  <c:v>7601.8600000000106</c:v>
                </c:pt>
                <c:pt idx="85">
                  <c:v>7713.6100000000124</c:v>
                </c:pt>
                <c:pt idx="86">
                  <c:v>7838.6100000000106</c:v>
                </c:pt>
              </c:numCache>
            </c:numRef>
          </c:xVal>
          <c:yVal>
            <c:numRef>
              <c:f>'FL6 data'!$X$6:$X$568</c:f>
              <c:numCache>
                <c:formatCode>General</c:formatCode>
                <c:ptCount val="563"/>
                <c:pt idx="0">
                  <c:v>48.607427692360488</c:v>
                </c:pt>
                <c:pt idx="1">
                  <c:v>48.611023542890557</c:v>
                </c:pt>
                <c:pt idx="2">
                  <c:v>48.613439504965449</c:v>
                </c:pt>
                <c:pt idx="3">
                  <c:v>48.614082512959548</c:v>
                </c:pt>
                <c:pt idx="4">
                  <c:v>48.677091053584626</c:v>
                </c:pt>
                <c:pt idx="5">
                  <c:v>48.617834433391103</c:v>
                </c:pt>
                <c:pt idx="6">
                  <c:v>48.623790060831539</c:v>
                </c:pt>
                <c:pt idx="7">
                  <c:v>48.627055043170479</c:v>
                </c:pt>
                <c:pt idx="8">
                  <c:v>48.651014894445524</c:v>
                </c:pt>
                <c:pt idx="9">
                  <c:v>48.634739925119298</c:v>
                </c:pt>
                <c:pt idx="10">
                  <c:v>48.654123806882978</c:v>
                </c:pt>
                <c:pt idx="11">
                  <c:v>48.643966777694736</c:v>
                </c:pt>
                <c:pt idx="12">
                  <c:v>48.650247030530245</c:v>
                </c:pt>
                <c:pt idx="13">
                  <c:v>48.654448432278059</c:v>
                </c:pt>
                <c:pt idx="14">
                  <c:v>48.553190280198514</c:v>
                </c:pt>
                <c:pt idx="15">
                  <c:v>49.767982208146101</c:v>
                </c:pt>
                <c:pt idx="16">
                  <c:v>48.667027666337262</c:v>
                </c:pt>
                <c:pt idx="17">
                  <c:v>48.673070692922529</c:v>
                </c:pt>
                <c:pt idx="18">
                  <c:v>48.673826071245685</c:v>
                </c:pt>
                <c:pt idx="19">
                  <c:v>48.675105844437809</c:v>
                </c:pt>
                <c:pt idx="20">
                  <c:v>48.676435559998417</c:v>
                </c:pt>
                <c:pt idx="21">
                  <c:v>48.677933831052613</c:v>
                </c:pt>
                <c:pt idx="22">
                  <c:v>48.679244818225037</c:v>
                </c:pt>
                <c:pt idx="23">
                  <c:v>48.680043896120608</c:v>
                </c:pt>
                <c:pt idx="24">
                  <c:v>48.681267484148201</c:v>
                </c:pt>
                <c:pt idx="25">
                  <c:v>48.683514890729498</c:v>
                </c:pt>
                <c:pt idx="26">
                  <c:v>48.685231659645773</c:v>
                </c:pt>
                <c:pt idx="27">
                  <c:v>48.685999523561044</c:v>
                </c:pt>
                <c:pt idx="28">
                  <c:v>48.687229354384698</c:v>
                </c:pt>
                <c:pt idx="29">
                  <c:v>48.689164621163037</c:v>
                </c:pt>
                <c:pt idx="30">
                  <c:v>48.690775262546303</c:v>
                </c:pt>
                <c:pt idx="31">
                  <c:v>48.691586826033991</c:v>
                </c:pt>
                <c:pt idx="32">
                  <c:v>48.69203630735025</c:v>
                </c:pt>
                <c:pt idx="33">
                  <c:v>48.730223490844118</c:v>
                </c:pt>
                <c:pt idx="34">
                  <c:v>48.699621304562129</c:v>
                </c:pt>
                <c:pt idx="35">
                  <c:v>48.701512871768045</c:v>
                </c:pt>
                <c:pt idx="36">
                  <c:v>48.737240393614613</c:v>
                </c:pt>
                <c:pt idx="37">
                  <c:v>48.708336247860714</c:v>
                </c:pt>
                <c:pt idx="38">
                  <c:v>48.781027365173543</c:v>
                </c:pt>
                <c:pt idx="39">
                  <c:v>48.715690261618398</c:v>
                </c:pt>
                <c:pt idx="40">
                  <c:v>48.841526301782849</c:v>
                </c:pt>
                <c:pt idx="41">
                  <c:v>48.829546376145323</c:v>
                </c:pt>
                <c:pt idx="42">
                  <c:v>48.724086822317965</c:v>
                </c:pt>
                <c:pt idx="43">
                  <c:v>48.727239434327835</c:v>
                </c:pt>
                <c:pt idx="44">
                  <c:v>48.889714444563481</c:v>
                </c:pt>
                <c:pt idx="45">
                  <c:v>48.892536188382223</c:v>
                </c:pt>
                <c:pt idx="46">
                  <c:v>48.733912983315079</c:v>
                </c:pt>
                <c:pt idx="47">
                  <c:v>49.421575697619488</c:v>
                </c:pt>
                <c:pt idx="48">
                  <c:v>48.740249421315127</c:v>
                </c:pt>
                <c:pt idx="49">
                  <c:v>48.746841813953601</c:v>
                </c:pt>
                <c:pt idx="50">
                  <c:v>48.747809447342767</c:v>
                </c:pt>
                <c:pt idx="51">
                  <c:v>48.750006911555595</c:v>
                </c:pt>
                <c:pt idx="52">
                  <c:v>48.751761137248216</c:v>
                </c:pt>
                <c:pt idx="53">
                  <c:v>48.753515362940838</c:v>
                </c:pt>
                <c:pt idx="54">
                  <c:v>48.755282074225576</c:v>
                </c:pt>
                <c:pt idx="55">
                  <c:v>48.755282074225576</c:v>
                </c:pt>
                <c:pt idx="56">
                  <c:v>48.756549361825584</c:v>
                </c:pt>
                <c:pt idx="57">
                  <c:v>48.757623122747759</c:v>
                </c:pt>
                <c:pt idx="58">
                  <c:v>48.758846710775352</c:v>
                </c:pt>
                <c:pt idx="59">
                  <c:v>48.75964578867093</c:v>
                </c:pt>
                <c:pt idx="60">
                  <c:v>48.760775734757637</c:v>
                </c:pt>
                <c:pt idx="61">
                  <c:v>48.761955623212813</c:v>
                </c:pt>
                <c:pt idx="62">
                  <c:v>48.763073083707411</c:v>
                </c:pt>
                <c:pt idx="63">
                  <c:v>48.764714939070963</c:v>
                </c:pt>
                <c:pt idx="64">
                  <c:v>48.766256909697574</c:v>
                </c:pt>
                <c:pt idx="65">
                  <c:v>48.767880036672963</c:v>
                </c:pt>
                <c:pt idx="66">
                  <c:v>48.769559348812869</c:v>
                </c:pt>
                <c:pt idx="67">
                  <c:v>48.770395883484802</c:v>
                </c:pt>
                <c:pt idx="68">
                  <c:v>48.77158201473604</c:v>
                </c:pt>
                <c:pt idx="69">
                  <c:v>48.772668261250331</c:v>
                </c:pt>
                <c:pt idx="70">
                  <c:v>48.773798207337038</c:v>
                </c:pt>
                <c:pt idx="71">
                  <c:v>48.775234050430647</c:v>
                </c:pt>
                <c:pt idx="72">
                  <c:v>48.776345268129177</c:v>
                </c:pt>
                <c:pt idx="73">
                  <c:v>48.777955909512436</c:v>
                </c:pt>
                <c:pt idx="74">
                  <c:v>48.778455333197172</c:v>
                </c:pt>
                <c:pt idx="75">
                  <c:v>48.889932942425553</c:v>
                </c:pt>
                <c:pt idx="76">
                  <c:v>48.789199185214983</c:v>
                </c:pt>
                <c:pt idx="77">
                  <c:v>48.786664610014959</c:v>
                </c:pt>
                <c:pt idx="78">
                  <c:v>48.787782070509557</c:v>
                </c:pt>
                <c:pt idx="79">
                  <c:v>48.790635028308593</c:v>
                </c:pt>
                <c:pt idx="80">
                  <c:v>48.858138382096264</c:v>
                </c:pt>
                <c:pt idx="81">
                  <c:v>48.894658739042335</c:v>
                </c:pt>
                <c:pt idx="82">
                  <c:v>48.798550893711607</c:v>
                </c:pt>
                <c:pt idx="83">
                  <c:v>48.824957921041843</c:v>
                </c:pt>
                <c:pt idx="84">
                  <c:v>48.803944669506713</c:v>
                </c:pt>
                <c:pt idx="85">
                  <c:v>48.806179590495887</c:v>
                </c:pt>
                <c:pt idx="86">
                  <c:v>48.812341230206279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73-428D-B097-FDA48D1C7632}"/>
            </c:ext>
          </c:extLst>
        </c:ser>
        <c:ser>
          <c:idx val="1"/>
          <c:order val="1"/>
          <c:tx>
            <c:v>MidLife</c:v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'FL6 data'!$Z$6:$Z$568</c:f>
              <c:numCache>
                <c:formatCode>General</c:formatCode>
                <c:ptCount val="563"/>
                <c:pt idx="0">
                  <c:v>48.543058277668898</c:v>
                </c:pt>
                <c:pt idx="1">
                  <c:v>145.629174833007</c:v>
                </c:pt>
                <c:pt idx="2">
                  <c:v>222.08611655533801</c:v>
                </c:pt>
                <c:pt idx="3">
                  <c:v>270.935</c:v>
                </c:pt>
                <c:pt idx="4">
                  <c:v>312.80500000000001</c:v>
                </c:pt>
                <c:pt idx="5">
                  <c:v>375.49</c:v>
                </c:pt>
                <c:pt idx="6">
                  <c:v>500.49</c:v>
                </c:pt>
                <c:pt idx="7">
                  <c:v>646.24</c:v>
                </c:pt>
                <c:pt idx="8">
                  <c:v>771.24</c:v>
                </c:pt>
                <c:pt idx="9">
                  <c:v>896.24</c:v>
                </c:pt>
                <c:pt idx="10">
                  <c:v>1021.24</c:v>
                </c:pt>
                <c:pt idx="11">
                  <c:v>1146.24</c:v>
                </c:pt>
                <c:pt idx="12">
                  <c:v>1271.24</c:v>
                </c:pt>
                <c:pt idx="13">
                  <c:v>1396.24</c:v>
                </c:pt>
                <c:pt idx="14">
                  <c:v>1521.24</c:v>
                </c:pt>
                <c:pt idx="15">
                  <c:v>1632.99</c:v>
                </c:pt>
                <c:pt idx="16">
                  <c:v>1731.49</c:v>
                </c:pt>
                <c:pt idx="17">
                  <c:v>1817.9974999999999</c:v>
                </c:pt>
                <c:pt idx="18">
                  <c:v>1892.5125</c:v>
                </c:pt>
                <c:pt idx="19">
                  <c:v>1967.03</c:v>
                </c:pt>
                <c:pt idx="20">
                  <c:v>2041.55</c:v>
                </c:pt>
                <c:pt idx="21">
                  <c:v>2116.0700000000002</c:v>
                </c:pt>
                <c:pt idx="22">
                  <c:v>2190.59</c:v>
                </c:pt>
                <c:pt idx="23">
                  <c:v>2265.12</c:v>
                </c:pt>
                <c:pt idx="24">
                  <c:v>2339.66</c:v>
                </c:pt>
                <c:pt idx="25">
                  <c:v>2414.1849999999999</c:v>
                </c:pt>
                <c:pt idx="26">
                  <c:v>2488.6950000000002</c:v>
                </c:pt>
                <c:pt idx="27">
                  <c:v>2563.21</c:v>
                </c:pt>
                <c:pt idx="28">
                  <c:v>2637.73</c:v>
                </c:pt>
                <c:pt idx="29">
                  <c:v>2712.2424999999998</c:v>
                </c:pt>
                <c:pt idx="30">
                  <c:v>2786.7474999999999</c:v>
                </c:pt>
                <c:pt idx="31">
                  <c:v>2861.2525000000001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3160.51</c:v>
                </c:pt>
                <c:pt idx="35">
                  <c:v>3285.51</c:v>
                </c:pt>
                <c:pt idx="36">
                  <c:v>3410.51</c:v>
                </c:pt>
                <c:pt idx="37">
                  <c:v>3535.51</c:v>
                </c:pt>
                <c:pt idx="38">
                  <c:v>3660.51</c:v>
                </c:pt>
                <c:pt idx="39">
                  <c:v>3785.51</c:v>
                </c:pt>
                <c:pt idx="40">
                  <c:v>3910.51</c:v>
                </c:pt>
                <c:pt idx="41">
                  <c:v>4010.26</c:v>
                </c:pt>
                <c:pt idx="42">
                  <c:v>4084.76</c:v>
                </c:pt>
                <c:pt idx="43">
                  <c:v>4184.51</c:v>
                </c:pt>
                <c:pt idx="44">
                  <c:v>4309.51</c:v>
                </c:pt>
                <c:pt idx="45">
                  <c:v>4409.2700000000004</c:v>
                </c:pt>
                <c:pt idx="46">
                  <c:v>4483.79</c:v>
                </c:pt>
                <c:pt idx="47">
                  <c:v>4570.3</c:v>
                </c:pt>
                <c:pt idx="48">
                  <c:v>4668.8</c:v>
                </c:pt>
                <c:pt idx="49">
                  <c:v>4755.32</c:v>
                </c:pt>
                <c:pt idx="50">
                  <c:v>4829.8599999999997</c:v>
                </c:pt>
                <c:pt idx="51">
                  <c:v>4904.3874999999998</c:v>
                </c:pt>
                <c:pt idx="52">
                  <c:v>4978.9025000000001</c:v>
                </c:pt>
                <c:pt idx="53">
                  <c:v>5053.415</c:v>
                </c:pt>
                <c:pt idx="54">
                  <c:v>5127.9250000000002</c:v>
                </c:pt>
                <c:pt idx="55">
                  <c:v>5202.4425000000001</c:v>
                </c:pt>
                <c:pt idx="56">
                  <c:v>5276.9674999999997</c:v>
                </c:pt>
                <c:pt idx="57">
                  <c:v>5351.4975000000004</c:v>
                </c:pt>
                <c:pt idx="58">
                  <c:v>5426.0325000000003</c:v>
                </c:pt>
                <c:pt idx="59">
                  <c:v>5500.58</c:v>
                </c:pt>
                <c:pt idx="60">
                  <c:v>5575.14</c:v>
                </c:pt>
                <c:pt idx="61">
                  <c:v>5649.7025000000003</c:v>
                </c:pt>
                <c:pt idx="62">
                  <c:v>5724.2674999999999</c:v>
                </c:pt>
                <c:pt idx="63">
                  <c:v>5798.8125</c:v>
                </c:pt>
                <c:pt idx="64">
                  <c:v>5873.3374999999996</c:v>
                </c:pt>
                <c:pt idx="65">
                  <c:v>5947.8549999999996</c:v>
                </c:pt>
                <c:pt idx="66">
                  <c:v>6022.3649999999998</c:v>
                </c:pt>
                <c:pt idx="67">
                  <c:v>6096.88</c:v>
                </c:pt>
                <c:pt idx="68">
                  <c:v>6171.4</c:v>
                </c:pt>
                <c:pt idx="69">
                  <c:v>6245.9250000000002</c:v>
                </c:pt>
                <c:pt idx="70">
                  <c:v>6320.4549999999999</c:v>
                </c:pt>
                <c:pt idx="71">
                  <c:v>6394.98</c:v>
                </c:pt>
                <c:pt idx="72">
                  <c:v>6469.5</c:v>
                </c:pt>
                <c:pt idx="73">
                  <c:v>6544.0124999999998</c:v>
                </c:pt>
                <c:pt idx="74">
                  <c:v>6618.5174999999999</c:v>
                </c:pt>
                <c:pt idx="75">
                  <c:v>6718.27</c:v>
                </c:pt>
                <c:pt idx="76">
                  <c:v>6843.27</c:v>
                </c:pt>
                <c:pt idx="77">
                  <c:v>6943.0550000000003</c:v>
                </c:pt>
                <c:pt idx="78">
                  <c:v>7017.625</c:v>
                </c:pt>
                <c:pt idx="79">
                  <c:v>7117.41</c:v>
                </c:pt>
                <c:pt idx="80">
                  <c:v>7242.41</c:v>
                </c:pt>
                <c:pt idx="81">
                  <c:v>7342.21</c:v>
                </c:pt>
                <c:pt idx="82">
                  <c:v>7416.81</c:v>
                </c:pt>
                <c:pt idx="83">
                  <c:v>7503.36</c:v>
                </c:pt>
                <c:pt idx="84">
                  <c:v>7601.86</c:v>
                </c:pt>
                <c:pt idx="85">
                  <c:v>7713.61</c:v>
                </c:pt>
                <c:pt idx="86">
                  <c:v>7838.61</c:v>
                </c:pt>
              </c:numCache>
            </c:numRef>
          </c:xVal>
          <c:yVal>
            <c:numRef>
              <c:f>'FL6 data'!$AC$6:$AC$568</c:f>
              <c:numCache>
                <c:formatCode>General</c:formatCode>
                <c:ptCount val="563"/>
                <c:pt idx="0">
                  <c:v>49.964886238647999</c:v>
                </c:pt>
                <c:pt idx="1">
                  <c:v>49.983027803995903</c:v>
                </c:pt>
                <c:pt idx="2">
                  <c:v>49.989370484791998</c:v>
                </c:pt>
                <c:pt idx="3">
                  <c:v>49.979881434782101</c:v>
                </c:pt>
                <c:pt idx="4">
                  <c:v>50.9981251716031</c:v>
                </c:pt>
                <c:pt idx="5">
                  <c:v>49.991655348149699</c:v>
                </c:pt>
                <c:pt idx="6">
                  <c:v>50.002979780201002</c:v>
                </c:pt>
                <c:pt idx="7">
                  <c:v>50.021127588345003</c:v>
                </c:pt>
                <c:pt idx="8">
                  <c:v>50.055075913314603</c:v>
                </c:pt>
                <c:pt idx="9">
                  <c:v>50.016114623109402</c:v>
                </c:pt>
                <c:pt idx="10">
                  <c:v>50.0675739910251</c:v>
                </c:pt>
                <c:pt idx="11">
                  <c:v>50.027769923351897</c:v>
                </c:pt>
                <c:pt idx="12">
                  <c:v>50.034936653227803</c:v>
                </c:pt>
                <c:pt idx="13">
                  <c:v>50.928717765017403</c:v>
                </c:pt>
                <c:pt idx="14">
                  <c:v>66.421976654306306</c:v>
                </c:pt>
                <c:pt idx="15">
                  <c:v>66.534596695213494</c:v>
                </c:pt>
                <c:pt idx="16">
                  <c:v>66.454002198089697</c:v>
                </c:pt>
                <c:pt idx="17">
                  <c:v>66.622994687411193</c:v>
                </c:pt>
                <c:pt idx="18">
                  <c:v>66.595526384750897</c:v>
                </c:pt>
                <c:pt idx="19">
                  <c:v>60.195574177599802</c:v>
                </c:pt>
                <c:pt idx="20">
                  <c:v>50.051186651369797</c:v>
                </c:pt>
                <c:pt idx="21">
                  <c:v>50.084354626832102</c:v>
                </c:pt>
                <c:pt idx="22">
                  <c:v>50.070389492047802</c:v>
                </c:pt>
                <c:pt idx="23">
                  <c:v>50.085497058510903</c:v>
                </c:pt>
                <c:pt idx="24">
                  <c:v>50.087238798611402</c:v>
                </c:pt>
                <c:pt idx="25">
                  <c:v>50.090222855127699</c:v>
                </c:pt>
                <c:pt idx="26">
                  <c:v>50.077643621068503</c:v>
                </c:pt>
                <c:pt idx="27">
                  <c:v>50.092576389241998</c:v>
                </c:pt>
                <c:pt idx="28">
                  <c:v>50.094149573848902</c:v>
                </c:pt>
                <c:pt idx="29">
                  <c:v>50.096765305397703</c:v>
                </c:pt>
                <c:pt idx="30">
                  <c:v>50.085003877622299</c:v>
                </c:pt>
                <c:pt idx="31">
                  <c:v>50.099299880597698</c:v>
                </c:pt>
                <c:pt idx="32">
                  <c:v>50.098095020958297</c:v>
                </c:pt>
                <c:pt idx="33">
                  <c:v>50.260364018924001</c:v>
                </c:pt>
                <c:pt idx="34">
                  <c:v>50.106079557118001</c:v>
                </c:pt>
                <c:pt idx="35">
                  <c:v>50.110112403372199</c:v>
                </c:pt>
                <c:pt idx="36">
                  <c:v>50.3968315407772</c:v>
                </c:pt>
                <c:pt idx="37">
                  <c:v>50.104431458958402</c:v>
                </c:pt>
                <c:pt idx="38">
                  <c:v>51.187132065090204</c:v>
                </c:pt>
                <c:pt idx="39">
                  <c:v>50.108414362844101</c:v>
                </c:pt>
                <c:pt idx="40">
                  <c:v>51.309378497520598</c:v>
                </c:pt>
                <c:pt idx="41">
                  <c:v>72.132449493499706</c:v>
                </c:pt>
                <c:pt idx="42">
                  <c:v>50.100492254644998</c:v>
                </c:pt>
                <c:pt idx="43">
                  <c:v>51.938858352553702</c:v>
                </c:pt>
                <c:pt idx="44">
                  <c:v>66.775506195136401</c:v>
                </c:pt>
                <c:pt idx="45">
                  <c:v>66.765392865520496</c:v>
                </c:pt>
                <c:pt idx="46">
                  <c:v>66.739297977993203</c:v>
                </c:pt>
                <c:pt idx="47">
                  <c:v>66.652335828889207</c:v>
                </c:pt>
                <c:pt idx="48">
                  <c:v>66.615503332140193</c:v>
                </c:pt>
                <c:pt idx="49">
                  <c:v>66.714951073362499</c:v>
                </c:pt>
                <c:pt idx="50">
                  <c:v>66.667630679234094</c:v>
                </c:pt>
                <c:pt idx="51">
                  <c:v>54.6085776016604</c:v>
                </c:pt>
                <c:pt idx="52">
                  <c:v>50.150091269335</c:v>
                </c:pt>
                <c:pt idx="53">
                  <c:v>50.183696240521499</c:v>
                </c:pt>
                <c:pt idx="54">
                  <c:v>50.1624894623085</c:v>
                </c:pt>
                <c:pt idx="55">
                  <c:v>50.177203732620001</c:v>
                </c:pt>
                <c:pt idx="56">
                  <c:v>50.178745703246598</c:v>
                </c:pt>
                <c:pt idx="57">
                  <c:v>50.179950562885999</c:v>
                </c:pt>
                <c:pt idx="58">
                  <c:v>50.180187789136198</c:v>
                </c:pt>
                <c:pt idx="59">
                  <c:v>50.182229183447603</c:v>
                </c:pt>
                <c:pt idx="60">
                  <c:v>50.183646298153</c:v>
                </c:pt>
                <c:pt idx="61">
                  <c:v>50.185100869634802</c:v>
                </c:pt>
                <c:pt idx="62">
                  <c:v>50.186455556379599</c:v>
                </c:pt>
                <c:pt idx="63">
                  <c:v>50.188565621447601</c:v>
                </c:pt>
                <c:pt idx="64">
                  <c:v>50.190307361548101</c:v>
                </c:pt>
                <c:pt idx="65">
                  <c:v>50.192192685957998</c:v>
                </c:pt>
                <c:pt idx="66">
                  <c:v>50.181323978019002</c:v>
                </c:pt>
                <c:pt idx="67">
                  <c:v>50.194614890829001</c:v>
                </c:pt>
                <c:pt idx="68">
                  <c:v>50.184882371772702</c:v>
                </c:pt>
                <c:pt idx="69">
                  <c:v>50.197130737640798</c:v>
                </c:pt>
                <c:pt idx="70">
                  <c:v>50.198435482017203</c:v>
                </c:pt>
                <c:pt idx="71">
                  <c:v>50.200283349650697</c:v>
                </c:pt>
                <c:pt idx="72">
                  <c:v>50.201413295737403</c:v>
                </c:pt>
                <c:pt idx="73">
                  <c:v>50.203804286627999</c:v>
                </c:pt>
                <c:pt idx="74">
                  <c:v>50.190519616614097</c:v>
                </c:pt>
                <c:pt idx="75">
                  <c:v>50.920246290765199</c:v>
                </c:pt>
                <c:pt idx="76">
                  <c:v>50.196587614383603</c:v>
                </c:pt>
                <c:pt idx="77">
                  <c:v>50.207075511763001</c:v>
                </c:pt>
                <c:pt idx="78">
                  <c:v>50.213249637065502</c:v>
                </c:pt>
                <c:pt idx="79">
                  <c:v>50.200127279749204</c:v>
                </c:pt>
                <c:pt idx="80">
                  <c:v>50.811215857592003</c:v>
                </c:pt>
                <c:pt idx="81">
                  <c:v>66.358612274305798</c:v>
                </c:pt>
                <c:pt idx="82">
                  <c:v>50.1557659709528</c:v>
                </c:pt>
                <c:pt idx="83">
                  <c:v>51.075410986815498</c:v>
                </c:pt>
                <c:pt idx="84">
                  <c:v>50.216552076180797</c:v>
                </c:pt>
                <c:pt idx="85">
                  <c:v>50.236678850675602</c:v>
                </c:pt>
                <c:pt idx="86">
                  <c:v>50.233657337382901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73-428D-B097-FDA48D1C7632}"/>
            </c:ext>
          </c:extLst>
        </c:ser>
        <c:ser>
          <c:idx val="2"/>
          <c:order val="2"/>
          <c:tx>
            <c:v>LateLife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'FL6 data'!$AE$6:$AE$568</c:f>
              <c:numCache>
                <c:formatCode>General</c:formatCode>
                <c:ptCount val="563"/>
                <c:pt idx="0">
                  <c:v>48.543058277668898</c:v>
                </c:pt>
                <c:pt idx="1">
                  <c:v>145.629174833007</c:v>
                </c:pt>
                <c:pt idx="2">
                  <c:v>222.08611655533801</c:v>
                </c:pt>
                <c:pt idx="3">
                  <c:v>270.935</c:v>
                </c:pt>
                <c:pt idx="4">
                  <c:v>312.80500000000001</c:v>
                </c:pt>
                <c:pt idx="5">
                  <c:v>375.49</c:v>
                </c:pt>
                <c:pt idx="6">
                  <c:v>500.49</c:v>
                </c:pt>
                <c:pt idx="7">
                  <c:v>646.24</c:v>
                </c:pt>
                <c:pt idx="8">
                  <c:v>771.24</c:v>
                </c:pt>
                <c:pt idx="9">
                  <c:v>896.24</c:v>
                </c:pt>
                <c:pt idx="10">
                  <c:v>1021.24</c:v>
                </c:pt>
                <c:pt idx="11">
                  <c:v>1146.24</c:v>
                </c:pt>
                <c:pt idx="12">
                  <c:v>1271.24</c:v>
                </c:pt>
                <c:pt idx="13">
                  <c:v>1396.24</c:v>
                </c:pt>
                <c:pt idx="14">
                  <c:v>1521.24</c:v>
                </c:pt>
                <c:pt idx="15">
                  <c:v>1632.99</c:v>
                </c:pt>
                <c:pt idx="16">
                  <c:v>1731.49</c:v>
                </c:pt>
                <c:pt idx="17">
                  <c:v>1817.9974999999999</c:v>
                </c:pt>
                <c:pt idx="18">
                  <c:v>1892.5125</c:v>
                </c:pt>
                <c:pt idx="19">
                  <c:v>1967.03</c:v>
                </c:pt>
                <c:pt idx="20">
                  <c:v>2041.55</c:v>
                </c:pt>
                <c:pt idx="21">
                  <c:v>2116.0700000000002</c:v>
                </c:pt>
                <c:pt idx="22">
                  <c:v>2190.59</c:v>
                </c:pt>
                <c:pt idx="23">
                  <c:v>2265.12</c:v>
                </c:pt>
                <c:pt idx="24">
                  <c:v>2339.66</c:v>
                </c:pt>
                <c:pt idx="25">
                  <c:v>2414.1849999999999</c:v>
                </c:pt>
                <c:pt idx="26">
                  <c:v>2488.6950000000002</c:v>
                </c:pt>
                <c:pt idx="27">
                  <c:v>2563.21</c:v>
                </c:pt>
                <c:pt idx="28">
                  <c:v>2637.73</c:v>
                </c:pt>
                <c:pt idx="29">
                  <c:v>2712.2424999999998</c:v>
                </c:pt>
                <c:pt idx="30">
                  <c:v>2786.7474999999999</c:v>
                </c:pt>
                <c:pt idx="31">
                  <c:v>2861.2525000000001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3160.51</c:v>
                </c:pt>
                <c:pt idx="35">
                  <c:v>3285.51</c:v>
                </c:pt>
                <c:pt idx="36">
                  <c:v>3410.51</c:v>
                </c:pt>
                <c:pt idx="37">
                  <c:v>3535.51</c:v>
                </c:pt>
                <c:pt idx="38">
                  <c:v>3660.51</c:v>
                </c:pt>
                <c:pt idx="39">
                  <c:v>3785.51</c:v>
                </c:pt>
                <c:pt idx="40">
                  <c:v>3910.51</c:v>
                </c:pt>
                <c:pt idx="41">
                  <c:v>4010.26</c:v>
                </c:pt>
                <c:pt idx="42">
                  <c:v>4084.76</c:v>
                </c:pt>
                <c:pt idx="43">
                  <c:v>4184.51</c:v>
                </c:pt>
                <c:pt idx="44">
                  <c:v>4309.51</c:v>
                </c:pt>
                <c:pt idx="45">
                  <c:v>4409.2700000000004</c:v>
                </c:pt>
                <c:pt idx="46">
                  <c:v>4483.79</c:v>
                </c:pt>
                <c:pt idx="47">
                  <c:v>4570.3</c:v>
                </c:pt>
                <c:pt idx="48">
                  <c:v>4668.8</c:v>
                </c:pt>
                <c:pt idx="49">
                  <c:v>4755.32</c:v>
                </c:pt>
                <c:pt idx="50">
                  <c:v>4829.8599999999997</c:v>
                </c:pt>
                <c:pt idx="51">
                  <c:v>4904.3874999999998</c:v>
                </c:pt>
                <c:pt idx="52">
                  <c:v>4978.9025000000001</c:v>
                </c:pt>
                <c:pt idx="53">
                  <c:v>5053.415</c:v>
                </c:pt>
                <c:pt idx="54">
                  <c:v>5127.9250000000002</c:v>
                </c:pt>
                <c:pt idx="55">
                  <c:v>5202.4425000000001</c:v>
                </c:pt>
                <c:pt idx="56">
                  <c:v>5276.9674999999997</c:v>
                </c:pt>
                <c:pt idx="57">
                  <c:v>5351.4975000000004</c:v>
                </c:pt>
                <c:pt idx="58">
                  <c:v>5426.0325000000003</c:v>
                </c:pt>
                <c:pt idx="59">
                  <c:v>5500.58</c:v>
                </c:pt>
                <c:pt idx="60">
                  <c:v>5575.14</c:v>
                </c:pt>
                <c:pt idx="61">
                  <c:v>5649.7025000000003</c:v>
                </c:pt>
                <c:pt idx="62">
                  <c:v>5724.2674999999999</c:v>
                </c:pt>
                <c:pt idx="63">
                  <c:v>5798.8125</c:v>
                </c:pt>
                <c:pt idx="64">
                  <c:v>5873.3374999999996</c:v>
                </c:pt>
                <c:pt idx="65">
                  <c:v>5947.8549999999996</c:v>
                </c:pt>
                <c:pt idx="66">
                  <c:v>6022.3649999999998</c:v>
                </c:pt>
                <c:pt idx="67">
                  <c:v>6096.88</c:v>
                </c:pt>
                <c:pt idx="68">
                  <c:v>6171.4</c:v>
                </c:pt>
                <c:pt idx="69">
                  <c:v>6245.9250000000002</c:v>
                </c:pt>
                <c:pt idx="70">
                  <c:v>6320.4549999999999</c:v>
                </c:pt>
                <c:pt idx="71">
                  <c:v>6394.98</c:v>
                </c:pt>
                <c:pt idx="72">
                  <c:v>6469.5</c:v>
                </c:pt>
                <c:pt idx="73">
                  <c:v>6544.0124999999998</c:v>
                </c:pt>
                <c:pt idx="74">
                  <c:v>6618.5174999999999</c:v>
                </c:pt>
                <c:pt idx="75">
                  <c:v>6718.27</c:v>
                </c:pt>
                <c:pt idx="76">
                  <c:v>6843.27</c:v>
                </c:pt>
                <c:pt idx="77">
                  <c:v>6943.0550000000003</c:v>
                </c:pt>
                <c:pt idx="78">
                  <c:v>7017.625</c:v>
                </c:pt>
                <c:pt idx="79">
                  <c:v>7117.41</c:v>
                </c:pt>
                <c:pt idx="80">
                  <c:v>7242.41</c:v>
                </c:pt>
                <c:pt idx="81">
                  <c:v>7342.21</c:v>
                </c:pt>
                <c:pt idx="82">
                  <c:v>7416.81</c:v>
                </c:pt>
                <c:pt idx="83">
                  <c:v>7503.36</c:v>
                </c:pt>
                <c:pt idx="84">
                  <c:v>7601.86</c:v>
                </c:pt>
                <c:pt idx="85">
                  <c:v>7713.61</c:v>
                </c:pt>
                <c:pt idx="86">
                  <c:v>7838.61</c:v>
                </c:pt>
              </c:numCache>
            </c:numRef>
          </c:xVal>
          <c:yVal>
            <c:numRef>
              <c:f>'FL6 data'!$AH$6:$AH$568</c:f>
              <c:numCache>
                <c:formatCode>General</c:formatCode>
                <c:ptCount val="563"/>
                <c:pt idx="0">
                  <c:v>50.533898371052103</c:v>
                </c:pt>
                <c:pt idx="1">
                  <c:v>50.5442988692866</c:v>
                </c:pt>
                <c:pt idx="2">
                  <c:v>50.545229045899397</c:v>
                </c:pt>
                <c:pt idx="3">
                  <c:v>50.531938133089497</c:v>
                </c:pt>
                <c:pt idx="4">
                  <c:v>51.7061331582644</c:v>
                </c:pt>
                <c:pt idx="5">
                  <c:v>50.546340263597997</c:v>
                </c:pt>
                <c:pt idx="6">
                  <c:v>50.568346119706497</c:v>
                </c:pt>
                <c:pt idx="7">
                  <c:v>50.585201669066201</c:v>
                </c:pt>
                <c:pt idx="8">
                  <c:v>50.637940810174001</c:v>
                </c:pt>
                <c:pt idx="9">
                  <c:v>50.597631076020001</c:v>
                </c:pt>
                <c:pt idx="10">
                  <c:v>50.665352927669701</c:v>
                </c:pt>
                <c:pt idx="11">
                  <c:v>50.6207356642349</c:v>
                </c:pt>
                <c:pt idx="12">
                  <c:v>50.632902873754198</c:v>
                </c:pt>
                <c:pt idx="13">
                  <c:v>50.423176140146801</c:v>
                </c:pt>
                <c:pt idx="14">
                  <c:v>65.089639119360797</c:v>
                </c:pt>
                <c:pt idx="15">
                  <c:v>68.197864849254898</c:v>
                </c:pt>
                <c:pt idx="16">
                  <c:v>66.792236888574905</c:v>
                </c:pt>
                <c:pt idx="17">
                  <c:v>67.002431831886796</c:v>
                </c:pt>
                <c:pt idx="18">
                  <c:v>67.001058416753693</c:v>
                </c:pt>
                <c:pt idx="19">
                  <c:v>67.009174051630694</c:v>
                </c:pt>
                <c:pt idx="20">
                  <c:v>67.005178662152801</c:v>
                </c:pt>
                <c:pt idx="21">
                  <c:v>67.002993683532097</c:v>
                </c:pt>
                <c:pt idx="22">
                  <c:v>67.002494259847396</c:v>
                </c:pt>
                <c:pt idx="23">
                  <c:v>67.026154456911598</c:v>
                </c:pt>
                <c:pt idx="24">
                  <c:v>67.018350961837598</c:v>
                </c:pt>
                <c:pt idx="25">
                  <c:v>66.963601640398807</c:v>
                </c:pt>
                <c:pt idx="26">
                  <c:v>66.954986581837204</c:v>
                </c:pt>
                <c:pt idx="27">
                  <c:v>66.983953155551703</c:v>
                </c:pt>
                <c:pt idx="28">
                  <c:v>54.144762825649202</c:v>
                </c:pt>
                <c:pt idx="29">
                  <c:v>50.694606670002997</c:v>
                </c:pt>
                <c:pt idx="30">
                  <c:v>50.747002457327497</c:v>
                </c:pt>
                <c:pt idx="31">
                  <c:v>50.749568246507799</c:v>
                </c:pt>
                <c:pt idx="32">
                  <c:v>50.7417148090654</c:v>
                </c:pt>
                <c:pt idx="33">
                  <c:v>51.013220252474198</c:v>
                </c:pt>
                <c:pt idx="34">
                  <c:v>50.764088990141403</c:v>
                </c:pt>
                <c:pt idx="35">
                  <c:v>50.774077463836001</c:v>
                </c:pt>
                <c:pt idx="36">
                  <c:v>51.127207465718399</c:v>
                </c:pt>
                <c:pt idx="37">
                  <c:v>50.773228443572002</c:v>
                </c:pt>
                <c:pt idx="38">
                  <c:v>52.590706145866697</c:v>
                </c:pt>
                <c:pt idx="39">
                  <c:v>50.658716835458897</c:v>
                </c:pt>
                <c:pt idx="40">
                  <c:v>58.562277687438403</c:v>
                </c:pt>
                <c:pt idx="41">
                  <c:v>71.6250350298114</c:v>
                </c:pt>
                <c:pt idx="42">
                  <c:v>50.276045922624597</c:v>
                </c:pt>
                <c:pt idx="43">
                  <c:v>52.502876248110397</c:v>
                </c:pt>
                <c:pt idx="44">
                  <c:v>66.502758435311804</c:v>
                </c:pt>
                <c:pt idx="45">
                  <c:v>67.196645217287198</c:v>
                </c:pt>
                <c:pt idx="46">
                  <c:v>67.158626589286897</c:v>
                </c:pt>
                <c:pt idx="47">
                  <c:v>67.024156762172595</c:v>
                </c:pt>
                <c:pt idx="48">
                  <c:v>66.941190002546406</c:v>
                </c:pt>
                <c:pt idx="49">
                  <c:v>67.092140811256897</c:v>
                </c:pt>
                <c:pt idx="50">
                  <c:v>67.090267972439094</c:v>
                </c:pt>
                <c:pt idx="51">
                  <c:v>67.062425102015297</c:v>
                </c:pt>
                <c:pt idx="52">
                  <c:v>67.042947578310702</c:v>
                </c:pt>
                <c:pt idx="53">
                  <c:v>67.009611047354795</c:v>
                </c:pt>
                <c:pt idx="54">
                  <c:v>66.991756650625604</c:v>
                </c:pt>
                <c:pt idx="55">
                  <c:v>67.037391489818006</c:v>
                </c:pt>
                <c:pt idx="56">
                  <c:v>67.029088571059404</c:v>
                </c:pt>
                <c:pt idx="57">
                  <c:v>67.039514040478196</c:v>
                </c:pt>
                <c:pt idx="58">
                  <c:v>67.030524414153007</c:v>
                </c:pt>
                <c:pt idx="59">
                  <c:v>67.054122183256595</c:v>
                </c:pt>
                <c:pt idx="60">
                  <c:v>67.046942967788596</c:v>
                </c:pt>
                <c:pt idx="61">
                  <c:v>67.046818111867395</c:v>
                </c:pt>
                <c:pt idx="62">
                  <c:v>67.037578773699806</c:v>
                </c:pt>
                <c:pt idx="63">
                  <c:v>66.985326570684705</c:v>
                </c:pt>
                <c:pt idx="64">
                  <c:v>66.979333486467894</c:v>
                </c:pt>
                <c:pt idx="65">
                  <c:v>67.112617182330894</c:v>
                </c:pt>
                <c:pt idx="66">
                  <c:v>60.1285140623323</c:v>
                </c:pt>
                <c:pt idx="67">
                  <c:v>50.730278006684998</c:v>
                </c:pt>
                <c:pt idx="68">
                  <c:v>50.913017132928701</c:v>
                </c:pt>
                <c:pt idx="69">
                  <c:v>50.930390834361297</c:v>
                </c:pt>
                <c:pt idx="70">
                  <c:v>50.9332375493643</c:v>
                </c:pt>
                <c:pt idx="71">
                  <c:v>50.936552474071704</c:v>
                </c:pt>
                <c:pt idx="72">
                  <c:v>50.939074563679597</c:v>
                </c:pt>
                <c:pt idx="73">
                  <c:v>50.942632957433297</c:v>
                </c:pt>
                <c:pt idx="74">
                  <c:v>50.923323989222297</c:v>
                </c:pt>
                <c:pt idx="75">
                  <c:v>51.702774533984503</c:v>
                </c:pt>
                <c:pt idx="76">
                  <c:v>50.945966610528899</c:v>
                </c:pt>
                <c:pt idx="77">
                  <c:v>50.950954604580197</c:v>
                </c:pt>
                <c:pt idx="78">
                  <c:v>50.9456357423377</c:v>
                </c:pt>
                <c:pt idx="79">
                  <c:v>49.940164766253702</c:v>
                </c:pt>
                <c:pt idx="80">
                  <c:v>67.643816699004603</c:v>
                </c:pt>
                <c:pt idx="81">
                  <c:v>68.216343525590005</c:v>
                </c:pt>
                <c:pt idx="82">
                  <c:v>49.458358251999996</c:v>
                </c:pt>
                <c:pt idx="83">
                  <c:v>51.017534024551097</c:v>
                </c:pt>
                <c:pt idx="84">
                  <c:v>50.991726305642501</c:v>
                </c:pt>
                <c:pt idx="85">
                  <c:v>51.003156865226799</c:v>
                </c:pt>
                <c:pt idx="86">
                  <c:v>51.001770964501702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73-428D-B097-FDA48D1C7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243784"/>
        <c:axId val="873245584"/>
      </c:scatterChart>
      <c:valAx>
        <c:axId val="873243784"/>
        <c:scaling>
          <c:orientation val="minMax"/>
          <c:max val="17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 from DC1 for FL5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5584"/>
        <c:crosses val="autoZero"/>
        <c:crossBetween val="midCat"/>
      </c:valAx>
      <c:valAx>
        <c:axId val="87324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Density at PCL (lb/ft</a:t>
                </a:r>
                <a:r>
                  <a:rPr lang="en-US" baseline="30000"/>
                  <a:t>3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378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EarlyLife</c:v>
          </c:tx>
          <c:spPr>
            <a:ln w="19050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xVal>
            <c:numRef>
              <c:f>'FL6 data'!$AK$6:$AK$568</c:f>
              <c:numCache>
                <c:formatCode>General</c:formatCode>
                <c:ptCount val="563"/>
                <c:pt idx="0">
                  <c:v>48.543058277668941</c:v>
                </c:pt>
                <c:pt idx="1">
                  <c:v>145.62917483300683</c:v>
                </c:pt>
                <c:pt idx="2">
                  <c:v>222.08611655533801</c:v>
                </c:pt>
                <c:pt idx="3">
                  <c:v>270.93500000000023</c:v>
                </c:pt>
                <c:pt idx="4">
                  <c:v>312.80500000000023</c:v>
                </c:pt>
                <c:pt idx="5">
                  <c:v>375.49000000000029</c:v>
                </c:pt>
                <c:pt idx="6">
                  <c:v>500.49000000000024</c:v>
                </c:pt>
                <c:pt idx="7">
                  <c:v>646.24000000000035</c:v>
                </c:pt>
                <c:pt idx="8">
                  <c:v>771.24000000000024</c:v>
                </c:pt>
                <c:pt idx="9">
                  <c:v>896.24000000000024</c:v>
                </c:pt>
                <c:pt idx="10">
                  <c:v>1021.2400000000004</c:v>
                </c:pt>
                <c:pt idx="11">
                  <c:v>1146.2400000000005</c:v>
                </c:pt>
                <c:pt idx="12">
                  <c:v>1271.2400000000005</c:v>
                </c:pt>
                <c:pt idx="13">
                  <c:v>1396.2400000000005</c:v>
                </c:pt>
                <c:pt idx="14">
                  <c:v>1521.2400000000007</c:v>
                </c:pt>
                <c:pt idx="15">
                  <c:v>1632.9900000000007</c:v>
                </c:pt>
                <c:pt idx="16">
                  <c:v>1731.4900000000007</c:v>
                </c:pt>
                <c:pt idx="17">
                  <c:v>1817.9974999999999</c:v>
                </c:pt>
                <c:pt idx="18">
                  <c:v>1892.5124999999975</c:v>
                </c:pt>
                <c:pt idx="19">
                  <c:v>1967.029999999997</c:v>
                </c:pt>
                <c:pt idx="20">
                  <c:v>2041.549999999997</c:v>
                </c:pt>
                <c:pt idx="21">
                  <c:v>2116.069999999997</c:v>
                </c:pt>
                <c:pt idx="22">
                  <c:v>2190.5899999999974</c:v>
                </c:pt>
                <c:pt idx="23">
                  <c:v>2265.1199999999972</c:v>
                </c:pt>
                <c:pt idx="24">
                  <c:v>2339.6599999999971</c:v>
                </c:pt>
                <c:pt idx="25">
                  <c:v>2414.1849999999972</c:v>
                </c:pt>
                <c:pt idx="26">
                  <c:v>2488.694999999997</c:v>
                </c:pt>
                <c:pt idx="27">
                  <c:v>2563.2099999999973</c:v>
                </c:pt>
                <c:pt idx="28">
                  <c:v>2637.7299999999973</c:v>
                </c:pt>
                <c:pt idx="29">
                  <c:v>2712.242499999998</c:v>
                </c:pt>
                <c:pt idx="30">
                  <c:v>2786.7474999999986</c:v>
                </c:pt>
                <c:pt idx="31">
                  <c:v>2861.2524999999978</c:v>
                </c:pt>
                <c:pt idx="32">
                  <c:v>2935.7574999999956</c:v>
                </c:pt>
                <c:pt idx="33">
                  <c:v>3035.5099999999939</c:v>
                </c:pt>
                <c:pt idx="34">
                  <c:v>3160.5099999999943</c:v>
                </c:pt>
                <c:pt idx="35">
                  <c:v>3285.5099999999939</c:v>
                </c:pt>
                <c:pt idx="36">
                  <c:v>3410.5099999999943</c:v>
                </c:pt>
                <c:pt idx="37">
                  <c:v>3535.5099999999939</c:v>
                </c:pt>
                <c:pt idx="38">
                  <c:v>3660.5099999999939</c:v>
                </c:pt>
                <c:pt idx="39">
                  <c:v>3785.5099999999934</c:v>
                </c:pt>
                <c:pt idx="40">
                  <c:v>3910.5099999999929</c:v>
                </c:pt>
                <c:pt idx="41">
                  <c:v>4010.2599999999925</c:v>
                </c:pt>
                <c:pt idx="42">
                  <c:v>4084.7599999999929</c:v>
                </c:pt>
                <c:pt idx="43">
                  <c:v>4184.5099999999929</c:v>
                </c:pt>
                <c:pt idx="44">
                  <c:v>4309.509999999992</c:v>
                </c:pt>
                <c:pt idx="45">
                  <c:v>4409.2699999999913</c:v>
                </c:pt>
                <c:pt idx="46">
                  <c:v>4483.7899999999927</c:v>
                </c:pt>
                <c:pt idx="47">
                  <c:v>4570.299999999992</c:v>
                </c:pt>
                <c:pt idx="48">
                  <c:v>4668.799999999992</c:v>
                </c:pt>
                <c:pt idx="49">
                  <c:v>4755.3199999999915</c:v>
                </c:pt>
                <c:pt idx="50">
                  <c:v>4829.8599999999924</c:v>
                </c:pt>
                <c:pt idx="51">
                  <c:v>4904.3874999999953</c:v>
                </c:pt>
                <c:pt idx="52">
                  <c:v>4978.9025000000011</c:v>
                </c:pt>
                <c:pt idx="53">
                  <c:v>5053.4150000000036</c:v>
                </c:pt>
                <c:pt idx="54">
                  <c:v>5127.9250000000029</c:v>
                </c:pt>
                <c:pt idx="55">
                  <c:v>5202.4425000000074</c:v>
                </c:pt>
                <c:pt idx="56">
                  <c:v>5276.967500000017</c:v>
                </c:pt>
                <c:pt idx="57">
                  <c:v>5351.4975000000195</c:v>
                </c:pt>
                <c:pt idx="58">
                  <c:v>5426.0325000000148</c:v>
                </c:pt>
                <c:pt idx="59">
                  <c:v>5500.5800000000127</c:v>
                </c:pt>
                <c:pt idx="60">
                  <c:v>5575.1400000000122</c:v>
                </c:pt>
                <c:pt idx="61">
                  <c:v>5649.7025000000085</c:v>
                </c:pt>
                <c:pt idx="62">
                  <c:v>5724.2674999999981</c:v>
                </c:pt>
                <c:pt idx="63">
                  <c:v>5798.8124999999991</c:v>
                </c:pt>
                <c:pt idx="64">
                  <c:v>5873.3375000000096</c:v>
                </c:pt>
                <c:pt idx="65">
                  <c:v>5947.8550000000141</c:v>
                </c:pt>
                <c:pt idx="66">
                  <c:v>6022.3650000000134</c:v>
                </c:pt>
                <c:pt idx="67">
                  <c:v>6096.8800000000138</c:v>
                </c:pt>
                <c:pt idx="68">
                  <c:v>6171.4000000000142</c:v>
                </c:pt>
                <c:pt idx="69">
                  <c:v>6245.9250000000147</c:v>
                </c:pt>
                <c:pt idx="70">
                  <c:v>6320.4550000000136</c:v>
                </c:pt>
                <c:pt idx="71">
                  <c:v>6394.9800000000141</c:v>
                </c:pt>
                <c:pt idx="72">
                  <c:v>6469.5000000000146</c:v>
                </c:pt>
                <c:pt idx="73">
                  <c:v>6544.0125000000135</c:v>
                </c:pt>
                <c:pt idx="74">
                  <c:v>6618.5175000000127</c:v>
                </c:pt>
                <c:pt idx="75">
                  <c:v>6718.2700000000114</c:v>
                </c:pt>
                <c:pt idx="76">
                  <c:v>6843.2700000000104</c:v>
                </c:pt>
                <c:pt idx="77">
                  <c:v>6943.0550000000103</c:v>
                </c:pt>
                <c:pt idx="78">
                  <c:v>7017.6250000000118</c:v>
                </c:pt>
                <c:pt idx="79">
                  <c:v>7117.4100000000117</c:v>
                </c:pt>
                <c:pt idx="80">
                  <c:v>7242.4100000000099</c:v>
                </c:pt>
                <c:pt idx="81">
                  <c:v>7342.21000000001</c:v>
                </c:pt>
                <c:pt idx="82">
                  <c:v>7416.8100000000104</c:v>
                </c:pt>
                <c:pt idx="83">
                  <c:v>7503.3600000000115</c:v>
                </c:pt>
                <c:pt idx="84">
                  <c:v>7601.8600000000106</c:v>
                </c:pt>
                <c:pt idx="85">
                  <c:v>7713.6100000000124</c:v>
                </c:pt>
                <c:pt idx="86">
                  <c:v>7838.6100000000106</c:v>
                </c:pt>
              </c:numCache>
            </c:numRef>
          </c:xVal>
          <c:yVal>
            <c:numRef>
              <c:f>'FL6 data'!$AP$6:$AP$568</c:f>
              <c:numCache>
                <c:formatCode>General</c:formatCode>
                <c:ptCount val="563"/>
                <c:pt idx="0">
                  <c:v>49.039273109752727</c:v>
                </c:pt>
                <c:pt idx="1">
                  <c:v>49.041776470972451</c:v>
                </c:pt>
                <c:pt idx="2">
                  <c:v>49.04376168011926</c:v>
                </c:pt>
                <c:pt idx="3">
                  <c:v>49.044323531764583</c:v>
                </c:pt>
                <c:pt idx="4">
                  <c:v>49.108062479528591</c:v>
                </c:pt>
                <c:pt idx="5">
                  <c:v>49.047507357754753</c:v>
                </c:pt>
                <c:pt idx="6">
                  <c:v>49.052283096740013</c:v>
                </c:pt>
                <c:pt idx="7">
                  <c:v>49.054979984637569</c:v>
                </c:pt>
                <c:pt idx="8">
                  <c:v>49.078328041898821</c:v>
                </c:pt>
                <c:pt idx="9">
                  <c:v>49.060979311650414</c:v>
                </c:pt>
                <c:pt idx="10">
                  <c:v>49.079152090978624</c:v>
                </c:pt>
                <c:pt idx="11">
                  <c:v>49.068102341953917</c:v>
                </c:pt>
                <c:pt idx="12">
                  <c:v>49.072784438998283</c:v>
                </c:pt>
                <c:pt idx="13">
                  <c:v>49.076267919199296</c:v>
                </c:pt>
                <c:pt idx="14">
                  <c:v>49.003920155669711</c:v>
                </c:pt>
                <c:pt idx="15">
                  <c:v>50.173252042714509</c:v>
                </c:pt>
                <c:pt idx="16">
                  <c:v>49.085276273912662</c:v>
                </c:pt>
                <c:pt idx="17">
                  <c:v>49.089346576943235</c:v>
                </c:pt>
                <c:pt idx="18">
                  <c:v>49.090158140430923</c:v>
                </c:pt>
                <c:pt idx="19">
                  <c:v>49.091007160694964</c:v>
                </c:pt>
                <c:pt idx="20">
                  <c:v>49.091918608919606</c:v>
                </c:pt>
                <c:pt idx="21">
                  <c:v>49.092929941881188</c:v>
                </c:pt>
                <c:pt idx="22">
                  <c:v>49.09384139010583</c:v>
                </c:pt>
                <c:pt idx="23">
                  <c:v>49.094421970139322</c:v>
                </c:pt>
                <c:pt idx="24">
                  <c:v>49.095221048034894</c:v>
                </c:pt>
                <c:pt idx="25">
                  <c:v>49.096650648332449</c:v>
                </c:pt>
                <c:pt idx="26">
                  <c:v>49.097849265175803</c:v>
                </c:pt>
                <c:pt idx="27">
                  <c:v>49.098461059189603</c:v>
                </c:pt>
                <c:pt idx="28">
                  <c:v>49.099322565045767</c:v>
                </c:pt>
                <c:pt idx="29">
                  <c:v>49.100646037810307</c:v>
                </c:pt>
                <c:pt idx="30">
                  <c:v>49.101932053798492</c:v>
                </c:pt>
                <c:pt idx="31">
                  <c:v>49.102768588470418</c:v>
                </c:pt>
                <c:pt idx="32">
                  <c:v>49.103417839260572</c:v>
                </c:pt>
                <c:pt idx="33">
                  <c:v>49.141374039300253</c:v>
                </c:pt>
                <c:pt idx="34">
                  <c:v>49.108711730318738</c:v>
                </c:pt>
                <c:pt idx="35">
                  <c:v>49.11078433861038</c:v>
                </c:pt>
                <c:pt idx="36">
                  <c:v>49.145513013087474</c:v>
                </c:pt>
                <c:pt idx="37">
                  <c:v>49.11624678516214</c:v>
                </c:pt>
                <c:pt idx="38">
                  <c:v>49.187427145828664</c:v>
                </c:pt>
                <c:pt idx="39">
                  <c:v>49.122158713030167</c:v>
                </c:pt>
                <c:pt idx="40">
                  <c:v>49.249979962341421</c:v>
                </c:pt>
                <c:pt idx="41">
                  <c:v>49.225096177249618</c:v>
                </c:pt>
                <c:pt idx="42">
                  <c:v>49.129156887412485</c:v>
                </c:pt>
                <c:pt idx="43">
                  <c:v>49.131466721954368</c:v>
                </c:pt>
                <c:pt idx="44">
                  <c:v>49.292699415774237</c:v>
                </c:pt>
                <c:pt idx="45">
                  <c:v>49.293255024623505</c:v>
                </c:pt>
                <c:pt idx="46">
                  <c:v>49.13630488890022</c:v>
                </c:pt>
                <c:pt idx="47">
                  <c:v>49.845973459313164</c:v>
                </c:pt>
                <c:pt idx="48">
                  <c:v>49.141274154563305</c:v>
                </c:pt>
                <c:pt idx="49">
                  <c:v>49.14568781137713</c:v>
                </c:pt>
                <c:pt idx="50">
                  <c:v>49.146530588845117</c:v>
                </c:pt>
                <c:pt idx="51">
                  <c:v>49.148022617103258</c:v>
                </c:pt>
                <c:pt idx="52">
                  <c:v>49.149327361479621</c:v>
                </c:pt>
                <c:pt idx="53">
                  <c:v>49.150613377467806</c:v>
                </c:pt>
                <c:pt idx="54">
                  <c:v>49.151955578620523</c:v>
                </c:pt>
                <c:pt idx="55">
                  <c:v>49.152224018851072</c:v>
                </c:pt>
                <c:pt idx="56">
                  <c:v>49.153185409444184</c:v>
                </c:pt>
                <c:pt idx="57">
                  <c:v>49.154034429708226</c:v>
                </c:pt>
                <c:pt idx="58">
                  <c:v>49.154958363524976</c:v>
                </c:pt>
                <c:pt idx="59">
                  <c:v>49.15560761431513</c:v>
                </c:pt>
                <c:pt idx="60">
                  <c:v>49.156419177802825</c:v>
                </c:pt>
                <c:pt idx="61">
                  <c:v>49.15725571247475</c:v>
                </c:pt>
                <c:pt idx="62">
                  <c:v>49.158054790370322</c:v>
                </c:pt>
                <c:pt idx="63">
                  <c:v>49.159203464845206</c:v>
                </c:pt>
                <c:pt idx="64">
                  <c:v>49.160339653727974</c:v>
                </c:pt>
                <c:pt idx="65">
                  <c:v>49.16155075616345</c:v>
                </c:pt>
                <c:pt idx="66">
                  <c:v>49.162830529355581</c:v>
                </c:pt>
                <c:pt idx="67">
                  <c:v>49.163592150474798</c:v>
                </c:pt>
                <c:pt idx="68">
                  <c:v>49.164541055475787</c:v>
                </c:pt>
                <c:pt idx="69">
                  <c:v>49.165415046924068</c:v>
                </c:pt>
                <c:pt idx="70">
                  <c:v>49.166301523964464</c:v>
                </c:pt>
                <c:pt idx="71">
                  <c:v>49.167381527682707</c:v>
                </c:pt>
                <c:pt idx="72">
                  <c:v>49.168286733111287</c:v>
                </c:pt>
                <c:pt idx="73">
                  <c:v>49.169522806730996</c:v>
                </c:pt>
                <c:pt idx="74">
                  <c:v>49.170065929988148</c:v>
                </c:pt>
                <c:pt idx="75">
                  <c:v>49.283597419119985</c:v>
                </c:pt>
                <c:pt idx="76">
                  <c:v>49.175859244731043</c:v>
                </c:pt>
                <c:pt idx="77">
                  <c:v>49.17648976713302</c:v>
                </c:pt>
                <c:pt idx="78">
                  <c:v>49.177388729765539</c:v>
                </c:pt>
                <c:pt idx="79">
                  <c:v>49.179548737202005</c:v>
                </c:pt>
                <c:pt idx="80">
                  <c:v>49.249624122966047</c:v>
                </c:pt>
                <c:pt idx="81">
                  <c:v>49.281237642209625</c:v>
                </c:pt>
                <c:pt idx="82">
                  <c:v>49.186134887044417</c:v>
                </c:pt>
                <c:pt idx="83">
                  <c:v>49.212379601677114</c:v>
                </c:pt>
                <c:pt idx="84">
                  <c:v>49.189936749844442</c:v>
                </c:pt>
                <c:pt idx="85">
                  <c:v>49.192071786096676</c:v>
                </c:pt>
                <c:pt idx="86">
                  <c:v>49.196098389554827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A4-4373-8313-1A88123C2C21}"/>
            </c:ext>
          </c:extLst>
        </c:ser>
        <c:ser>
          <c:idx val="1"/>
          <c:order val="1"/>
          <c:tx>
            <c:v>MidLife</c:v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'FL6 data'!$AR$6:$AR$568</c:f>
              <c:numCache>
                <c:formatCode>General</c:formatCode>
                <c:ptCount val="563"/>
                <c:pt idx="0">
                  <c:v>48.543058277668898</c:v>
                </c:pt>
                <c:pt idx="1">
                  <c:v>145.629174833007</c:v>
                </c:pt>
                <c:pt idx="2">
                  <c:v>222.08611655533801</c:v>
                </c:pt>
                <c:pt idx="3">
                  <c:v>270.935</c:v>
                </c:pt>
                <c:pt idx="4">
                  <c:v>312.80500000000001</c:v>
                </c:pt>
                <c:pt idx="5">
                  <c:v>375.49</c:v>
                </c:pt>
                <c:pt idx="6">
                  <c:v>500.49</c:v>
                </c:pt>
                <c:pt idx="7">
                  <c:v>646.24</c:v>
                </c:pt>
                <c:pt idx="8">
                  <c:v>771.24</c:v>
                </c:pt>
                <c:pt idx="9">
                  <c:v>896.24</c:v>
                </c:pt>
                <c:pt idx="10">
                  <c:v>1021.24</c:v>
                </c:pt>
                <c:pt idx="11">
                  <c:v>1146.24</c:v>
                </c:pt>
                <c:pt idx="12">
                  <c:v>1271.24</c:v>
                </c:pt>
                <c:pt idx="13">
                  <c:v>1396.24</c:v>
                </c:pt>
                <c:pt idx="14">
                  <c:v>1521.24</c:v>
                </c:pt>
                <c:pt idx="15">
                  <c:v>1632.99</c:v>
                </c:pt>
                <c:pt idx="16">
                  <c:v>1731.49</c:v>
                </c:pt>
                <c:pt idx="17">
                  <c:v>1817.9974999999999</c:v>
                </c:pt>
                <c:pt idx="18">
                  <c:v>1892.5125</c:v>
                </c:pt>
                <c:pt idx="19">
                  <c:v>1967.03</c:v>
                </c:pt>
                <c:pt idx="20">
                  <c:v>2041.55</c:v>
                </c:pt>
                <c:pt idx="21">
                  <c:v>2116.0700000000002</c:v>
                </c:pt>
                <c:pt idx="22">
                  <c:v>2190.59</c:v>
                </c:pt>
                <c:pt idx="23">
                  <c:v>2265.12</c:v>
                </c:pt>
                <c:pt idx="24">
                  <c:v>2339.66</c:v>
                </c:pt>
                <c:pt idx="25">
                  <c:v>2414.1849999999999</c:v>
                </c:pt>
                <c:pt idx="26">
                  <c:v>2488.6950000000002</c:v>
                </c:pt>
                <c:pt idx="27">
                  <c:v>2563.21</c:v>
                </c:pt>
                <c:pt idx="28">
                  <c:v>2637.73</c:v>
                </c:pt>
                <c:pt idx="29">
                  <c:v>2712.2424999999998</c:v>
                </c:pt>
                <c:pt idx="30">
                  <c:v>2786.7474999999999</c:v>
                </c:pt>
                <c:pt idx="31">
                  <c:v>2861.2525000000001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3160.51</c:v>
                </c:pt>
                <c:pt idx="35">
                  <c:v>3285.51</c:v>
                </c:pt>
                <c:pt idx="36">
                  <c:v>3410.51</c:v>
                </c:pt>
                <c:pt idx="37">
                  <c:v>3535.51</c:v>
                </c:pt>
                <c:pt idx="38">
                  <c:v>3660.51</c:v>
                </c:pt>
                <c:pt idx="39">
                  <c:v>3785.51</c:v>
                </c:pt>
                <c:pt idx="40">
                  <c:v>3910.51</c:v>
                </c:pt>
                <c:pt idx="41">
                  <c:v>4010.26</c:v>
                </c:pt>
                <c:pt idx="42">
                  <c:v>4084.76</c:v>
                </c:pt>
                <c:pt idx="43">
                  <c:v>4184.51</c:v>
                </c:pt>
                <c:pt idx="44">
                  <c:v>4309.51</c:v>
                </c:pt>
                <c:pt idx="45">
                  <c:v>4409.2700000000004</c:v>
                </c:pt>
                <c:pt idx="46">
                  <c:v>4483.79</c:v>
                </c:pt>
                <c:pt idx="47">
                  <c:v>4570.3</c:v>
                </c:pt>
                <c:pt idx="48">
                  <c:v>4668.8</c:v>
                </c:pt>
                <c:pt idx="49">
                  <c:v>4755.32</c:v>
                </c:pt>
                <c:pt idx="50">
                  <c:v>4829.8599999999997</c:v>
                </c:pt>
                <c:pt idx="51">
                  <c:v>4904.3874999999998</c:v>
                </c:pt>
                <c:pt idx="52">
                  <c:v>4978.9025000000001</c:v>
                </c:pt>
                <c:pt idx="53">
                  <c:v>5053.415</c:v>
                </c:pt>
                <c:pt idx="54">
                  <c:v>5127.9250000000002</c:v>
                </c:pt>
                <c:pt idx="55">
                  <c:v>5202.4425000000001</c:v>
                </c:pt>
                <c:pt idx="56">
                  <c:v>5276.9674999999997</c:v>
                </c:pt>
                <c:pt idx="57">
                  <c:v>5351.4975000000004</c:v>
                </c:pt>
                <c:pt idx="58">
                  <c:v>5426.0325000000003</c:v>
                </c:pt>
                <c:pt idx="59">
                  <c:v>5500.58</c:v>
                </c:pt>
                <c:pt idx="60">
                  <c:v>5575.14</c:v>
                </c:pt>
                <c:pt idx="61">
                  <c:v>5649.7025000000003</c:v>
                </c:pt>
                <c:pt idx="62">
                  <c:v>5724.2674999999999</c:v>
                </c:pt>
                <c:pt idx="63">
                  <c:v>5798.8125</c:v>
                </c:pt>
                <c:pt idx="64">
                  <c:v>5873.3374999999996</c:v>
                </c:pt>
                <c:pt idx="65">
                  <c:v>5947.8549999999996</c:v>
                </c:pt>
                <c:pt idx="66">
                  <c:v>6022.3649999999998</c:v>
                </c:pt>
                <c:pt idx="67">
                  <c:v>6096.88</c:v>
                </c:pt>
                <c:pt idx="68">
                  <c:v>6171.4</c:v>
                </c:pt>
                <c:pt idx="69">
                  <c:v>6245.9250000000002</c:v>
                </c:pt>
                <c:pt idx="70">
                  <c:v>6320.4549999999999</c:v>
                </c:pt>
                <c:pt idx="71">
                  <c:v>6394.98</c:v>
                </c:pt>
                <c:pt idx="72">
                  <c:v>6469.5</c:v>
                </c:pt>
                <c:pt idx="73">
                  <c:v>6544.0124999999998</c:v>
                </c:pt>
                <c:pt idx="74">
                  <c:v>6618.5174999999999</c:v>
                </c:pt>
                <c:pt idx="75">
                  <c:v>6718.27</c:v>
                </c:pt>
                <c:pt idx="76">
                  <c:v>6843.27</c:v>
                </c:pt>
                <c:pt idx="77">
                  <c:v>6943.0550000000003</c:v>
                </c:pt>
                <c:pt idx="78">
                  <c:v>7017.625</c:v>
                </c:pt>
                <c:pt idx="79">
                  <c:v>7117.41</c:v>
                </c:pt>
                <c:pt idx="80">
                  <c:v>7242.41</c:v>
                </c:pt>
                <c:pt idx="81">
                  <c:v>7342.21</c:v>
                </c:pt>
                <c:pt idx="82">
                  <c:v>7416.81</c:v>
                </c:pt>
                <c:pt idx="83">
                  <c:v>7503.36</c:v>
                </c:pt>
                <c:pt idx="84">
                  <c:v>7601.86</c:v>
                </c:pt>
                <c:pt idx="85">
                  <c:v>7713.61</c:v>
                </c:pt>
                <c:pt idx="86">
                  <c:v>7838.61</c:v>
                </c:pt>
              </c:numCache>
            </c:numRef>
          </c:xVal>
          <c:yVal>
            <c:numRef>
              <c:f>'FL6 data'!$AW$6:$AW$568</c:f>
              <c:numCache>
                <c:formatCode>General</c:formatCode>
                <c:ptCount val="563"/>
                <c:pt idx="0">
                  <c:v>50.269422316005802</c:v>
                </c:pt>
                <c:pt idx="1">
                  <c:v>50.283574734671902</c:v>
                </c:pt>
                <c:pt idx="2">
                  <c:v>50.285510001450298</c:v>
                </c:pt>
                <c:pt idx="3">
                  <c:v>50.281914150920201</c:v>
                </c:pt>
                <c:pt idx="4">
                  <c:v>51.294439486551099</c:v>
                </c:pt>
                <c:pt idx="5">
                  <c:v>50.291240888232601</c:v>
                </c:pt>
                <c:pt idx="6">
                  <c:v>50.299094325675</c:v>
                </c:pt>
                <c:pt idx="7">
                  <c:v>50.313190559176597</c:v>
                </c:pt>
                <c:pt idx="8">
                  <c:v>50.346539575724599</c:v>
                </c:pt>
                <c:pt idx="9">
                  <c:v>50.310350086969699</c:v>
                </c:pt>
                <c:pt idx="10">
                  <c:v>50.356378222313801</c:v>
                </c:pt>
                <c:pt idx="11">
                  <c:v>50.319058787472201</c:v>
                </c:pt>
                <c:pt idx="12">
                  <c:v>50.323709670536303</c:v>
                </c:pt>
                <c:pt idx="13">
                  <c:v>52.154197359818298</c:v>
                </c:pt>
                <c:pt idx="14">
                  <c:v>66.878824469915401</c:v>
                </c:pt>
                <c:pt idx="15">
                  <c:v>66.778377881323607</c:v>
                </c:pt>
                <c:pt idx="16">
                  <c:v>66.737300283254299</c:v>
                </c:pt>
                <c:pt idx="17">
                  <c:v>66.843365388299404</c:v>
                </c:pt>
                <c:pt idx="18">
                  <c:v>66.821890169855905</c:v>
                </c:pt>
                <c:pt idx="19">
                  <c:v>57.723021156429397</c:v>
                </c:pt>
                <c:pt idx="20">
                  <c:v>50.344598066150198</c:v>
                </c:pt>
                <c:pt idx="21">
                  <c:v>50.362227722221299</c:v>
                </c:pt>
                <c:pt idx="22">
                  <c:v>50.3519895366843</c:v>
                </c:pt>
                <c:pt idx="23">
                  <c:v>50.364000676302098</c:v>
                </c:pt>
                <c:pt idx="24">
                  <c:v>50.365386577027202</c:v>
                </c:pt>
                <c:pt idx="25">
                  <c:v>50.367446699726699</c:v>
                </c:pt>
                <c:pt idx="26">
                  <c:v>50.358188633170997</c:v>
                </c:pt>
                <c:pt idx="27">
                  <c:v>50.3694506372617</c:v>
                </c:pt>
                <c:pt idx="28">
                  <c:v>50.370724167657798</c:v>
                </c:pt>
                <c:pt idx="29">
                  <c:v>50.372659434436102</c:v>
                </c:pt>
                <c:pt idx="30">
                  <c:v>50.363819635216402</c:v>
                </c:pt>
                <c:pt idx="31">
                  <c:v>50.374913083813503</c:v>
                </c:pt>
                <c:pt idx="32">
                  <c:v>50.3738705368716</c:v>
                </c:pt>
                <c:pt idx="33">
                  <c:v>50.534073169341703</c:v>
                </c:pt>
                <c:pt idx="34">
                  <c:v>50.379682580002701</c:v>
                </c:pt>
                <c:pt idx="35">
                  <c:v>50.383290916124899</c:v>
                </c:pt>
                <c:pt idx="36">
                  <c:v>50.666102063196803</c:v>
                </c:pt>
                <c:pt idx="37">
                  <c:v>50.380650213391803</c:v>
                </c:pt>
                <c:pt idx="38">
                  <c:v>51.446183130361</c:v>
                </c:pt>
                <c:pt idx="39">
                  <c:v>50.384851615139702</c:v>
                </c:pt>
                <c:pt idx="40">
                  <c:v>50.074253782808398</c:v>
                </c:pt>
                <c:pt idx="41">
                  <c:v>74.424055070895406</c:v>
                </c:pt>
                <c:pt idx="42">
                  <c:v>50.407100940294498</c:v>
                </c:pt>
                <c:pt idx="43">
                  <c:v>55.0122492804377</c:v>
                </c:pt>
                <c:pt idx="44">
                  <c:v>66.938880168004502</c:v>
                </c:pt>
                <c:pt idx="45">
                  <c:v>66.930764533127601</c:v>
                </c:pt>
                <c:pt idx="46">
                  <c:v>66.917404949561003</c:v>
                </c:pt>
                <c:pt idx="47">
                  <c:v>66.870084555432598</c:v>
                </c:pt>
                <c:pt idx="48">
                  <c:v>66.841929545205801</c:v>
                </c:pt>
                <c:pt idx="49">
                  <c:v>66.944061688733598</c:v>
                </c:pt>
                <c:pt idx="50">
                  <c:v>65.8330312740853</c:v>
                </c:pt>
                <c:pt idx="51">
                  <c:v>50.353843647113798</c:v>
                </c:pt>
                <c:pt idx="52">
                  <c:v>50.418131960930999</c:v>
                </c:pt>
                <c:pt idx="53">
                  <c:v>50.435724160225703</c:v>
                </c:pt>
                <c:pt idx="54">
                  <c:v>50.423413366397099</c:v>
                </c:pt>
                <c:pt idx="55">
                  <c:v>50.434843925981397</c:v>
                </c:pt>
                <c:pt idx="56">
                  <c:v>50.436086242397202</c:v>
                </c:pt>
                <c:pt idx="57">
                  <c:v>50.437097575358798</c:v>
                </c:pt>
                <c:pt idx="58">
                  <c:v>50.437028904602101</c:v>
                </c:pt>
                <c:pt idx="59">
                  <c:v>50.438995385360698</c:v>
                </c:pt>
                <c:pt idx="60">
                  <c:v>50.440081631875003</c:v>
                </c:pt>
                <c:pt idx="61">
                  <c:v>50.441180363981402</c:v>
                </c:pt>
                <c:pt idx="62">
                  <c:v>50.442216668127301</c:v>
                </c:pt>
                <c:pt idx="63">
                  <c:v>50.4437086963854</c:v>
                </c:pt>
                <c:pt idx="64">
                  <c:v>50.445013440761798</c:v>
                </c:pt>
                <c:pt idx="65">
                  <c:v>50.446424312671098</c:v>
                </c:pt>
                <c:pt idx="66">
                  <c:v>50.4376906409844</c:v>
                </c:pt>
                <c:pt idx="67">
                  <c:v>50.448478192574598</c:v>
                </c:pt>
                <c:pt idx="68">
                  <c:v>50.439769492072102</c:v>
                </c:pt>
                <c:pt idx="69">
                  <c:v>50.450582014846503</c:v>
                </c:pt>
                <c:pt idx="70">
                  <c:v>50.451618318992402</c:v>
                </c:pt>
                <c:pt idx="71">
                  <c:v>50.453016705309601</c:v>
                </c:pt>
                <c:pt idx="72">
                  <c:v>50.453940639126401</c:v>
                </c:pt>
                <c:pt idx="73">
                  <c:v>50.455788506759902</c:v>
                </c:pt>
                <c:pt idx="74">
                  <c:v>50.445968588558799</c:v>
                </c:pt>
                <c:pt idx="75">
                  <c:v>51.165550719113703</c:v>
                </c:pt>
                <c:pt idx="76">
                  <c:v>50.450613228826803</c:v>
                </c:pt>
                <c:pt idx="77">
                  <c:v>50.457592674821001</c:v>
                </c:pt>
                <c:pt idx="78">
                  <c:v>50.463273619234798</c:v>
                </c:pt>
                <c:pt idx="79">
                  <c:v>50.4547584454101</c:v>
                </c:pt>
                <c:pt idx="80">
                  <c:v>51.154188830286003</c:v>
                </c:pt>
                <c:pt idx="81">
                  <c:v>66.192741183013993</c:v>
                </c:pt>
                <c:pt idx="82">
                  <c:v>50.454639832284997</c:v>
                </c:pt>
                <c:pt idx="83">
                  <c:v>51.313910767459603</c:v>
                </c:pt>
                <c:pt idx="84">
                  <c:v>50.467949473483102</c:v>
                </c:pt>
                <c:pt idx="85">
                  <c:v>50.481702353201399</c:v>
                </c:pt>
                <c:pt idx="86">
                  <c:v>50.478300029349199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A4-4373-8313-1A88123C2C21}"/>
            </c:ext>
          </c:extLst>
        </c:ser>
        <c:ser>
          <c:idx val="2"/>
          <c:order val="2"/>
          <c:tx>
            <c:v>LateLife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'FL6 data'!$AY$6:$AY$568</c:f>
              <c:numCache>
                <c:formatCode>General</c:formatCode>
                <c:ptCount val="563"/>
                <c:pt idx="0">
                  <c:v>48.543058277668898</c:v>
                </c:pt>
                <c:pt idx="1">
                  <c:v>145.629174833007</c:v>
                </c:pt>
                <c:pt idx="2">
                  <c:v>222.08611655533801</c:v>
                </c:pt>
                <c:pt idx="3">
                  <c:v>270.935</c:v>
                </c:pt>
                <c:pt idx="4">
                  <c:v>312.80500000000001</c:v>
                </c:pt>
                <c:pt idx="5">
                  <c:v>375.49</c:v>
                </c:pt>
                <c:pt idx="6">
                  <c:v>500.49</c:v>
                </c:pt>
                <c:pt idx="7">
                  <c:v>646.24</c:v>
                </c:pt>
                <c:pt idx="8">
                  <c:v>771.24</c:v>
                </c:pt>
                <c:pt idx="9">
                  <c:v>896.24</c:v>
                </c:pt>
                <c:pt idx="10">
                  <c:v>1021.24</c:v>
                </c:pt>
                <c:pt idx="11">
                  <c:v>1146.24</c:v>
                </c:pt>
                <c:pt idx="12">
                  <c:v>1271.24</c:v>
                </c:pt>
                <c:pt idx="13">
                  <c:v>1396.24</c:v>
                </c:pt>
                <c:pt idx="14">
                  <c:v>1521.24</c:v>
                </c:pt>
                <c:pt idx="15">
                  <c:v>1632.99</c:v>
                </c:pt>
                <c:pt idx="16">
                  <c:v>1731.49</c:v>
                </c:pt>
                <c:pt idx="17">
                  <c:v>1817.9974999999999</c:v>
                </c:pt>
                <c:pt idx="18">
                  <c:v>1892.5125</c:v>
                </c:pt>
                <c:pt idx="19">
                  <c:v>1967.03</c:v>
                </c:pt>
                <c:pt idx="20">
                  <c:v>2041.55</c:v>
                </c:pt>
                <c:pt idx="21">
                  <c:v>2116.0700000000002</c:v>
                </c:pt>
                <c:pt idx="22">
                  <c:v>2190.59</c:v>
                </c:pt>
                <c:pt idx="23">
                  <c:v>2265.12</c:v>
                </c:pt>
                <c:pt idx="24">
                  <c:v>2339.66</c:v>
                </c:pt>
                <c:pt idx="25">
                  <c:v>2414.1849999999999</c:v>
                </c:pt>
                <c:pt idx="26">
                  <c:v>2488.6950000000002</c:v>
                </c:pt>
                <c:pt idx="27">
                  <c:v>2563.21</c:v>
                </c:pt>
                <c:pt idx="28">
                  <c:v>2637.73</c:v>
                </c:pt>
                <c:pt idx="29">
                  <c:v>2712.2424999999998</c:v>
                </c:pt>
                <c:pt idx="30">
                  <c:v>2786.7474999999999</c:v>
                </c:pt>
                <c:pt idx="31">
                  <c:v>2861.2525000000001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3160.51</c:v>
                </c:pt>
                <c:pt idx="35">
                  <c:v>3285.51</c:v>
                </c:pt>
                <c:pt idx="36">
                  <c:v>3410.51</c:v>
                </c:pt>
                <c:pt idx="37">
                  <c:v>3535.51</c:v>
                </c:pt>
                <c:pt idx="38">
                  <c:v>3660.51</c:v>
                </c:pt>
                <c:pt idx="39">
                  <c:v>3785.51</c:v>
                </c:pt>
                <c:pt idx="40">
                  <c:v>3910.51</c:v>
                </c:pt>
                <c:pt idx="41">
                  <c:v>4010.26</c:v>
                </c:pt>
                <c:pt idx="42">
                  <c:v>4084.76</c:v>
                </c:pt>
                <c:pt idx="43">
                  <c:v>4184.51</c:v>
                </c:pt>
                <c:pt idx="44">
                  <c:v>4309.51</c:v>
                </c:pt>
                <c:pt idx="45">
                  <c:v>4409.2700000000004</c:v>
                </c:pt>
                <c:pt idx="46">
                  <c:v>4483.79</c:v>
                </c:pt>
                <c:pt idx="47">
                  <c:v>4570.3</c:v>
                </c:pt>
                <c:pt idx="48">
                  <c:v>4668.8</c:v>
                </c:pt>
                <c:pt idx="49">
                  <c:v>4755.32</c:v>
                </c:pt>
                <c:pt idx="50">
                  <c:v>4829.8599999999997</c:v>
                </c:pt>
                <c:pt idx="51">
                  <c:v>4904.3874999999998</c:v>
                </c:pt>
                <c:pt idx="52">
                  <c:v>4978.9025000000001</c:v>
                </c:pt>
                <c:pt idx="53">
                  <c:v>5053.415</c:v>
                </c:pt>
                <c:pt idx="54">
                  <c:v>5127.9250000000002</c:v>
                </c:pt>
                <c:pt idx="55">
                  <c:v>5202.4425000000001</c:v>
                </c:pt>
                <c:pt idx="56">
                  <c:v>5276.9674999999997</c:v>
                </c:pt>
                <c:pt idx="57">
                  <c:v>5351.4975000000004</c:v>
                </c:pt>
                <c:pt idx="58">
                  <c:v>5426.0325000000003</c:v>
                </c:pt>
                <c:pt idx="59">
                  <c:v>5500.58</c:v>
                </c:pt>
                <c:pt idx="60">
                  <c:v>5575.14</c:v>
                </c:pt>
                <c:pt idx="61">
                  <c:v>5649.7025000000003</c:v>
                </c:pt>
                <c:pt idx="62">
                  <c:v>5724.2674999999999</c:v>
                </c:pt>
                <c:pt idx="63">
                  <c:v>5798.8125</c:v>
                </c:pt>
                <c:pt idx="64">
                  <c:v>5873.3374999999996</c:v>
                </c:pt>
                <c:pt idx="65">
                  <c:v>5947.8549999999996</c:v>
                </c:pt>
                <c:pt idx="66">
                  <c:v>6022.3649999999998</c:v>
                </c:pt>
                <c:pt idx="67">
                  <c:v>6096.88</c:v>
                </c:pt>
                <c:pt idx="68">
                  <c:v>6171.4</c:v>
                </c:pt>
                <c:pt idx="69">
                  <c:v>6245.9250000000002</c:v>
                </c:pt>
                <c:pt idx="70">
                  <c:v>6320.4549999999999</c:v>
                </c:pt>
                <c:pt idx="71">
                  <c:v>6394.98</c:v>
                </c:pt>
                <c:pt idx="72">
                  <c:v>6469.5</c:v>
                </c:pt>
                <c:pt idx="73">
                  <c:v>6544.0124999999998</c:v>
                </c:pt>
                <c:pt idx="74">
                  <c:v>6618.5174999999999</c:v>
                </c:pt>
                <c:pt idx="75">
                  <c:v>6718.27</c:v>
                </c:pt>
                <c:pt idx="76">
                  <c:v>6843.27</c:v>
                </c:pt>
                <c:pt idx="77">
                  <c:v>6943.0550000000003</c:v>
                </c:pt>
                <c:pt idx="78">
                  <c:v>7017.625</c:v>
                </c:pt>
                <c:pt idx="79">
                  <c:v>7117.41</c:v>
                </c:pt>
                <c:pt idx="80">
                  <c:v>7242.41</c:v>
                </c:pt>
                <c:pt idx="81">
                  <c:v>7342.21</c:v>
                </c:pt>
                <c:pt idx="82">
                  <c:v>7416.81</c:v>
                </c:pt>
                <c:pt idx="83">
                  <c:v>7503.36</c:v>
                </c:pt>
                <c:pt idx="84">
                  <c:v>7601.86</c:v>
                </c:pt>
                <c:pt idx="85">
                  <c:v>7713.61</c:v>
                </c:pt>
                <c:pt idx="86">
                  <c:v>7838.61</c:v>
                </c:pt>
              </c:numCache>
            </c:numRef>
          </c:xVal>
          <c:yVal>
            <c:numRef>
              <c:f>'FL6 data'!$BD$6:$BD$568</c:f>
              <c:numCache>
                <c:formatCode>General</c:formatCode>
                <c:ptCount val="563"/>
                <c:pt idx="0">
                  <c:v>50.703277913729103</c:v>
                </c:pt>
                <c:pt idx="1">
                  <c:v>50.709745450446398</c:v>
                </c:pt>
                <c:pt idx="2">
                  <c:v>50.710419672420798</c:v>
                </c:pt>
                <c:pt idx="3">
                  <c:v>50.705862431297597</c:v>
                </c:pt>
                <c:pt idx="4">
                  <c:v>51.873571191366999</c:v>
                </c:pt>
                <c:pt idx="5">
                  <c:v>50.716518884170597</c:v>
                </c:pt>
                <c:pt idx="6">
                  <c:v>50.731158240929297</c:v>
                </c:pt>
                <c:pt idx="7">
                  <c:v>50.742919668704801</c:v>
                </c:pt>
                <c:pt idx="8">
                  <c:v>50.794354065436202</c:v>
                </c:pt>
                <c:pt idx="9">
                  <c:v>50.7549432939147</c:v>
                </c:pt>
                <c:pt idx="10">
                  <c:v>50.816384892728898</c:v>
                </c:pt>
                <c:pt idx="11">
                  <c:v>50.773315842716798</c:v>
                </c:pt>
                <c:pt idx="12">
                  <c:v>50.782886049075501</c:v>
                </c:pt>
                <c:pt idx="13">
                  <c:v>50.567303572764601</c:v>
                </c:pt>
                <c:pt idx="14">
                  <c:v>66.387016996374996</c:v>
                </c:pt>
                <c:pt idx="15">
                  <c:v>67.638073326630206</c:v>
                </c:pt>
                <c:pt idx="16">
                  <c:v>67.028401863492903</c:v>
                </c:pt>
                <c:pt idx="17">
                  <c:v>67.137088942882798</c:v>
                </c:pt>
                <c:pt idx="18">
                  <c:v>67.133468121168505</c:v>
                </c:pt>
                <c:pt idx="19">
                  <c:v>67.136589519198097</c:v>
                </c:pt>
                <c:pt idx="20">
                  <c:v>67.131532854390102</c:v>
                </c:pt>
                <c:pt idx="21">
                  <c:v>67.128848452084696</c:v>
                </c:pt>
                <c:pt idx="22">
                  <c:v>67.124103927079702</c:v>
                </c:pt>
                <c:pt idx="23">
                  <c:v>67.137276226764598</c:v>
                </c:pt>
                <c:pt idx="24">
                  <c:v>67.132906269523204</c:v>
                </c:pt>
                <c:pt idx="25">
                  <c:v>67.094013650074601</c:v>
                </c:pt>
                <c:pt idx="26">
                  <c:v>67.088894557306105</c:v>
                </c:pt>
                <c:pt idx="27">
                  <c:v>66.830193088614607</c:v>
                </c:pt>
                <c:pt idx="28">
                  <c:v>52.2115873839901</c:v>
                </c:pt>
                <c:pt idx="29">
                  <c:v>50.852156114147903</c:v>
                </c:pt>
                <c:pt idx="30">
                  <c:v>50.871577452688001</c:v>
                </c:pt>
                <c:pt idx="31">
                  <c:v>50.873250522031803</c:v>
                </c:pt>
                <c:pt idx="32">
                  <c:v>50.870285193903698</c:v>
                </c:pt>
                <c:pt idx="33">
                  <c:v>51.133487718553901</c:v>
                </c:pt>
                <c:pt idx="34">
                  <c:v>50.886660047966899</c:v>
                </c:pt>
                <c:pt idx="35">
                  <c:v>50.895518575574798</c:v>
                </c:pt>
                <c:pt idx="36">
                  <c:v>51.240639070113303</c:v>
                </c:pt>
                <c:pt idx="37">
                  <c:v>50.900762524264501</c:v>
                </c:pt>
                <c:pt idx="38">
                  <c:v>52.691102792090099</c:v>
                </c:pt>
                <c:pt idx="39">
                  <c:v>50.827035102805901</c:v>
                </c:pt>
                <c:pt idx="40">
                  <c:v>57.606237170550799</c:v>
                </c:pt>
                <c:pt idx="41">
                  <c:v>73.585085708505105</c:v>
                </c:pt>
                <c:pt idx="42">
                  <c:v>50.430455240351797</c:v>
                </c:pt>
                <c:pt idx="43">
                  <c:v>53.348512916691803</c:v>
                </c:pt>
                <c:pt idx="44">
                  <c:v>67.007363640773505</c:v>
                </c:pt>
                <c:pt idx="45">
                  <c:v>67.258448898272803</c:v>
                </c:pt>
                <c:pt idx="46">
                  <c:v>67.244714746942705</c:v>
                </c:pt>
                <c:pt idx="47">
                  <c:v>67.175669422528401</c:v>
                </c:pt>
                <c:pt idx="48">
                  <c:v>67.137276226764598</c:v>
                </c:pt>
                <c:pt idx="49">
                  <c:v>67.215373605464606</c:v>
                </c:pt>
                <c:pt idx="50">
                  <c:v>67.209942372893195</c:v>
                </c:pt>
                <c:pt idx="51">
                  <c:v>67.190776988991502</c:v>
                </c:pt>
                <c:pt idx="52">
                  <c:v>67.181350366942198</c:v>
                </c:pt>
                <c:pt idx="53">
                  <c:v>67.163932965937207</c:v>
                </c:pt>
                <c:pt idx="54">
                  <c:v>67.154506343887803</c:v>
                </c:pt>
                <c:pt idx="55">
                  <c:v>67.178416252794406</c:v>
                </c:pt>
                <c:pt idx="56">
                  <c:v>67.175919134370801</c:v>
                </c:pt>
                <c:pt idx="57">
                  <c:v>67.181225511020997</c:v>
                </c:pt>
                <c:pt idx="58">
                  <c:v>67.178228968912606</c:v>
                </c:pt>
                <c:pt idx="59">
                  <c:v>67.189341145897899</c:v>
                </c:pt>
                <c:pt idx="60">
                  <c:v>67.186844027474294</c:v>
                </c:pt>
                <c:pt idx="61">
                  <c:v>67.186968883395494</c:v>
                </c:pt>
                <c:pt idx="62">
                  <c:v>67.182099502469299</c:v>
                </c:pt>
                <c:pt idx="63">
                  <c:v>67.156441610666207</c:v>
                </c:pt>
                <c:pt idx="64">
                  <c:v>67.1528832169125</c:v>
                </c:pt>
                <c:pt idx="65">
                  <c:v>67.105250682981094</c:v>
                </c:pt>
                <c:pt idx="66">
                  <c:v>55.5128903104019</c:v>
                </c:pt>
                <c:pt idx="67">
                  <c:v>50.963009443770403</c:v>
                </c:pt>
                <c:pt idx="68">
                  <c:v>51.010729376846598</c:v>
                </c:pt>
                <c:pt idx="69">
                  <c:v>51.015186733232802</c:v>
                </c:pt>
                <c:pt idx="70">
                  <c:v>51.017846164353998</c:v>
                </c:pt>
                <c:pt idx="71">
                  <c:v>51.020305826001298</c:v>
                </c:pt>
                <c:pt idx="72">
                  <c:v>51.022590689358999</c:v>
                </c:pt>
                <c:pt idx="73">
                  <c:v>51.025487346730401</c:v>
                </c:pt>
                <c:pt idx="74">
                  <c:v>51.015211704417098</c:v>
                </c:pt>
                <c:pt idx="75">
                  <c:v>51.785042100452102</c:v>
                </c:pt>
                <c:pt idx="76">
                  <c:v>51.032267023250697</c:v>
                </c:pt>
                <c:pt idx="77">
                  <c:v>51.035731775063503</c:v>
                </c:pt>
                <c:pt idx="78">
                  <c:v>51.033428183317703</c:v>
                </c:pt>
                <c:pt idx="79">
                  <c:v>50.200670403006299</c:v>
                </c:pt>
                <c:pt idx="80">
                  <c:v>68.585542484528602</c:v>
                </c:pt>
                <c:pt idx="81">
                  <c:v>66.213716977772805</c:v>
                </c:pt>
                <c:pt idx="82">
                  <c:v>49.387427603175901</c:v>
                </c:pt>
                <c:pt idx="83">
                  <c:v>51.107161847572399</c:v>
                </c:pt>
                <c:pt idx="84">
                  <c:v>51.062544584137598</c:v>
                </c:pt>
                <c:pt idx="85">
                  <c:v>51.074580694939698</c:v>
                </c:pt>
                <c:pt idx="86">
                  <c:v>51.075136303788902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A4-4373-8313-1A88123C2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243784"/>
        <c:axId val="873245584"/>
      </c:scatterChart>
      <c:valAx>
        <c:axId val="873243784"/>
        <c:scaling>
          <c:orientation val="minMax"/>
          <c:max val="17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 from DC1 for FL5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5584"/>
        <c:crosses val="autoZero"/>
        <c:crossBetween val="midCat"/>
      </c:valAx>
      <c:valAx>
        <c:axId val="87324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Density at HCL (lb/ft</a:t>
                </a:r>
                <a:r>
                  <a:rPr lang="en-US" baseline="30000"/>
                  <a:t>3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378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EarlyLife</c:v>
          </c:tx>
          <c:spPr>
            <a:ln w="19050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xVal>
            <c:numRef>
              <c:f>'FL6 data'!$AK$6:$AK$568</c:f>
              <c:numCache>
                <c:formatCode>General</c:formatCode>
                <c:ptCount val="563"/>
                <c:pt idx="0">
                  <c:v>48.543058277668941</c:v>
                </c:pt>
                <c:pt idx="1">
                  <c:v>145.62917483300683</c:v>
                </c:pt>
                <c:pt idx="2">
                  <c:v>222.08611655533801</c:v>
                </c:pt>
                <c:pt idx="3">
                  <c:v>270.93500000000023</c:v>
                </c:pt>
                <c:pt idx="4">
                  <c:v>312.80500000000023</c:v>
                </c:pt>
                <c:pt idx="5">
                  <c:v>375.49000000000029</c:v>
                </c:pt>
                <c:pt idx="6">
                  <c:v>500.49000000000024</c:v>
                </c:pt>
                <c:pt idx="7">
                  <c:v>646.24000000000035</c:v>
                </c:pt>
                <c:pt idx="8">
                  <c:v>771.24000000000024</c:v>
                </c:pt>
                <c:pt idx="9">
                  <c:v>896.24000000000024</c:v>
                </c:pt>
                <c:pt idx="10">
                  <c:v>1021.2400000000004</c:v>
                </c:pt>
                <c:pt idx="11">
                  <c:v>1146.2400000000005</c:v>
                </c:pt>
                <c:pt idx="12">
                  <c:v>1271.2400000000005</c:v>
                </c:pt>
                <c:pt idx="13">
                  <c:v>1396.2400000000005</c:v>
                </c:pt>
                <c:pt idx="14">
                  <c:v>1521.2400000000007</c:v>
                </c:pt>
                <c:pt idx="15">
                  <c:v>1632.9900000000007</c:v>
                </c:pt>
                <c:pt idx="16">
                  <c:v>1731.4900000000007</c:v>
                </c:pt>
                <c:pt idx="17">
                  <c:v>1817.9974999999999</c:v>
                </c:pt>
                <c:pt idx="18">
                  <c:v>1892.5124999999975</c:v>
                </c:pt>
                <c:pt idx="19">
                  <c:v>1967.029999999997</c:v>
                </c:pt>
                <c:pt idx="20">
                  <c:v>2041.549999999997</c:v>
                </c:pt>
                <c:pt idx="21">
                  <c:v>2116.069999999997</c:v>
                </c:pt>
                <c:pt idx="22">
                  <c:v>2190.5899999999974</c:v>
                </c:pt>
                <c:pt idx="23">
                  <c:v>2265.1199999999972</c:v>
                </c:pt>
                <c:pt idx="24">
                  <c:v>2339.6599999999971</c:v>
                </c:pt>
                <c:pt idx="25">
                  <c:v>2414.1849999999972</c:v>
                </c:pt>
                <c:pt idx="26">
                  <c:v>2488.694999999997</c:v>
                </c:pt>
                <c:pt idx="27">
                  <c:v>2563.2099999999973</c:v>
                </c:pt>
                <c:pt idx="28">
                  <c:v>2637.7299999999973</c:v>
                </c:pt>
                <c:pt idx="29">
                  <c:v>2712.242499999998</c:v>
                </c:pt>
                <c:pt idx="30">
                  <c:v>2786.7474999999986</c:v>
                </c:pt>
                <c:pt idx="31">
                  <c:v>2861.2524999999978</c:v>
                </c:pt>
                <c:pt idx="32">
                  <c:v>2935.7574999999956</c:v>
                </c:pt>
                <c:pt idx="33">
                  <c:v>3035.5099999999939</c:v>
                </c:pt>
                <c:pt idx="34">
                  <c:v>3160.5099999999943</c:v>
                </c:pt>
                <c:pt idx="35">
                  <c:v>3285.5099999999939</c:v>
                </c:pt>
                <c:pt idx="36">
                  <c:v>3410.5099999999943</c:v>
                </c:pt>
                <c:pt idx="37">
                  <c:v>3535.5099999999939</c:v>
                </c:pt>
                <c:pt idx="38">
                  <c:v>3660.5099999999939</c:v>
                </c:pt>
                <c:pt idx="39">
                  <c:v>3785.5099999999934</c:v>
                </c:pt>
                <c:pt idx="40">
                  <c:v>3910.5099999999929</c:v>
                </c:pt>
                <c:pt idx="41">
                  <c:v>4010.2599999999925</c:v>
                </c:pt>
                <c:pt idx="42">
                  <c:v>4084.7599999999929</c:v>
                </c:pt>
                <c:pt idx="43">
                  <c:v>4184.5099999999929</c:v>
                </c:pt>
                <c:pt idx="44">
                  <c:v>4309.509999999992</c:v>
                </c:pt>
                <c:pt idx="45">
                  <c:v>4409.2699999999913</c:v>
                </c:pt>
                <c:pt idx="46">
                  <c:v>4483.7899999999927</c:v>
                </c:pt>
                <c:pt idx="47">
                  <c:v>4570.299999999992</c:v>
                </c:pt>
                <c:pt idx="48">
                  <c:v>4668.799999999992</c:v>
                </c:pt>
                <c:pt idx="49">
                  <c:v>4755.3199999999915</c:v>
                </c:pt>
                <c:pt idx="50">
                  <c:v>4829.8599999999924</c:v>
                </c:pt>
                <c:pt idx="51">
                  <c:v>4904.3874999999953</c:v>
                </c:pt>
                <c:pt idx="52">
                  <c:v>4978.9025000000011</c:v>
                </c:pt>
                <c:pt idx="53">
                  <c:v>5053.4150000000036</c:v>
                </c:pt>
                <c:pt idx="54">
                  <c:v>5127.9250000000029</c:v>
                </c:pt>
                <c:pt idx="55">
                  <c:v>5202.4425000000074</c:v>
                </c:pt>
                <c:pt idx="56">
                  <c:v>5276.967500000017</c:v>
                </c:pt>
                <c:pt idx="57">
                  <c:v>5351.4975000000195</c:v>
                </c:pt>
                <c:pt idx="58">
                  <c:v>5426.0325000000148</c:v>
                </c:pt>
                <c:pt idx="59">
                  <c:v>5500.5800000000127</c:v>
                </c:pt>
                <c:pt idx="60">
                  <c:v>5575.1400000000122</c:v>
                </c:pt>
                <c:pt idx="61">
                  <c:v>5649.7025000000085</c:v>
                </c:pt>
                <c:pt idx="62">
                  <c:v>5724.2674999999981</c:v>
                </c:pt>
                <c:pt idx="63">
                  <c:v>5798.8124999999991</c:v>
                </c:pt>
                <c:pt idx="64">
                  <c:v>5873.3375000000096</c:v>
                </c:pt>
                <c:pt idx="65">
                  <c:v>5947.8550000000141</c:v>
                </c:pt>
                <c:pt idx="66">
                  <c:v>6022.3650000000134</c:v>
                </c:pt>
                <c:pt idx="67">
                  <c:v>6096.8800000000138</c:v>
                </c:pt>
                <c:pt idx="68">
                  <c:v>6171.4000000000142</c:v>
                </c:pt>
                <c:pt idx="69">
                  <c:v>6245.9250000000147</c:v>
                </c:pt>
                <c:pt idx="70">
                  <c:v>6320.4550000000136</c:v>
                </c:pt>
                <c:pt idx="71">
                  <c:v>6394.9800000000141</c:v>
                </c:pt>
                <c:pt idx="72">
                  <c:v>6469.5000000000146</c:v>
                </c:pt>
                <c:pt idx="73">
                  <c:v>6544.0125000000135</c:v>
                </c:pt>
                <c:pt idx="74">
                  <c:v>6618.5175000000127</c:v>
                </c:pt>
                <c:pt idx="75">
                  <c:v>6718.2700000000114</c:v>
                </c:pt>
                <c:pt idx="76">
                  <c:v>6843.2700000000104</c:v>
                </c:pt>
                <c:pt idx="77">
                  <c:v>6943.0550000000103</c:v>
                </c:pt>
                <c:pt idx="78">
                  <c:v>7017.6250000000118</c:v>
                </c:pt>
                <c:pt idx="79">
                  <c:v>7117.4100000000117</c:v>
                </c:pt>
                <c:pt idx="80">
                  <c:v>7242.4100000000099</c:v>
                </c:pt>
                <c:pt idx="81">
                  <c:v>7342.21000000001</c:v>
                </c:pt>
                <c:pt idx="82">
                  <c:v>7416.8100000000104</c:v>
                </c:pt>
                <c:pt idx="83">
                  <c:v>7503.3600000000115</c:v>
                </c:pt>
                <c:pt idx="84">
                  <c:v>7601.8600000000106</c:v>
                </c:pt>
                <c:pt idx="85">
                  <c:v>7713.6100000000124</c:v>
                </c:pt>
                <c:pt idx="86">
                  <c:v>7838.6100000000106</c:v>
                </c:pt>
              </c:numCache>
            </c:numRef>
          </c:xVal>
          <c:yVal>
            <c:numRef>
              <c:f>'FL6 data'!$AN$6:$AN$568</c:f>
              <c:numCache>
                <c:formatCode>General</c:formatCode>
                <c:ptCount val="563"/>
                <c:pt idx="0">
                  <c:v>1881.6106681303643</c:v>
                </c:pt>
                <c:pt idx="1">
                  <c:v>1883.3902810182651</c:v>
                </c:pt>
                <c:pt idx="2">
                  <c:v>1884.7927958207101</c:v>
                </c:pt>
                <c:pt idx="3">
                  <c:v>1885.3511910626351</c:v>
                </c:pt>
                <c:pt idx="4">
                  <c:v>1885.4440152067473</c:v>
                </c:pt>
                <c:pt idx="5">
                  <c:v>1885.9458457358537</c:v>
                </c:pt>
                <c:pt idx="6">
                  <c:v>1887.3106507297532</c:v>
                </c:pt>
                <c:pt idx="7">
                  <c:v>1888.5246164894704</c:v>
                </c:pt>
                <c:pt idx="8">
                  <c:v>1889.1337749352067</c:v>
                </c:pt>
                <c:pt idx="9">
                  <c:v>1890.340488808665</c:v>
                </c:pt>
                <c:pt idx="10">
                  <c:v>1892.1433077325939</c:v>
                </c:pt>
                <c:pt idx="11">
                  <c:v>1894.7467348994905</c:v>
                </c:pt>
                <c:pt idx="12">
                  <c:v>1898.147869554851</c:v>
                </c:pt>
                <c:pt idx="13">
                  <c:v>1901.2589287598612</c:v>
                </c:pt>
                <c:pt idx="14">
                  <c:v>1904.0741110055135</c:v>
                </c:pt>
                <c:pt idx="15">
                  <c:v>1905.4795265624621</c:v>
                </c:pt>
                <c:pt idx="16">
                  <c:v>1905.4302137359025</c:v>
                </c:pt>
                <c:pt idx="17">
                  <c:v>1905.1546420580694</c:v>
                </c:pt>
                <c:pt idx="18">
                  <c:v>1904.652811528963</c:v>
                </c:pt>
                <c:pt idx="19">
                  <c:v>1904.1074696823039</c:v>
                </c:pt>
                <c:pt idx="20">
                  <c:v>1903.5200668953439</c:v>
                </c:pt>
                <c:pt idx="21">
                  <c:v>1902.9399159946427</c:v>
                </c:pt>
                <c:pt idx="22">
                  <c:v>1902.3655666029485</c:v>
                </c:pt>
                <c:pt idx="23">
                  <c:v>1901.6606832585967</c:v>
                </c:pt>
                <c:pt idx="24">
                  <c:v>1900.8267163388387</c:v>
                </c:pt>
                <c:pt idx="25">
                  <c:v>1900.2190082703542</c:v>
                </c:pt>
                <c:pt idx="26">
                  <c:v>1899.839009430395</c:v>
                </c:pt>
                <c:pt idx="27">
                  <c:v>1899.3676368235754</c:v>
                </c:pt>
                <c:pt idx="28">
                  <c:v>1898.8034400726433</c:v>
                </c:pt>
                <c:pt idx="29">
                  <c:v>1898.3987848194042</c:v>
                </c:pt>
                <c:pt idx="30">
                  <c:v>1898.1522206866064</c:v>
                </c:pt>
                <c:pt idx="31">
                  <c:v>1897.8693971225146</c:v>
                </c:pt>
                <c:pt idx="32">
                  <c:v>1897.5532148816324</c:v>
                </c:pt>
                <c:pt idx="33">
                  <c:v>1897.3385590483729</c:v>
                </c:pt>
                <c:pt idx="34">
                  <c:v>1897.2268799999879</c:v>
                </c:pt>
                <c:pt idx="35">
                  <c:v>1897.3081011260861</c:v>
                </c:pt>
                <c:pt idx="36">
                  <c:v>1897.5822224266674</c:v>
                </c:pt>
                <c:pt idx="37">
                  <c:v>1898.0013814524241</c:v>
                </c:pt>
                <c:pt idx="38">
                  <c:v>1898.5641278261041</c:v>
                </c:pt>
                <c:pt idx="39">
                  <c:v>1899.5996971838558</c:v>
                </c:pt>
                <c:pt idx="40">
                  <c:v>1901.1066391484271</c:v>
                </c:pt>
                <c:pt idx="41">
                  <c:v>1901.7636600434712</c:v>
                </c:pt>
                <c:pt idx="42">
                  <c:v>1901.570759868988</c:v>
                </c:pt>
                <c:pt idx="43">
                  <c:v>1901.8869421098702</c:v>
                </c:pt>
                <c:pt idx="44">
                  <c:v>1902.7107563888658</c:v>
                </c:pt>
                <c:pt idx="45">
                  <c:v>1902.8224354372508</c:v>
                </c:pt>
                <c:pt idx="46">
                  <c:v>1902.2263303867803</c:v>
                </c:pt>
                <c:pt idx="47">
                  <c:v>1901.840530037814</c:v>
                </c:pt>
                <c:pt idx="48">
                  <c:v>1901.6766374083659</c:v>
                </c:pt>
                <c:pt idx="49">
                  <c:v>1901.1864098972735</c:v>
                </c:pt>
                <c:pt idx="50">
                  <c:v>1900.37274825904</c:v>
                </c:pt>
                <c:pt idx="51">
                  <c:v>1899.6968724597232</c:v>
                </c:pt>
                <c:pt idx="52">
                  <c:v>1899.1631336310782</c:v>
                </c:pt>
                <c:pt idx="53">
                  <c:v>1898.688860269755</c:v>
                </c:pt>
                <c:pt idx="54">
                  <c:v>1898.2784035075088</c:v>
                </c:pt>
                <c:pt idx="55">
                  <c:v>1897.725809774591</c:v>
                </c:pt>
                <c:pt idx="56">
                  <c:v>1897.0325294482532</c:v>
                </c:pt>
                <c:pt idx="57">
                  <c:v>1896.2899362953556</c:v>
                </c:pt>
                <c:pt idx="58">
                  <c:v>1895.4951295613951</c:v>
                </c:pt>
                <c:pt idx="59">
                  <c:v>1894.5755903837837</c:v>
                </c:pt>
                <c:pt idx="60">
                  <c:v>1893.5313187625216</c:v>
                </c:pt>
                <c:pt idx="61">
                  <c:v>1892.4783448777489</c:v>
                </c:pt>
                <c:pt idx="62">
                  <c:v>1891.4166687294658</c:v>
                </c:pt>
                <c:pt idx="63">
                  <c:v>1890.5406408694071</c:v>
                </c:pt>
                <c:pt idx="64">
                  <c:v>1889.8502612975726</c:v>
                </c:pt>
                <c:pt idx="65">
                  <c:v>1889.2788126603818</c:v>
                </c:pt>
                <c:pt idx="66">
                  <c:v>1888.8306460895903</c:v>
                </c:pt>
                <c:pt idx="67">
                  <c:v>1888.3027087699522</c:v>
                </c:pt>
                <c:pt idx="68">
                  <c:v>1887.6950007014677</c:v>
                </c:pt>
                <c:pt idx="69">
                  <c:v>1887.0147737703955</c:v>
                </c:pt>
                <c:pt idx="70">
                  <c:v>1886.2620279767359</c:v>
                </c:pt>
                <c:pt idx="71">
                  <c:v>1885.5803506684119</c:v>
                </c:pt>
                <c:pt idx="72">
                  <c:v>1884.9697418454241</c:v>
                </c:pt>
                <c:pt idx="73">
                  <c:v>1884.4940181068491</c:v>
                </c:pt>
                <c:pt idx="74">
                  <c:v>1884.1517290754352</c:v>
                </c:pt>
                <c:pt idx="75">
                  <c:v>1883.9617296554557</c:v>
                </c:pt>
                <c:pt idx="76">
                  <c:v>1883.9240198469101</c:v>
                </c:pt>
                <c:pt idx="77">
                  <c:v>1883.3612734732301</c:v>
                </c:pt>
                <c:pt idx="78">
                  <c:v>1882.2720401571635</c:v>
                </c:pt>
                <c:pt idx="79">
                  <c:v>1882.9435648247252</c:v>
                </c:pt>
                <c:pt idx="80">
                  <c:v>1885.3714963441596</c:v>
                </c:pt>
                <c:pt idx="81">
                  <c:v>1885.9226396998256</c:v>
                </c:pt>
                <c:pt idx="82">
                  <c:v>1884.5940941372201</c:v>
                </c:pt>
                <c:pt idx="83">
                  <c:v>1883.8776077748541</c:v>
                </c:pt>
                <c:pt idx="84">
                  <c:v>1883.7746309899796</c:v>
                </c:pt>
                <c:pt idx="85">
                  <c:v>1884.1314237939107</c:v>
                </c:pt>
                <c:pt idx="86">
                  <c:v>1884.946535809396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05-4D06-8A87-921415C8F9EA}"/>
            </c:ext>
          </c:extLst>
        </c:ser>
        <c:ser>
          <c:idx val="1"/>
          <c:order val="1"/>
          <c:tx>
            <c:v>MidLife</c:v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'FL6 data'!$AR$6:$AR$568</c:f>
              <c:numCache>
                <c:formatCode>General</c:formatCode>
                <c:ptCount val="563"/>
                <c:pt idx="0">
                  <c:v>48.543058277668898</c:v>
                </c:pt>
                <c:pt idx="1">
                  <c:v>145.629174833007</c:v>
                </c:pt>
                <c:pt idx="2">
                  <c:v>222.08611655533801</c:v>
                </c:pt>
                <c:pt idx="3">
                  <c:v>270.935</c:v>
                </c:pt>
                <c:pt idx="4">
                  <c:v>312.80500000000001</c:v>
                </c:pt>
                <c:pt idx="5">
                  <c:v>375.49</c:v>
                </c:pt>
                <c:pt idx="6">
                  <c:v>500.49</c:v>
                </c:pt>
                <c:pt idx="7">
                  <c:v>646.24</c:v>
                </c:pt>
                <c:pt idx="8">
                  <c:v>771.24</c:v>
                </c:pt>
                <c:pt idx="9">
                  <c:v>896.24</c:v>
                </c:pt>
                <c:pt idx="10">
                  <c:v>1021.24</c:v>
                </c:pt>
                <c:pt idx="11">
                  <c:v>1146.24</c:v>
                </c:pt>
                <c:pt idx="12">
                  <c:v>1271.24</c:v>
                </c:pt>
                <c:pt idx="13">
                  <c:v>1396.24</c:v>
                </c:pt>
                <c:pt idx="14">
                  <c:v>1521.24</c:v>
                </c:pt>
                <c:pt idx="15">
                  <c:v>1632.99</c:v>
                </c:pt>
                <c:pt idx="16">
                  <c:v>1731.49</c:v>
                </c:pt>
                <c:pt idx="17">
                  <c:v>1817.9974999999999</c:v>
                </c:pt>
                <c:pt idx="18">
                  <c:v>1892.5125</c:v>
                </c:pt>
                <c:pt idx="19">
                  <c:v>1967.03</c:v>
                </c:pt>
                <c:pt idx="20">
                  <c:v>2041.55</c:v>
                </c:pt>
                <c:pt idx="21">
                  <c:v>2116.0700000000002</c:v>
                </c:pt>
                <c:pt idx="22">
                  <c:v>2190.59</c:v>
                </c:pt>
                <c:pt idx="23">
                  <c:v>2265.12</c:v>
                </c:pt>
                <c:pt idx="24">
                  <c:v>2339.66</c:v>
                </c:pt>
                <c:pt idx="25">
                  <c:v>2414.1849999999999</c:v>
                </c:pt>
                <c:pt idx="26">
                  <c:v>2488.6950000000002</c:v>
                </c:pt>
                <c:pt idx="27">
                  <c:v>2563.21</c:v>
                </c:pt>
                <c:pt idx="28">
                  <c:v>2637.73</c:v>
                </c:pt>
                <c:pt idx="29">
                  <c:v>2712.2424999999998</c:v>
                </c:pt>
                <c:pt idx="30">
                  <c:v>2786.7474999999999</c:v>
                </c:pt>
                <c:pt idx="31">
                  <c:v>2861.2525000000001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3160.51</c:v>
                </c:pt>
                <c:pt idx="35">
                  <c:v>3285.51</c:v>
                </c:pt>
                <c:pt idx="36">
                  <c:v>3410.51</c:v>
                </c:pt>
                <c:pt idx="37">
                  <c:v>3535.51</c:v>
                </c:pt>
                <c:pt idx="38">
                  <c:v>3660.51</c:v>
                </c:pt>
                <c:pt idx="39">
                  <c:v>3785.51</c:v>
                </c:pt>
                <c:pt idx="40">
                  <c:v>3910.51</c:v>
                </c:pt>
                <c:pt idx="41">
                  <c:v>4010.26</c:v>
                </c:pt>
                <c:pt idx="42">
                  <c:v>4084.76</c:v>
                </c:pt>
                <c:pt idx="43">
                  <c:v>4184.51</c:v>
                </c:pt>
                <c:pt idx="44">
                  <c:v>4309.51</c:v>
                </c:pt>
                <c:pt idx="45">
                  <c:v>4409.2700000000004</c:v>
                </c:pt>
                <c:pt idx="46">
                  <c:v>4483.79</c:v>
                </c:pt>
                <c:pt idx="47">
                  <c:v>4570.3</c:v>
                </c:pt>
                <c:pt idx="48">
                  <c:v>4668.8</c:v>
                </c:pt>
                <c:pt idx="49">
                  <c:v>4755.32</c:v>
                </c:pt>
                <c:pt idx="50">
                  <c:v>4829.8599999999997</c:v>
                </c:pt>
                <c:pt idx="51">
                  <c:v>4904.3874999999998</c:v>
                </c:pt>
                <c:pt idx="52">
                  <c:v>4978.9025000000001</c:v>
                </c:pt>
                <c:pt idx="53">
                  <c:v>5053.415</c:v>
                </c:pt>
                <c:pt idx="54">
                  <c:v>5127.9250000000002</c:v>
                </c:pt>
                <c:pt idx="55">
                  <c:v>5202.4425000000001</c:v>
                </c:pt>
                <c:pt idx="56">
                  <c:v>5276.9674999999997</c:v>
                </c:pt>
                <c:pt idx="57">
                  <c:v>5351.4975000000004</c:v>
                </c:pt>
                <c:pt idx="58">
                  <c:v>5426.0325000000003</c:v>
                </c:pt>
                <c:pt idx="59">
                  <c:v>5500.58</c:v>
                </c:pt>
                <c:pt idx="60">
                  <c:v>5575.14</c:v>
                </c:pt>
                <c:pt idx="61">
                  <c:v>5649.7025000000003</c:v>
                </c:pt>
                <c:pt idx="62">
                  <c:v>5724.2674999999999</c:v>
                </c:pt>
                <c:pt idx="63">
                  <c:v>5798.8125</c:v>
                </c:pt>
                <c:pt idx="64">
                  <c:v>5873.3374999999996</c:v>
                </c:pt>
                <c:pt idx="65">
                  <c:v>5947.8549999999996</c:v>
                </c:pt>
                <c:pt idx="66">
                  <c:v>6022.3649999999998</c:v>
                </c:pt>
                <c:pt idx="67">
                  <c:v>6096.88</c:v>
                </c:pt>
                <c:pt idx="68">
                  <c:v>6171.4</c:v>
                </c:pt>
                <c:pt idx="69">
                  <c:v>6245.9250000000002</c:v>
                </c:pt>
                <c:pt idx="70">
                  <c:v>6320.4549999999999</c:v>
                </c:pt>
                <c:pt idx="71">
                  <c:v>6394.98</c:v>
                </c:pt>
                <c:pt idx="72">
                  <c:v>6469.5</c:v>
                </c:pt>
                <c:pt idx="73">
                  <c:v>6544.0124999999998</c:v>
                </c:pt>
                <c:pt idx="74">
                  <c:v>6618.5174999999999</c:v>
                </c:pt>
                <c:pt idx="75">
                  <c:v>6718.27</c:v>
                </c:pt>
                <c:pt idx="76">
                  <c:v>6843.27</c:v>
                </c:pt>
                <c:pt idx="77">
                  <c:v>6943.0550000000003</c:v>
                </c:pt>
                <c:pt idx="78">
                  <c:v>7017.625</c:v>
                </c:pt>
                <c:pt idx="79">
                  <c:v>7117.41</c:v>
                </c:pt>
                <c:pt idx="80">
                  <c:v>7242.41</c:v>
                </c:pt>
                <c:pt idx="81">
                  <c:v>7342.21</c:v>
                </c:pt>
                <c:pt idx="82">
                  <c:v>7416.81</c:v>
                </c:pt>
                <c:pt idx="83">
                  <c:v>7503.36</c:v>
                </c:pt>
                <c:pt idx="84">
                  <c:v>7601.86</c:v>
                </c:pt>
                <c:pt idx="85">
                  <c:v>7713.61</c:v>
                </c:pt>
                <c:pt idx="86">
                  <c:v>7838.61</c:v>
                </c:pt>
              </c:numCache>
            </c:numRef>
          </c:xVal>
          <c:yVal>
            <c:numRef>
              <c:f>'FL6 data'!$AU$6:$AU$568</c:f>
              <c:numCache>
                <c:formatCode>General</c:formatCode>
                <c:ptCount val="563"/>
                <c:pt idx="0">
                  <c:v>2072.7529853843798</c:v>
                </c:pt>
                <c:pt idx="1">
                  <c:v>2074.5688577035698</c:v>
                </c:pt>
                <c:pt idx="2">
                  <c:v>2075.9989296737999</c:v>
                </c:pt>
                <c:pt idx="3">
                  <c:v>2076.5689279337398</c:v>
                </c:pt>
                <c:pt idx="4">
                  <c:v>2076.6632024551</c:v>
                </c:pt>
                <c:pt idx="5">
                  <c:v>2077.1824375112301</c:v>
                </c:pt>
                <c:pt idx="6">
                  <c:v>2078.5747996729201</c:v>
                </c:pt>
                <c:pt idx="7">
                  <c:v>2079.81197146866</c:v>
                </c:pt>
                <c:pt idx="8">
                  <c:v>2080.4341833096601</c:v>
                </c:pt>
                <c:pt idx="9">
                  <c:v>2081.66700397365</c:v>
                </c:pt>
                <c:pt idx="10">
                  <c:v>2083.50753270613</c:v>
                </c:pt>
                <c:pt idx="11">
                  <c:v>2086.1646238313401</c:v>
                </c:pt>
                <c:pt idx="12">
                  <c:v>2089.6353765947802</c:v>
                </c:pt>
                <c:pt idx="13">
                  <c:v>2092.7942982490999</c:v>
                </c:pt>
                <c:pt idx="14">
                  <c:v>2096.2969593120802</c:v>
                </c:pt>
                <c:pt idx="15">
                  <c:v>2098.1766482303601</c:v>
                </c:pt>
                <c:pt idx="16">
                  <c:v>2098.1099308767798</c:v>
                </c:pt>
                <c:pt idx="17">
                  <c:v>2097.73573354582</c:v>
                </c:pt>
                <c:pt idx="18">
                  <c:v>2097.0555066147499</c:v>
                </c:pt>
                <c:pt idx="19">
                  <c:v>2096.3883330789399</c:v>
                </c:pt>
                <c:pt idx="20">
                  <c:v>2095.7820753877099</c:v>
                </c:pt>
                <c:pt idx="21">
                  <c:v>2095.1888710917401</c:v>
                </c:pt>
                <c:pt idx="22">
                  <c:v>2094.6029186820401</c:v>
                </c:pt>
                <c:pt idx="23">
                  <c:v>2093.88353156517</c:v>
                </c:pt>
                <c:pt idx="24">
                  <c:v>2093.03216011839</c:v>
                </c:pt>
                <c:pt idx="25">
                  <c:v>2092.4113986546399</c:v>
                </c:pt>
                <c:pt idx="26">
                  <c:v>2092.02414792842</c:v>
                </c:pt>
                <c:pt idx="27">
                  <c:v>2091.54117230359</c:v>
                </c:pt>
                <c:pt idx="28">
                  <c:v>2090.9668229118902</c:v>
                </c:pt>
                <c:pt idx="29">
                  <c:v>2090.55201501789</c:v>
                </c:pt>
                <c:pt idx="30">
                  <c:v>2090.3010997533402</c:v>
                </c:pt>
                <c:pt idx="31">
                  <c:v>2090.0124746802398</c:v>
                </c:pt>
                <c:pt idx="32">
                  <c:v>2089.6890405530999</c:v>
                </c:pt>
                <c:pt idx="33">
                  <c:v>2089.4700335880798</c:v>
                </c:pt>
                <c:pt idx="34">
                  <c:v>2089.3569041624501</c:v>
                </c:pt>
                <c:pt idx="35">
                  <c:v>2089.4395756658</c:v>
                </c:pt>
                <c:pt idx="36">
                  <c:v>2089.7194984753801</c:v>
                </c:pt>
                <c:pt idx="37">
                  <c:v>2090.14735976465</c:v>
                </c:pt>
                <c:pt idx="38">
                  <c:v>2090.7231595336002</c:v>
                </c:pt>
                <c:pt idx="39">
                  <c:v>2091.7935379453902</c:v>
                </c:pt>
                <c:pt idx="40">
                  <c:v>2093.2859761374398</c:v>
                </c:pt>
                <c:pt idx="41">
                  <c:v>2093.8893330741698</c:v>
                </c:pt>
                <c:pt idx="42">
                  <c:v>2093.68192912717</c:v>
                </c:pt>
                <c:pt idx="43">
                  <c:v>2094.04307306286</c:v>
                </c:pt>
                <c:pt idx="44">
                  <c:v>2095.0670394026001</c:v>
                </c:pt>
                <c:pt idx="45">
                  <c:v>2095.2251305230402</c:v>
                </c:pt>
                <c:pt idx="46">
                  <c:v>2094.4216215255701</c:v>
                </c:pt>
                <c:pt idx="47">
                  <c:v>2093.9081879784499</c:v>
                </c:pt>
                <c:pt idx="48">
                  <c:v>2093.6848298816799</c:v>
                </c:pt>
                <c:pt idx="49">
                  <c:v>2093.0205571003698</c:v>
                </c:pt>
                <c:pt idx="50">
                  <c:v>2091.9284230297999</c:v>
                </c:pt>
                <c:pt idx="51">
                  <c:v>2091.1133110143201</c:v>
                </c:pt>
                <c:pt idx="52">
                  <c:v>2090.5665187904101</c:v>
                </c:pt>
                <c:pt idx="53">
                  <c:v>2090.0835431655701</c:v>
                </c:pt>
                <c:pt idx="54">
                  <c:v>2089.66293376257</c:v>
                </c:pt>
                <c:pt idx="55">
                  <c:v>2089.1001873888899</c:v>
                </c:pt>
                <c:pt idx="56">
                  <c:v>2088.39240329003</c:v>
                </c:pt>
                <c:pt idx="57">
                  <c:v>2087.6324056101098</c:v>
                </c:pt>
                <c:pt idx="58">
                  <c:v>2086.8216447263799</c:v>
                </c:pt>
                <c:pt idx="59">
                  <c:v>2085.8832506445001</c:v>
                </c:pt>
                <c:pt idx="60">
                  <c:v>2084.81577298721</c:v>
                </c:pt>
                <c:pt idx="61">
                  <c:v>2083.7410434436601</c:v>
                </c:pt>
                <c:pt idx="62">
                  <c:v>2082.65616125935</c:v>
                </c:pt>
                <c:pt idx="63">
                  <c:v>2081.7612784950202</c:v>
                </c:pt>
                <c:pt idx="64">
                  <c:v>2081.0549447734102</c:v>
                </c:pt>
                <c:pt idx="65">
                  <c:v>2080.4718931182101</c:v>
                </c:pt>
                <c:pt idx="66">
                  <c:v>2080.01357390665</c:v>
                </c:pt>
                <c:pt idx="67">
                  <c:v>2079.4740335689999</c:v>
                </c:pt>
                <c:pt idx="68">
                  <c:v>2078.8532721052502</c:v>
                </c:pt>
                <c:pt idx="69">
                  <c:v>2078.1585414016599</c:v>
                </c:pt>
                <c:pt idx="70">
                  <c:v>2077.38984145823</c:v>
                </c:pt>
                <c:pt idx="71">
                  <c:v>2076.6936603773902</c:v>
                </c:pt>
                <c:pt idx="72">
                  <c:v>2076.0699981591401</c:v>
                </c:pt>
                <c:pt idx="73">
                  <c:v>2075.5826714025502</c:v>
                </c:pt>
                <c:pt idx="74">
                  <c:v>2075.2345808621299</c:v>
                </c:pt>
                <c:pt idx="75">
                  <c:v>2075.0373295558902</c:v>
                </c:pt>
                <c:pt idx="76">
                  <c:v>2074.9981693700902</c:v>
                </c:pt>
                <c:pt idx="77">
                  <c:v>2074.42236960115</c:v>
                </c:pt>
                <c:pt idx="78">
                  <c:v>2073.30993024905</c:v>
                </c:pt>
                <c:pt idx="79">
                  <c:v>2073.9945083118801</c:v>
                </c:pt>
                <c:pt idx="80">
                  <c:v>2076.4833556758899</c:v>
                </c:pt>
                <c:pt idx="81">
                  <c:v>2076.8604537613401</c:v>
                </c:pt>
                <c:pt idx="82">
                  <c:v>2075.3578629285298</c:v>
                </c:pt>
                <c:pt idx="83">
                  <c:v>2074.6109186438698</c:v>
                </c:pt>
                <c:pt idx="84">
                  <c:v>2074.5064914817499</c:v>
                </c:pt>
                <c:pt idx="85">
                  <c:v>2074.8690857946899</c:v>
                </c:pt>
                <c:pt idx="86">
                  <c:v>2075.7030527144402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05-4D06-8A87-921415C8F9EA}"/>
            </c:ext>
          </c:extLst>
        </c:ser>
        <c:ser>
          <c:idx val="2"/>
          <c:order val="2"/>
          <c:tx>
            <c:v>LateLife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'FL6 data'!$AY$6:$AY$568</c:f>
              <c:numCache>
                <c:formatCode>General</c:formatCode>
                <c:ptCount val="563"/>
                <c:pt idx="0">
                  <c:v>48.543058277668898</c:v>
                </c:pt>
                <c:pt idx="1">
                  <c:v>145.629174833007</c:v>
                </c:pt>
                <c:pt idx="2">
                  <c:v>222.08611655533801</c:v>
                </c:pt>
                <c:pt idx="3">
                  <c:v>270.935</c:v>
                </c:pt>
                <c:pt idx="4">
                  <c:v>312.80500000000001</c:v>
                </c:pt>
                <c:pt idx="5">
                  <c:v>375.49</c:v>
                </c:pt>
                <c:pt idx="6">
                  <c:v>500.49</c:v>
                </c:pt>
                <c:pt idx="7">
                  <c:v>646.24</c:v>
                </c:pt>
                <c:pt idx="8">
                  <c:v>771.24</c:v>
                </c:pt>
                <c:pt idx="9">
                  <c:v>896.24</c:v>
                </c:pt>
                <c:pt idx="10">
                  <c:v>1021.24</c:v>
                </c:pt>
                <c:pt idx="11">
                  <c:v>1146.24</c:v>
                </c:pt>
                <c:pt idx="12">
                  <c:v>1271.24</c:v>
                </c:pt>
                <c:pt idx="13">
                  <c:v>1396.24</c:v>
                </c:pt>
                <c:pt idx="14">
                  <c:v>1521.24</c:v>
                </c:pt>
                <c:pt idx="15">
                  <c:v>1632.99</c:v>
                </c:pt>
                <c:pt idx="16">
                  <c:v>1731.49</c:v>
                </c:pt>
                <c:pt idx="17">
                  <c:v>1817.9974999999999</c:v>
                </c:pt>
                <c:pt idx="18">
                  <c:v>1892.5125</c:v>
                </c:pt>
                <c:pt idx="19">
                  <c:v>1967.03</c:v>
                </c:pt>
                <c:pt idx="20">
                  <c:v>2041.55</c:v>
                </c:pt>
                <c:pt idx="21">
                  <c:v>2116.0700000000002</c:v>
                </c:pt>
                <c:pt idx="22">
                  <c:v>2190.59</c:v>
                </c:pt>
                <c:pt idx="23">
                  <c:v>2265.12</c:v>
                </c:pt>
                <c:pt idx="24">
                  <c:v>2339.66</c:v>
                </c:pt>
                <c:pt idx="25">
                  <c:v>2414.1849999999999</c:v>
                </c:pt>
                <c:pt idx="26">
                  <c:v>2488.6950000000002</c:v>
                </c:pt>
                <c:pt idx="27">
                  <c:v>2563.21</c:v>
                </c:pt>
                <c:pt idx="28">
                  <c:v>2637.73</c:v>
                </c:pt>
                <c:pt idx="29">
                  <c:v>2712.2424999999998</c:v>
                </c:pt>
                <c:pt idx="30">
                  <c:v>2786.7474999999999</c:v>
                </c:pt>
                <c:pt idx="31">
                  <c:v>2861.2525000000001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3160.51</c:v>
                </c:pt>
                <c:pt idx="35">
                  <c:v>3285.51</c:v>
                </c:pt>
                <c:pt idx="36">
                  <c:v>3410.51</c:v>
                </c:pt>
                <c:pt idx="37">
                  <c:v>3535.51</c:v>
                </c:pt>
                <c:pt idx="38">
                  <c:v>3660.51</c:v>
                </c:pt>
                <c:pt idx="39">
                  <c:v>3785.51</c:v>
                </c:pt>
                <c:pt idx="40">
                  <c:v>3910.51</c:v>
                </c:pt>
                <c:pt idx="41">
                  <c:v>4010.26</c:v>
                </c:pt>
                <c:pt idx="42">
                  <c:v>4084.76</c:v>
                </c:pt>
                <c:pt idx="43">
                  <c:v>4184.51</c:v>
                </c:pt>
                <c:pt idx="44">
                  <c:v>4309.51</c:v>
                </c:pt>
                <c:pt idx="45">
                  <c:v>4409.2700000000004</c:v>
                </c:pt>
                <c:pt idx="46">
                  <c:v>4483.79</c:v>
                </c:pt>
                <c:pt idx="47">
                  <c:v>4570.3</c:v>
                </c:pt>
                <c:pt idx="48">
                  <c:v>4668.8</c:v>
                </c:pt>
                <c:pt idx="49">
                  <c:v>4755.32</c:v>
                </c:pt>
                <c:pt idx="50">
                  <c:v>4829.8599999999997</c:v>
                </c:pt>
                <c:pt idx="51">
                  <c:v>4904.3874999999998</c:v>
                </c:pt>
                <c:pt idx="52">
                  <c:v>4978.9025000000001</c:v>
                </c:pt>
                <c:pt idx="53">
                  <c:v>5053.415</c:v>
                </c:pt>
                <c:pt idx="54">
                  <c:v>5127.9250000000002</c:v>
                </c:pt>
                <c:pt idx="55">
                  <c:v>5202.4425000000001</c:v>
                </c:pt>
                <c:pt idx="56">
                  <c:v>5276.9674999999997</c:v>
                </c:pt>
                <c:pt idx="57">
                  <c:v>5351.4975000000004</c:v>
                </c:pt>
                <c:pt idx="58">
                  <c:v>5426.0325000000003</c:v>
                </c:pt>
                <c:pt idx="59">
                  <c:v>5500.58</c:v>
                </c:pt>
                <c:pt idx="60">
                  <c:v>5575.14</c:v>
                </c:pt>
                <c:pt idx="61">
                  <c:v>5649.7025000000003</c:v>
                </c:pt>
                <c:pt idx="62">
                  <c:v>5724.2674999999999</c:v>
                </c:pt>
                <c:pt idx="63">
                  <c:v>5798.8125</c:v>
                </c:pt>
                <c:pt idx="64">
                  <c:v>5873.3374999999996</c:v>
                </c:pt>
                <c:pt idx="65">
                  <c:v>5947.8549999999996</c:v>
                </c:pt>
                <c:pt idx="66">
                  <c:v>6022.3649999999998</c:v>
                </c:pt>
                <c:pt idx="67">
                  <c:v>6096.88</c:v>
                </c:pt>
                <c:pt idx="68">
                  <c:v>6171.4</c:v>
                </c:pt>
                <c:pt idx="69">
                  <c:v>6245.9250000000002</c:v>
                </c:pt>
                <c:pt idx="70">
                  <c:v>6320.4549999999999</c:v>
                </c:pt>
                <c:pt idx="71">
                  <c:v>6394.98</c:v>
                </c:pt>
                <c:pt idx="72">
                  <c:v>6469.5</c:v>
                </c:pt>
                <c:pt idx="73">
                  <c:v>6544.0124999999998</c:v>
                </c:pt>
                <c:pt idx="74">
                  <c:v>6618.5174999999999</c:v>
                </c:pt>
                <c:pt idx="75">
                  <c:v>6718.27</c:v>
                </c:pt>
                <c:pt idx="76">
                  <c:v>6843.27</c:v>
                </c:pt>
                <c:pt idx="77">
                  <c:v>6943.0550000000003</c:v>
                </c:pt>
                <c:pt idx="78">
                  <c:v>7017.625</c:v>
                </c:pt>
                <c:pt idx="79">
                  <c:v>7117.41</c:v>
                </c:pt>
                <c:pt idx="80">
                  <c:v>7242.41</c:v>
                </c:pt>
                <c:pt idx="81">
                  <c:v>7342.21</c:v>
                </c:pt>
                <c:pt idx="82">
                  <c:v>7416.81</c:v>
                </c:pt>
                <c:pt idx="83">
                  <c:v>7503.36</c:v>
                </c:pt>
                <c:pt idx="84">
                  <c:v>7601.86</c:v>
                </c:pt>
                <c:pt idx="85">
                  <c:v>7713.61</c:v>
                </c:pt>
                <c:pt idx="86">
                  <c:v>7838.61</c:v>
                </c:pt>
              </c:numCache>
            </c:numRef>
          </c:xVal>
          <c:yVal>
            <c:numRef>
              <c:f>'FL6 data'!$BB$6:$BB$568</c:f>
              <c:numCache>
                <c:formatCode>General</c:formatCode>
                <c:ptCount val="563"/>
                <c:pt idx="0">
                  <c:v>2140.5247632270398</c:v>
                </c:pt>
                <c:pt idx="1">
                  <c:v>2142.3565896959999</c:v>
                </c:pt>
                <c:pt idx="2">
                  <c:v>2143.7982646842402</c:v>
                </c:pt>
                <c:pt idx="3">
                  <c:v>2144.37261407594</c:v>
                </c:pt>
                <c:pt idx="4">
                  <c:v>2144.4683389745501</c:v>
                </c:pt>
                <c:pt idx="5">
                  <c:v>2144.9919251624401</c:v>
                </c:pt>
                <c:pt idx="6">
                  <c:v>2146.3958903421299</c:v>
                </c:pt>
                <c:pt idx="7">
                  <c:v>2147.6461155331399</c:v>
                </c:pt>
                <c:pt idx="8">
                  <c:v>2148.2726785058999</c:v>
                </c:pt>
                <c:pt idx="9">
                  <c:v>2149.5156518106501</c:v>
                </c:pt>
                <c:pt idx="10">
                  <c:v>2151.3721346929001</c:v>
                </c:pt>
                <c:pt idx="11">
                  <c:v>2154.0538822313902</c:v>
                </c:pt>
                <c:pt idx="12">
                  <c:v>2157.5565432943699</c:v>
                </c:pt>
                <c:pt idx="13">
                  <c:v>2160.7546251344902</c:v>
                </c:pt>
                <c:pt idx="14">
                  <c:v>2163.9947679149</c:v>
                </c:pt>
                <c:pt idx="15">
                  <c:v>2165.8570523061499</c:v>
                </c:pt>
                <c:pt idx="16">
                  <c:v>2165.79033495257</c:v>
                </c:pt>
                <c:pt idx="17">
                  <c:v>2165.4146872443698</c:v>
                </c:pt>
                <c:pt idx="18">
                  <c:v>2164.7315595587902</c:v>
                </c:pt>
                <c:pt idx="19">
                  <c:v>2163.9889664059001</c:v>
                </c:pt>
                <c:pt idx="20">
                  <c:v>2163.1898085401799</c:v>
                </c:pt>
                <c:pt idx="21">
                  <c:v>2162.39935293798</c:v>
                </c:pt>
                <c:pt idx="22">
                  <c:v>2161.6175995992799</c:v>
                </c:pt>
                <c:pt idx="23">
                  <c:v>2160.6589002358701</c:v>
                </c:pt>
                <c:pt idx="24">
                  <c:v>2159.5218044704998</c:v>
                </c:pt>
                <c:pt idx="25">
                  <c:v>2158.6950894370002</c:v>
                </c:pt>
                <c:pt idx="26">
                  <c:v>2158.17730475812</c:v>
                </c:pt>
                <c:pt idx="27">
                  <c:v>2157.5362380128499</c:v>
                </c:pt>
                <c:pt idx="28">
                  <c:v>2156.86761409979</c:v>
                </c:pt>
                <c:pt idx="29">
                  <c:v>2156.44265356503</c:v>
                </c:pt>
                <c:pt idx="30">
                  <c:v>2156.1873871687199</c:v>
                </c:pt>
                <c:pt idx="31">
                  <c:v>2155.89731171837</c:v>
                </c:pt>
                <c:pt idx="32">
                  <c:v>2155.5709768367201</c:v>
                </c:pt>
                <c:pt idx="33">
                  <c:v>2155.3490691172001</c:v>
                </c:pt>
                <c:pt idx="34">
                  <c:v>2155.23303893706</c:v>
                </c:pt>
                <c:pt idx="35">
                  <c:v>2155.3171608176699</c:v>
                </c:pt>
                <c:pt idx="36">
                  <c:v>2155.6014347590099</c:v>
                </c:pt>
                <c:pt idx="37">
                  <c:v>2156.0336471800301</c:v>
                </c:pt>
                <c:pt idx="38">
                  <c:v>2156.6152484579802</c:v>
                </c:pt>
                <c:pt idx="39">
                  <c:v>2157.7073825285502</c:v>
                </c:pt>
                <c:pt idx="40">
                  <c:v>2159.2737899604499</c:v>
                </c:pt>
                <c:pt idx="41">
                  <c:v>2160.01493273609</c:v>
                </c:pt>
                <c:pt idx="42">
                  <c:v>2159.8060784118402</c:v>
                </c:pt>
                <c:pt idx="43">
                  <c:v>2160.1527185750101</c:v>
                </c:pt>
                <c:pt idx="44">
                  <c:v>2161.1607307649801</c:v>
                </c:pt>
                <c:pt idx="45">
                  <c:v>2161.3173715081698</c:v>
                </c:pt>
                <c:pt idx="46">
                  <c:v>2160.5080610016898</c:v>
                </c:pt>
                <c:pt idx="47">
                  <c:v>2159.9917267000701</c:v>
                </c:pt>
                <c:pt idx="48">
                  <c:v>2159.7683686033001</c:v>
                </c:pt>
                <c:pt idx="49">
                  <c:v>2159.1011950674902</c:v>
                </c:pt>
                <c:pt idx="50">
                  <c:v>2157.9916564699001</c:v>
                </c:pt>
                <c:pt idx="51">
                  <c:v>2157.0721172922899</c:v>
                </c:pt>
                <c:pt idx="52">
                  <c:v>2156.34257753465</c:v>
                </c:pt>
                <c:pt idx="53">
                  <c:v>2155.6986100348799</c:v>
                </c:pt>
                <c:pt idx="54">
                  <c:v>2155.1373140384499</c:v>
                </c:pt>
                <c:pt idx="55">
                  <c:v>2154.38601862204</c:v>
                </c:pt>
                <c:pt idx="56">
                  <c:v>2153.4418230311499</c:v>
                </c:pt>
                <c:pt idx="57">
                  <c:v>2152.4294597094299</c:v>
                </c:pt>
                <c:pt idx="58">
                  <c:v>2151.3474782796202</c:v>
                </c:pt>
                <c:pt idx="59">
                  <c:v>2150.0958027113602</c:v>
                </c:pt>
                <c:pt idx="60">
                  <c:v>2148.67298262739</c:v>
                </c:pt>
                <c:pt idx="61">
                  <c:v>2147.2400099026499</c:v>
                </c:pt>
                <c:pt idx="62">
                  <c:v>2145.7939837826598</c:v>
                </c:pt>
                <c:pt idx="63">
                  <c:v>2144.6003233044598</c:v>
                </c:pt>
                <c:pt idx="64">
                  <c:v>2143.6590284680801</c:v>
                </c:pt>
                <c:pt idx="65">
                  <c:v>2142.8816262611399</c:v>
                </c:pt>
                <c:pt idx="66">
                  <c:v>2142.3377347917299</c:v>
                </c:pt>
                <c:pt idx="67">
                  <c:v>2141.7735380407998</c:v>
                </c:pt>
                <c:pt idx="68">
                  <c:v>2141.1455246907899</c:v>
                </c:pt>
                <c:pt idx="69">
                  <c:v>2140.4435421009398</c:v>
                </c:pt>
                <c:pt idx="70">
                  <c:v>2139.6646895167501</c:v>
                </c:pt>
                <c:pt idx="71">
                  <c:v>2138.96125654965</c:v>
                </c:pt>
                <c:pt idx="72">
                  <c:v>2138.3303424451401</c:v>
                </c:pt>
                <c:pt idx="73">
                  <c:v>2137.8386645567898</c:v>
                </c:pt>
                <c:pt idx="74">
                  <c:v>2137.48477250736</c:v>
                </c:pt>
                <c:pt idx="75">
                  <c:v>2137.28462044662</c:v>
                </c:pt>
                <c:pt idx="76">
                  <c:v>2137.24546026082</c:v>
                </c:pt>
                <c:pt idx="77">
                  <c:v>2136.6638589828699</c:v>
                </c:pt>
                <c:pt idx="78">
                  <c:v>2135.5383662355098</c:v>
                </c:pt>
                <c:pt idx="79">
                  <c:v>2136.2098909030701</c:v>
                </c:pt>
                <c:pt idx="80">
                  <c:v>2138.9859129629299</c:v>
                </c:pt>
                <c:pt idx="81">
                  <c:v>2139.7836204513901</c:v>
                </c:pt>
                <c:pt idx="82">
                  <c:v>2138.2911822593401</c:v>
                </c:pt>
                <c:pt idx="83">
                  <c:v>2137.5732455197199</c:v>
                </c:pt>
                <c:pt idx="84">
                  <c:v>2137.46591760309</c:v>
                </c:pt>
                <c:pt idx="85">
                  <c:v>2137.8343134250399</c:v>
                </c:pt>
                <c:pt idx="86">
                  <c:v>2138.6769826083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05-4D06-8A87-921415C8F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243784"/>
        <c:axId val="873245584"/>
      </c:scatterChart>
      <c:valAx>
        <c:axId val="873243784"/>
        <c:scaling>
          <c:orientation val="minMax"/>
          <c:max val="17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 from DC1 for FL5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5584"/>
        <c:crosses val="autoZero"/>
        <c:crossBetween val="midCat"/>
      </c:valAx>
      <c:valAx>
        <c:axId val="87324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Pressure at HCL (psi)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378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EarlyLife</c:v>
          </c:tx>
          <c:spPr>
            <a:ln w="19050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xVal>
            <c:numRef>
              <c:f>'FL6 data'!$AK$6:$AK$568</c:f>
              <c:numCache>
                <c:formatCode>General</c:formatCode>
                <c:ptCount val="563"/>
                <c:pt idx="0">
                  <c:v>48.543058277668941</c:v>
                </c:pt>
                <c:pt idx="1">
                  <c:v>145.62917483300683</c:v>
                </c:pt>
                <c:pt idx="2">
                  <c:v>222.08611655533801</c:v>
                </c:pt>
                <c:pt idx="3">
                  <c:v>270.93500000000023</c:v>
                </c:pt>
                <c:pt idx="4">
                  <c:v>312.80500000000023</c:v>
                </c:pt>
                <c:pt idx="5">
                  <c:v>375.49000000000029</c:v>
                </c:pt>
                <c:pt idx="6">
                  <c:v>500.49000000000024</c:v>
                </c:pt>
                <c:pt idx="7">
                  <c:v>646.24000000000035</c:v>
                </c:pt>
                <c:pt idx="8">
                  <c:v>771.24000000000024</c:v>
                </c:pt>
                <c:pt idx="9">
                  <c:v>896.24000000000024</c:v>
                </c:pt>
                <c:pt idx="10">
                  <c:v>1021.2400000000004</c:v>
                </c:pt>
                <c:pt idx="11">
                  <c:v>1146.2400000000005</c:v>
                </c:pt>
                <c:pt idx="12">
                  <c:v>1271.2400000000005</c:v>
                </c:pt>
                <c:pt idx="13">
                  <c:v>1396.2400000000005</c:v>
                </c:pt>
                <c:pt idx="14">
                  <c:v>1521.2400000000007</c:v>
                </c:pt>
                <c:pt idx="15">
                  <c:v>1632.9900000000007</c:v>
                </c:pt>
                <c:pt idx="16">
                  <c:v>1731.4900000000007</c:v>
                </c:pt>
                <c:pt idx="17">
                  <c:v>1817.9974999999999</c:v>
                </c:pt>
                <c:pt idx="18">
                  <c:v>1892.5124999999975</c:v>
                </c:pt>
                <c:pt idx="19">
                  <c:v>1967.029999999997</c:v>
                </c:pt>
                <c:pt idx="20">
                  <c:v>2041.549999999997</c:v>
                </c:pt>
                <c:pt idx="21">
                  <c:v>2116.069999999997</c:v>
                </c:pt>
                <c:pt idx="22">
                  <c:v>2190.5899999999974</c:v>
                </c:pt>
                <c:pt idx="23">
                  <c:v>2265.1199999999972</c:v>
                </c:pt>
                <c:pt idx="24">
                  <c:v>2339.6599999999971</c:v>
                </c:pt>
                <c:pt idx="25">
                  <c:v>2414.1849999999972</c:v>
                </c:pt>
                <c:pt idx="26">
                  <c:v>2488.694999999997</c:v>
                </c:pt>
                <c:pt idx="27">
                  <c:v>2563.2099999999973</c:v>
                </c:pt>
                <c:pt idx="28">
                  <c:v>2637.7299999999973</c:v>
                </c:pt>
                <c:pt idx="29">
                  <c:v>2712.242499999998</c:v>
                </c:pt>
                <c:pt idx="30">
                  <c:v>2786.7474999999986</c:v>
                </c:pt>
                <c:pt idx="31">
                  <c:v>2861.2524999999978</c:v>
                </c:pt>
                <c:pt idx="32">
                  <c:v>2935.7574999999956</c:v>
                </c:pt>
                <c:pt idx="33">
                  <c:v>3035.5099999999939</c:v>
                </c:pt>
                <c:pt idx="34">
                  <c:v>3160.5099999999943</c:v>
                </c:pt>
                <c:pt idx="35">
                  <c:v>3285.5099999999939</c:v>
                </c:pt>
                <c:pt idx="36">
                  <c:v>3410.5099999999943</c:v>
                </c:pt>
                <c:pt idx="37">
                  <c:v>3535.5099999999939</c:v>
                </c:pt>
                <c:pt idx="38">
                  <c:v>3660.5099999999939</c:v>
                </c:pt>
                <c:pt idx="39">
                  <c:v>3785.5099999999934</c:v>
                </c:pt>
                <c:pt idx="40">
                  <c:v>3910.5099999999929</c:v>
                </c:pt>
                <c:pt idx="41">
                  <c:v>4010.2599999999925</c:v>
                </c:pt>
                <c:pt idx="42">
                  <c:v>4084.7599999999929</c:v>
                </c:pt>
                <c:pt idx="43">
                  <c:v>4184.5099999999929</c:v>
                </c:pt>
                <c:pt idx="44">
                  <c:v>4309.509999999992</c:v>
                </c:pt>
                <c:pt idx="45">
                  <c:v>4409.2699999999913</c:v>
                </c:pt>
                <c:pt idx="46">
                  <c:v>4483.7899999999927</c:v>
                </c:pt>
                <c:pt idx="47">
                  <c:v>4570.299999999992</c:v>
                </c:pt>
                <c:pt idx="48">
                  <c:v>4668.799999999992</c:v>
                </c:pt>
                <c:pt idx="49">
                  <c:v>4755.3199999999915</c:v>
                </c:pt>
                <c:pt idx="50">
                  <c:v>4829.8599999999924</c:v>
                </c:pt>
                <c:pt idx="51">
                  <c:v>4904.3874999999953</c:v>
                </c:pt>
                <c:pt idx="52">
                  <c:v>4978.9025000000011</c:v>
                </c:pt>
                <c:pt idx="53">
                  <c:v>5053.4150000000036</c:v>
                </c:pt>
                <c:pt idx="54">
                  <c:v>5127.9250000000029</c:v>
                </c:pt>
                <c:pt idx="55">
                  <c:v>5202.4425000000074</c:v>
                </c:pt>
                <c:pt idx="56">
                  <c:v>5276.967500000017</c:v>
                </c:pt>
                <c:pt idx="57">
                  <c:v>5351.4975000000195</c:v>
                </c:pt>
                <c:pt idx="58">
                  <c:v>5426.0325000000148</c:v>
                </c:pt>
                <c:pt idx="59">
                  <c:v>5500.5800000000127</c:v>
                </c:pt>
                <c:pt idx="60">
                  <c:v>5575.1400000000122</c:v>
                </c:pt>
                <c:pt idx="61">
                  <c:v>5649.7025000000085</c:v>
                </c:pt>
                <c:pt idx="62">
                  <c:v>5724.2674999999981</c:v>
                </c:pt>
                <c:pt idx="63">
                  <c:v>5798.8124999999991</c:v>
                </c:pt>
                <c:pt idx="64">
                  <c:v>5873.3375000000096</c:v>
                </c:pt>
                <c:pt idx="65">
                  <c:v>5947.8550000000141</c:v>
                </c:pt>
                <c:pt idx="66">
                  <c:v>6022.3650000000134</c:v>
                </c:pt>
                <c:pt idx="67">
                  <c:v>6096.8800000000138</c:v>
                </c:pt>
                <c:pt idx="68">
                  <c:v>6171.4000000000142</c:v>
                </c:pt>
                <c:pt idx="69">
                  <c:v>6245.9250000000147</c:v>
                </c:pt>
                <c:pt idx="70">
                  <c:v>6320.4550000000136</c:v>
                </c:pt>
                <c:pt idx="71">
                  <c:v>6394.9800000000141</c:v>
                </c:pt>
                <c:pt idx="72">
                  <c:v>6469.5000000000146</c:v>
                </c:pt>
                <c:pt idx="73">
                  <c:v>6544.0125000000135</c:v>
                </c:pt>
                <c:pt idx="74">
                  <c:v>6618.5175000000127</c:v>
                </c:pt>
                <c:pt idx="75">
                  <c:v>6718.2700000000114</c:v>
                </c:pt>
                <c:pt idx="76">
                  <c:v>6843.2700000000104</c:v>
                </c:pt>
                <c:pt idx="77">
                  <c:v>6943.0550000000103</c:v>
                </c:pt>
                <c:pt idx="78">
                  <c:v>7017.6250000000118</c:v>
                </c:pt>
                <c:pt idx="79">
                  <c:v>7117.4100000000117</c:v>
                </c:pt>
                <c:pt idx="80">
                  <c:v>7242.4100000000099</c:v>
                </c:pt>
                <c:pt idx="81">
                  <c:v>7342.21000000001</c:v>
                </c:pt>
                <c:pt idx="82">
                  <c:v>7416.8100000000104</c:v>
                </c:pt>
                <c:pt idx="83">
                  <c:v>7503.3600000000115</c:v>
                </c:pt>
                <c:pt idx="84">
                  <c:v>7601.8600000000106</c:v>
                </c:pt>
                <c:pt idx="85">
                  <c:v>7713.6100000000124</c:v>
                </c:pt>
                <c:pt idx="86">
                  <c:v>7838.6100000000106</c:v>
                </c:pt>
              </c:numCache>
            </c:numRef>
          </c:xVal>
          <c:yVal>
            <c:numRef>
              <c:f>'FL6 data'!$AL$6:$AL$568</c:f>
              <c:numCache>
                <c:formatCode>General</c:formatCode>
                <c:ptCount val="563"/>
                <c:pt idx="0">
                  <c:v>135.99930091600513</c:v>
                </c:pt>
                <c:pt idx="1">
                  <c:v>135.92978491656123</c:v>
                </c:pt>
                <c:pt idx="2">
                  <c:v>135.88181491694502</c:v>
                </c:pt>
                <c:pt idx="3">
                  <c:v>135.84603091723127</c:v>
                </c:pt>
                <c:pt idx="4">
                  <c:v>135.85074691719356</c:v>
                </c:pt>
                <c:pt idx="5">
                  <c:v>135.72739291818039</c:v>
                </c:pt>
                <c:pt idx="6">
                  <c:v>135.58346491933182</c:v>
                </c:pt>
                <c:pt idx="7">
                  <c:v>135.47263892021843</c:v>
                </c:pt>
                <c:pt idx="8">
                  <c:v>135.37270292101789</c:v>
                </c:pt>
                <c:pt idx="9">
                  <c:v>135.24760292201873</c:v>
                </c:pt>
                <c:pt idx="10">
                  <c:v>135.14718092282209</c:v>
                </c:pt>
                <c:pt idx="11">
                  <c:v>135.02593292379206</c:v>
                </c:pt>
                <c:pt idx="12">
                  <c:v>134.91879692464917</c:v>
                </c:pt>
                <c:pt idx="13">
                  <c:v>134.81493692548003</c:v>
                </c:pt>
                <c:pt idx="14">
                  <c:v>134.88592892491212</c:v>
                </c:pt>
                <c:pt idx="15">
                  <c:v>135.24443492204406</c:v>
                </c:pt>
                <c:pt idx="16">
                  <c:v>134.53588292771246</c:v>
                </c:pt>
                <c:pt idx="17">
                  <c:v>134.46129092830918</c:v>
                </c:pt>
                <c:pt idx="18">
                  <c:v>134.39389892884833</c:v>
                </c:pt>
                <c:pt idx="19">
                  <c:v>134.3265789293869</c:v>
                </c:pt>
                <c:pt idx="20">
                  <c:v>134.25951092992344</c:v>
                </c:pt>
                <c:pt idx="21">
                  <c:v>134.19265893045826</c:v>
                </c:pt>
                <c:pt idx="22">
                  <c:v>134.12560893099464</c:v>
                </c:pt>
                <c:pt idx="23">
                  <c:v>134.05800093153553</c:v>
                </c:pt>
                <c:pt idx="24">
                  <c:v>133.99107693207094</c:v>
                </c:pt>
                <c:pt idx="25">
                  <c:v>133.92543093259607</c:v>
                </c:pt>
                <c:pt idx="26">
                  <c:v>133.85879493312916</c:v>
                </c:pt>
                <c:pt idx="27">
                  <c:v>133.79109693367076</c:v>
                </c:pt>
                <c:pt idx="28">
                  <c:v>133.7241549342063</c:v>
                </c:pt>
                <c:pt idx="29">
                  <c:v>133.65818493473404</c:v>
                </c:pt>
                <c:pt idx="30">
                  <c:v>133.59126093526945</c:v>
                </c:pt>
                <c:pt idx="31">
                  <c:v>133.52302293581536</c:v>
                </c:pt>
                <c:pt idx="32">
                  <c:v>133.45050093639554</c:v>
                </c:pt>
                <c:pt idx="33">
                  <c:v>133.37128293702926</c:v>
                </c:pt>
                <c:pt idx="34">
                  <c:v>133.2350409381192</c:v>
                </c:pt>
                <c:pt idx="35">
                  <c:v>133.12603293899127</c:v>
                </c:pt>
                <c:pt idx="36">
                  <c:v>133.03693293970409</c:v>
                </c:pt>
                <c:pt idx="37">
                  <c:v>132.90733294074087</c:v>
                </c:pt>
                <c:pt idx="38">
                  <c:v>132.84690694122429</c:v>
                </c:pt>
                <c:pt idx="39">
                  <c:v>132.69187294246456</c:v>
                </c:pt>
                <c:pt idx="40">
                  <c:v>132.68319694253395</c:v>
                </c:pt>
                <c:pt idx="41">
                  <c:v>132.60630094314914</c:v>
                </c:pt>
                <c:pt idx="42">
                  <c:v>132.43837894449251</c:v>
                </c:pt>
                <c:pt idx="43">
                  <c:v>132.34659694522676</c:v>
                </c:pt>
                <c:pt idx="44">
                  <c:v>132.36589294507237</c:v>
                </c:pt>
                <c:pt idx="45">
                  <c:v>132.28545094571592</c:v>
                </c:pt>
                <c:pt idx="46">
                  <c:v>132.14616694683022</c:v>
                </c:pt>
                <c:pt idx="47">
                  <c:v>132.48557494411494</c:v>
                </c:pt>
                <c:pt idx="48">
                  <c:v>131.93837494849257</c:v>
                </c:pt>
                <c:pt idx="49">
                  <c:v>131.86885894904867</c:v>
                </c:pt>
                <c:pt idx="50">
                  <c:v>131.80303294957525</c:v>
                </c:pt>
                <c:pt idx="51">
                  <c:v>131.73870095008994</c:v>
                </c:pt>
                <c:pt idx="52">
                  <c:v>131.67388295060849</c:v>
                </c:pt>
                <c:pt idx="53">
                  <c:v>131.60917295112614</c:v>
                </c:pt>
                <c:pt idx="54">
                  <c:v>131.54408495164685</c:v>
                </c:pt>
                <c:pt idx="55">
                  <c:v>131.47741295218026</c:v>
                </c:pt>
                <c:pt idx="56">
                  <c:v>131.41203695270323</c:v>
                </c:pt>
                <c:pt idx="57">
                  <c:v>131.34651695322742</c:v>
                </c:pt>
                <c:pt idx="58">
                  <c:v>131.28103295375126</c:v>
                </c:pt>
                <c:pt idx="59">
                  <c:v>131.21504495427919</c:v>
                </c:pt>
                <c:pt idx="60">
                  <c:v>131.14941695480422</c:v>
                </c:pt>
                <c:pt idx="61">
                  <c:v>131.08389695532836</c:v>
                </c:pt>
                <c:pt idx="62">
                  <c:v>131.01844895585194</c:v>
                </c:pt>
                <c:pt idx="63">
                  <c:v>130.95370295636991</c:v>
                </c:pt>
                <c:pt idx="64">
                  <c:v>130.88890295688833</c:v>
                </c:pt>
                <c:pt idx="65">
                  <c:v>130.82435495740469</c:v>
                </c:pt>
                <c:pt idx="66">
                  <c:v>130.75962695792253</c:v>
                </c:pt>
                <c:pt idx="67">
                  <c:v>130.69417895844612</c:v>
                </c:pt>
                <c:pt idx="68">
                  <c:v>130.62909095896683</c:v>
                </c:pt>
                <c:pt idx="69">
                  <c:v>130.5639669594878</c:v>
                </c:pt>
                <c:pt idx="70">
                  <c:v>130.49896896000777</c:v>
                </c:pt>
                <c:pt idx="71">
                  <c:v>130.43427696052535</c:v>
                </c:pt>
                <c:pt idx="72">
                  <c:v>130.36924296104559</c:v>
                </c:pt>
                <c:pt idx="73">
                  <c:v>130.30397496156775</c:v>
                </c:pt>
                <c:pt idx="74">
                  <c:v>130.23847296209175</c:v>
                </c:pt>
                <c:pt idx="75">
                  <c:v>130.20945696232388</c:v>
                </c:pt>
                <c:pt idx="76">
                  <c:v>130.04209296366281</c:v>
                </c:pt>
                <c:pt idx="77">
                  <c:v>129.960318964317</c:v>
                </c:pt>
                <c:pt idx="78">
                  <c:v>129.88552896491532</c:v>
                </c:pt>
                <c:pt idx="79">
                  <c:v>129.79961496560261</c:v>
                </c:pt>
                <c:pt idx="80">
                  <c:v>129.76741296586022</c:v>
                </c:pt>
                <c:pt idx="81">
                  <c:v>129.68959896648275</c:v>
                </c:pt>
                <c:pt idx="82">
                  <c:v>129.5557689675534</c:v>
                </c:pt>
                <c:pt idx="83">
                  <c:v>129.49095096807193</c:v>
                </c:pt>
                <c:pt idx="84">
                  <c:v>129.38640696890829</c:v>
                </c:pt>
                <c:pt idx="85">
                  <c:v>129.28663296970646</c:v>
                </c:pt>
                <c:pt idx="86">
                  <c:v>129.18739897050037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BC-4BA2-B590-D91E326F0825}"/>
            </c:ext>
          </c:extLst>
        </c:ser>
        <c:ser>
          <c:idx val="1"/>
          <c:order val="1"/>
          <c:tx>
            <c:v>MidLife</c:v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'FL6 data'!$AR$6:$AR$568</c:f>
              <c:numCache>
                <c:formatCode>General</c:formatCode>
                <c:ptCount val="563"/>
                <c:pt idx="0">
                  <c:v>48.543058277668898</c:v>
                </c:pt>
                <c:pt idx="1">
                  <c:v>145.629174833007</c:v>
                </c:pt>
                <c:pt idx="2">
                  <c:v>222.08611655533801</c:v>
                </c:pt>
                <c:pt idx="3">
                  <c:v>270.935</c:v>
                </c:pt>
                <c:pt idx="4">
                  <c:v>312.80500000000001</c:v>
                </c:pt>
                <c:pt idx="5">
                  <c:v>375.49</c:v>
                </c:pt>
                <c:pt idx="6">
                  <c:v>500.49</c:v>
                </c:pt>
                <c:pt idx="7">
                  <c:v>646.24</c:v>
                </c:pt>
                <c:pt idx="8">
                  <c:v>771.24</c:v>
                </c:pt>
                <c:pt idx="9">
                  <c:v>896.24</c:v>
                </c:pt>
                <c:pt idx="10">
                  <c:v>1021.24</c:v>
                </c:pt>
                <c:pt idx="11">
                  <c:v>1146.24</c:v>
                </c:pt>
                <c:pt idx="12">
                  <c:v>1271.24</c:v>
                </c:pt>
                <c:pt idx="13">
                  <c:v>1396.24</c:v>
                </c:pt>
                <c:pt idx="14">
                  <c:v>1521.24</c:v>
                </c:pt>
                <c:pt idx="15">
                  <c:v>1632.99</c:v>
                </c:pt>
                <c:pt idx="16">
                  <c:v>1731.49</c:v>
                </c:pt>
                <c:pt idx="17">
                  <c:v>1817.9974999999999</c:v>
                </c:pt>
                <c:pt idx="18">
                  <c:v>1892.5125</c:v>
                </c:pt>
                <c:pt idx="19">
                  <c:v>1967.03</c:v>
                </c:pt>
                <c:pt idx="20">
                  <c:v>2041.55</c:v>
                </c:pt>
                <c:pt idx="21">
                  <c:v>2116.0700000000002</c:v>
                </c:pt>
                <c:pt idx="22">
                  <c:v>2190.59</c:v>
                </c:pt>
                <c:pt idx="23">
                  <c:v>2265.12</c:v>
                </c:pt>
                <c:pt idx="24">
                  <c:v>2339.66</c:v>
                </c:pt>
                <c:pt idx="25">
                  <c:v>2414.1849999999999</c:v>
                </c:pt>
                <c:pt idx="26">
                  <c:v>2488.6950000000002</c:v>
                </c:pt>
                <c:pt idx="27">
                  <c:v>2563.21</c:v>
                </c:pt>
                <c:pt idx="28">
                  <c:v>2637.73</c:v>
                </c:pt>
                <c:pt idx="29">
                  <c:v>2712.2424999999998</c:v>
                </c:pt>
                <c:pt idx="30">
                  <c:v>2786.7474999999999</c:v>
                </c:pt>
                <c:pt idx="31">
                  <c:v>2861.2525000000001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3160.51</c:v>
                </c:pt>
                <c:pt idx="35">
                  <c:v>3285.51</c:v>
                </c:pt>
                <c:pt idx="36">
                  <c:v>3410.51</c:v>
                </c:pt>
                <c:pt idx="37">
                  <c:v>3535.51</c:v>
                </c:pt>
                <c:pt idx="38">
                  <c:v>3660.51</c:v>
                </c:pt>
                <c:pt idx="39">
                  <c:v>3785.51</c:v>
                </c:pt>
                <c:pt idx="40">
                  <c:v>3910.51</c:v>
                </c:pt>
                <c:pt idx="41">
                  <c:v>4010.26</c:v>
                </c:pt>
                <c:pt idx="42">
                  <c:v>4084.76</c:v>
                </c:pt>
                <c:pt idx="43">
                  <c:v>4184.51</c:v>
                </c:pt>
                <c:pt idx="44">
                  <c:v>4309.51</c:v>
                </c:pt>
                <c:pt idx="45">
                  <c:v>4409.2700000000004</c:v>
                </c:pt>
                <c:pt idx="46">
                  <c:v>4483.79</c:v>
                </c:pt>
                <c:pt idx="47">
                  <c:v>4570.3</c:v>
                </c:pt>
                <c:pt idx="48">
                  <c:v>4668.8</c:v>
                </c:pt>
                <c:pt idx="49">
                  <c:v>4755.32</c:v>
                </c:pt>
                <c:pt idx="50">
                  <c:v>4829.8599999999997</c:v>
                </c:pt>
                <c:pt idx="51">
                  <c:v>4904.3874999999998</c:v>
                </c:pt>
                <c:pt idx="52">
                  <c:v>4978.9025000000001</c:v>
                </c:pt>
                <c:pt idx="53">
                  <c:v>5053.415</c:v>
                </c:pt>
                <c:pt idx="54">
                  <c:v>5127.9250000000002</c:v>
                </c:pt>
                <c:pt idx="55">
                  <c:v>5202.4425000000001</c:v>
                </c:pt>
                <c:pt idx="56">
                  <c:v>5276.9674999999997</c:v>
                </c:pt>
                <c:pt idx="57">
                  <c:v>5351.4975000000004</c:v>
                </c:pt>
                <c:pt idx="58">
                  <c:v>5426.0325000000003</c:v>
                </c:pt>
                <c:pt idx="59">
                  <c:v>5500.58</c:v>
                </c:pt>
                <c:pt idx="60">
                  <c:v>5575.14</c:v>
                </c:pt>
                <c:pt idx="61">
                  <c:v>5649.7025000000003</c:v>
                </c:pt>
                <c:pt idx="62">
                  <c:v>5724.2674999999999</c:v>
                </c:pt>
                <c:pt idx="63">
                  <c:v>5798.8125</c:v>
                </c:pt>
                <c:pt idx="64">
                  <c:v>5873.3374999999996</c:v>
                </c:pt>
                <c:pt idx="65">
                  <c:v>5947.8549999999996</c:v>
                </c:pt>
                <c:pt idx="66">
                  <c:v>6022.3649999999998</c:v>
                </c:pt>
                <c:pt idx="67">
                  <c:v>6096.88</c:v>
                </c:pt>
                <c:pt idx="68">
                  <c:v>6171.4</c:v>
                </c:pt>
                <c:pt idx="69">
                  <c:v>6245.9250000000002</c:v>
                </c:pt>
                <c:pt idx="70">
                  <c:v>6320.4549999999999</c:v>
                </c:pt>
                <c:pt idx="71">
                  <c:v>6394.98</c:v>
                </c:pt>
                <c:pt idx="72">
                  <c:v>6469.5</c:v>
                </c:pt>
                <c:pt idx="73">
                  <c:v>6544.0124999999998</c:v>
                </c:pt>
                <c:pt idx="74">
                  <c:v>6618.5174999999999</c:v>
                </c:pt>
                <c:pt idx="75">
                  <c:v>6718.27</c:v>
                </c:pt>
                <c:pt idx="76">
                  <c:v>6843.27</c:v>
                </c:pt>
                <c:pt idx="77">
                  <c:v>6943.0550000000003</c:v>
                </c:pt>
                <c:pt idx="78">
                  <c:v>7017.625</c:v>
                </c:pt>
                <c:pt idx="79">
                  <c:v>7117.41</c:v>
                </c:pt>
                <c:pt idx="80">
                  <c:v>7242.41</c:v>
                </c:pt>
                <c:pt idx="81">
                  <c:v>7342.21</c:v>
                </c:pt>
                <c:pt idx="82">
                  <c:v>7416.81</c:v>
                </c:pt>
                <c:pt idx="83">
                  <c:v>7503.36</c:v>
                </c:pt>
                <c:pt idx="84">
                  <c:v>7601.86</c:v>
                </c:pt>
                <c:pt idx="85">
                  <c:v>7713.61</c:v>
                </c:pt>
                <c:pt idx="86">
                  <c:v>7838.61</c:v>
                </c:pt>
              </c:numCache>
            </c:numRef>
          </c:xVal>
          <c:yVal>
            <c:numRef>
              <c:f>'FL6 data'!$AS$6:$AS$568</c:f>
              <c:numCache>
                <c:formatCode>General</c:formatCode>
                <c:ptCount val="563"/>
                <c:pt idx="0">
                  <c:v>97.773421221812299</c:v>
                </c:pt>
                <c:pt idx="1">
                  <c:v>97.128823226969104</c:v>
                </c:pt>
                <c:pt idx="2">
                  <c:v>96.836071229311102</c:v>
                </c:pt>
                <c:pt idx="3">
                  <c:v>96.673855230608794</c:v>
                </c:pt>
                <c:pt idx="4">
                  <c:v>96.999259228005599</c:v>
                </c:pt>
                <c:pt idx="5">
                  <c:v>96.235699234114094</c:v>
                </c:pt>
                <c:pt idx="6">
                  <c:v>95.935477236515894</c:v>
                </c:pt>
                <c:pt idx="7">
                  <c:v>95.759023237927494</c:v>
                </c:pt>
                <c:pt idx="8">
                  <c:v>95.598661239210401</c:v>
                </c:pt>
                <c:pt idx="9">
                  <c:v>95.412757240697601</c:v>
                </c:pt>
                <c:pt idx="10">
                  <c:v>95.269747241841699</c:v>
                </c:pt>
                <c:pt idx="11">
                  <c:v>95.093563243251197</c:v>
                </c:pt>
                <c:pt idx="12">
                  <c:v>94.950589244394905</c:v>
                </c:pt>
                <c:pt idx="13">
                  <c:v>95.445679240434202</c:v>
                </c:pt>
                <c:pt idx="14">
                  <c:v>101.293303193653</c:v>
                </c:pt>
                <c:pt idx="15">
                  <c:v>101.234677194122</c:v>
                </c:pt>
                <c:pt idx="16">
                  <c:v>101.004295195965</c:v>
                </c:pt>
                <c:pt idx="17">
                  <c:v>100.941403196468</c:v>
                </c:pt>
                <c:pt idx="18">
                  <c:v>100.689565198483</c:v>
                </c:pt>
                <c:pt idx="19">
                  <c:v>98.584573215323104</c:v>
                </c:pt>
                <c:pt idx="20">
                  <c:v>94.019251251845702</c:v>
                </c:pt>
                <c:pt idx="21">
                  <c:v>93.9111612527104</c:v>
                </c:pt>
                <c:pt idx="22">
                  <c:v>93.820207253437999</c:v>
                </c:pt>
                <c:pt idx="23">
                  <c:v>93.732043254143306</c:v>
                </c:pt>
                <c:pt idx="24">
                  <c:v>93.638101254894906</c:v>
                </c:pt>
                <c:pt idx="25">
                  <c:v>93.544249255645695</c:v>
                </c:pt>
                <c:pt idx="26">
                  <c:v>93.462529256299405</c:v>
                </c:pt>
                <c:pt idx="27">
                  <c:v>93.377353256980797</c:v>
                </c:pt>
                <c:pt idx="28">
                  <c:v>93.282043257743297</c:v>
                </c:pt>
                <c:pt idx="29">
                  <c:v>93.185599258514898</c:v>
                </c:pt>
                <c:pt idx="30">
                  <c:v>93.102331259181</c:v>
                </c:pt>
                <c:pt idx="31">
                  <c:v>93.011899259904496</c:v>
                </c:pt>
                <c:pt idx="32">
                  <c:v>92.907751260737697</c:v>
                </c:pt>
                <c:pt idx="33">
                  <c:v>92.829469261363897</c:v>
                </c:pt>
                <c:pt idx="34">
                  <c:v>92.615863263072796</c:v>
                </c:pt>
                <c:pt idx="35">
                  <c:v>92.455483264355806</c:v>
                </c:pt>
                <c:pt idx="36">
                  <c:v>92.443621264450698</c:v>
                </c:pt>
                <c:pt idx="37">
                  <c:v>92.178589266570995</c:v>
                </c:pt>
                <c:pt idx="38">
                  <c:v>92.538751263689704</c:v>
                </c:pt>
                <c:pt idx="39">
                  <c:v>91.990093268078894</c:v>
                </c:pt>
                <c:pt idx="40">
                  <c:v>95.203831242369006</c:v>
                </c:pt>
                <c:pt idx="41">
                  <c:v>96.346669233226294</c:v>
                </c:pt>
                <c:pt idx="42">
                  <c:v>91.606027271151504</c:v>
                </c:pt>
                <c:pt idx="43">
                  <c:v>92.742133262062595</c:v>
                </c:pt>
                <c:pt idx="44">
                  <c:v>97.132297226941304</c:v>
                </c:pt>
                <c:pt idx="45">
                  <c:v>97.472659224218404</c:v>
                </c:pt>
                <c:pt idx="46">
                  <c:v>97.276747225785698</c:v>
                </c:pt>
                <c:pt idx="47">
                  <c:v>97.073275227413504</c:v>
                </c:pt>
                <c:pt idx="48">
                  <c:v>96.925675228594301</c:v>
                </c:pt>
                <c:pt idx="49">
                  <c:v>96.796885229624607</c:v>
                </c:pt>
                <c:pt idx="50">
                  <c:v>96.413071232695103</c:v>
                </c:pt>
                <c:pt idx="51">
                  <c:v>92.759701261922103</c:v>
                </c:pt>
                <c:pt idx="52">
                  <c:v>90.935599276514907</c:v>
                </c:pt>
                <c:pt idx="53">
                  <c:v>90.4014492807881</c:v>
                </c:pt>
                <c:pt idx="54">
                  <c:v>90.321709281425996</c:v>
                </c:pt>
                <c:pt idx="55">
                  <c:v>90.238729282089807</c:v>
                </c:pt>
                <c:pt idx="56">
                  <c:v>90.151411282788402</c:v>
                </c:pt>
                <c:pt idx="57">
                  <c:v>90.067225283461894</c:v>
                </c:pt>
                <c:pt idx="58">
                  <c:v>89.983399284132503</c:v>
                </c:pt>
                <c:pt idx="59">
                  <c:v>89.900725284793893</c:v>
                </c:pt>
                <c:pt idx="60">
                  <c:v>89.816305285469198</c:v>
                </c:pt>
                <c:pt idx="61">
                  <c:v>89.733523286131501</c:v>
                </c:pt>
                <c:pt idx="62">
                  <c:v>89.650957286792007</c:v>
                </c:pt>
                <c:pt idx="63">
                  <c:v>89.568931287448194</c:v>
                </c:pt>
                <c:pt idx="64">
                  <c:v>89.491531288067407</c:v>
                </c:pt>
                <c:pt idx="65">
                  <c:v>89.4119352887042</c:v>
                </c:pt>
                <c:pt idx="66">
                  <c:v>89.336551289307295</c:v>
                </c:pt>
                <c:pt idx="67">
                  <c:v>89.259079289927101</c:v>
                </c:pt>
                <c:pt idx="68">
                  <c:v>89.175739290593796</c:v>
                </c:pt>
                <c:pt idx="69">
                  <c:v>89.095009291239606</c:v>
                </c:pt>
                <c:pt idx="70">
                  <c:v>89.009257291925607</c:v>
                </c:pt>
                <c:pt idx="71">
                  <c:v>88.922137292622594</c:v>
                </c:pt>
                <c:pt idx="72">
                  <c:v>88.833577293331103</c:v>
                </c:pt>
                <c:pt idx="73">
                  <c:v>88.740157294078401</c:v>
                </c:pt>
                <c:pt idx="74">
                  <c:v>88.668013294655594</c:v>
                </c:pt>
                <c:pt idx="75">
                  <c:v>88.825729293393806</c:v>
                </c:pt>
                <c:pt idx="76">
                  <c:v>88.448197296414094</c:v>
                </c:pt>
                <c:pt idx="77">
                  <c:v>88.361059297111197</c:v>
                </c:pt>
                <c:pt idx="78">
                  <c:v>88.241215298070003</c:v>
                </c:pt>
                <c:pt idx="79">
                  <c:v>88.189609298482793</c:v>
                </c:pt>
                <c:pt idx="80">
                  <c:v>90.3266412813866</c:v>
                </c:pt>
                <c:pt idx="81">
                  <c:v>91.011091275910999</c:v>
                </c:pt>
                <c:pt idx="82">
                  <c:v>87.842425301260306</c:v>
                </c:pt>
                <c:pt idx="83">
                  <c:v>88.042441299660197</c:v>
                </c:pt>
                <c:pt idx="84">
                  <c:v>87.570193303438103</c:v>
                </c:pt>
                <c:pt idx="85">
                  <c:v>87.422701304618101</c:v>
                </c:pt>
                <c:pt idx="86">
                  <c:v>87.299995305599694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BC-4BA2-B590-D91E326F0825}"/>
            </c:ext>
          </c:extLst>
        </c:ser>
        <c:ser>
          <c:idx val="2"/>
          <c:order val="2"/>
          <c:tx>
            <c:v>LateLife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'FL6 data'!$AY$6:$AY$568</c:f>
              <c:numCache>
                <c:formatCode>General</c:formatCode>
                <c:ptCount val="563"/>
                <c:pt idx="0">
                  <c:v>48.543058277668898</c:v>
                </c:pt>
                <c:pt idx="1">
                  <c:v>145.629174833007</c:v>
                </c:pt>
                <c:pt idx="2">
                  <c:v>222.08611655533801</c:v>
                </c:pt>
                <c:pt idx="3">
                  <c:v>270.935</c:v>
                </c:pt>
                <c:pt idx="4">
                  <c:v>312.80500000000001</c:v>
                </c:pt>
                <c:pt idx="5">
                  <c:v>375.49</c:v>
                </c:pt>
                <c:pt idx="6">
                  <c:v>500.49</c:v>
                </c:pt>
                <c:pt idx="7">
                  <c:v>646.24</c:v>
                </c:pt>
                <c:pt idx="8">
                  <c:v>771.24</c:v>
                </c:pt>
                <c:pt idx="9">
                  <c:v>896.24</c:v>
                </c:pt>
                <c:pt idx="10">
                  <c:v>1021.24</c:v>
                </c:pt>
                <c:pt idx="11">
                  <c:v>1146.24</c:v>
                </c:pt>
                <c:pt idx="12">
                  <c:v>1271.24</c:v>
                </c:pt>
                <c:pt idx="13">
                  <c:v>1396.24</c:v>
                </c:pt>
                <c:pt idx="14">
                  <c:v>1521.24</c:v>
                </c:pt>
                <c:pt idx="15">
                  <c:v>1632.99</c:v>
                </c:pt>
                <c:pt idx="16">
                  <c:v>1731.49</c:v>
                </c:pt>
                <c:pt idx="17">
                  <c:v>1817.9974999999999</c:v>
                </c:pt>
                <c:pt idx="18">
                  <c:v>1892.5125</c:v>
                </c:pt>
                <c:pt idx="19">
                  <c:v>1967.03</c:v>
                </c:pt>
                <c:pt idx="20">
                  <c:v>2041.55</c:v>
                </c:pt>
                <c:pt idx="21">
                  <c:v>2116.0700000000002</c:v>
                </c:pt>
                <c:pt idx="22">
                  <c:v>2190.59</c:v>
                </c:pt>
                <c:pt idx="23">
                  <c:v>2265.12</c:v>
                </c:pt>
                <c:pt idx="24">
                  <c:v>2339.66</c:v>
                </c:pt>
                <c:pt idx="25">
                  <c:v>2414.1849999999999</c:v>
                </c:pt>
                <c:pt idx="26">
                  <c:v>2488.6950000000002</c:v>
                </c:pt>
                <c:pt idx="27">
                  <c:v>2563.21</c:v>
                </c:pt>
                <c:pt idx="28">
                  <c:v>2637.73</c:v>
                </c:pt>
                <c:pt idx="29">
                  <c:v>2712.2424999999998</c:v>
                </c:pt>
                <c:pt idx="30">
                  <c:v>2786.7474999999999</c:v>
                </c:pt>
                <c:pt idx="31">
                  <c:v>2861.2525000000001</c:v>
                </c:pt>
                <c:pt idx="32">
                  <c:v>2935.7575000000002</c:v>
                </c:pt>
                <c:pt idx="33">
                  <c:v>3035.51</c:v>
                </c:pt>
                <c:pt idx="34">
                  <c:v>3160.51</c:v>
                </c:pt>
                <c:pt idx="35">
                  <c:v>3285.51</c:v>
                </c:pt>
                <c:pt idx="36">
                  <c:v>3410.51</c:v>
                </c:pt>
                <c:pt idx="37">
                  <c:v>3535.51</c:v>
                </c:pt>
                <c:pt idx="38">
                  <c:v>3660.51</c:v>
                </c:pt>
                <c:pt idx="39">
                  <c:v>3785.51</c:v>
                </c:pt>
                <c:pt idx="40">
                  <c:v>3910.51</c:v>
                </c:pt>
                <c:pt idx="41">
                  <c:v>4010.26</c:v>
                </c:pt>
                <c:pt idx="42">
                  <c:v>4084.76</c:v>
                </c:pt>
                <c:pt idx="43">
                  <c:v>4184.51</c:v>
                </c:pt>
                <c:pt idx="44">
                  <c:v>4309.51</c:v>
                </c:pt>
                <c:pt idx="45">
                  <c:v>4409.2700000000004</c:v>
                </c:pt>
                <c:pt idx="46">
                  <c:v>4483.79</c:v>
                </c:pt>
                <c:pt idx="47">
                  <c:v>4570.3</c:v>
                </c:pt>
                <c:pt idx="48">
                  <c:v>4668.8</c:v>
                </c:pt>
                <c:pt idx="49">
                  <c:v>4755.32</c:v>
                </c:pt>
                <c:pt idx="50">
                  <c:v>4829.8599999999997</c:v>
                </c:pt>
                <c:pt idx="51">
                  <c:v>4904.3874999999998</c:v>
                </c:pt>
                <c:pt idx="52">
                  <c:v>4978.9025000000001</c:v>
                </c:pt>
                <c:pt idx="53">
                  <c:v>5053.415</c:v>
                </c:pt>
                <c:pt idx="54">
                  <c:v>5127.9250000000002</c:v>
                </c:pt>
                <c:pt idx="55">
                  <c:v>5202.4425000000001</c:v>
                </c:pt>
                <c:pt idx="56">
                  <c:v>5276.9674999999997</c:v>
                </c:pt>
                <c:pt idx="57">
                  <c:v>5351.4975000000004</c:v>
                </c:pt>
                <c:pt idx="58">
                  <c:v>5426.0325000000003</c:v>
                </c:pt>
                <c:pt idx="59">
                  <c:v>5500.58</c:v>
                </c:pt>
                <c:pt idx="60">
                  <c:v>5575.14</c:v>
                </c:pt>
                <c:pt idx="61">
                  <c:v>5649.7025000000003</c:v>
                </c:pt>
                <c:pt idx="62">
                  <c:v>5724.2674999999999</c:v>
                </c:pt>
                <c:pt idx="63">
                  <c:v>5798.8125</c:v>
                </c:pt>
                <c:pt idx="64">
                  <c:v>5873.3374999999996</c:v>
                </c:pt>
                <c:pt idx="65">
                  <c:v>5947.8549999999996</c:v>
                </c:pt>
                <c:pt idx="66">
                  <c:v>6022.3649999999998</c:v>
                </c:pt>
                <c:pt idx="67">
                  <c:v>6096.88</c:v>
                </c:pt>
                <c:pt idx="68">
                  <c:v>6171.4</c:v>
                </c:pt>
                <c:pt idx="69">
                  <c:v>6245.9250000000002</c:v>
                </c:pt>
                <c:pt idx="70">
                  <c:v>6320.4549999999999</c:v>
                </c:pt>
                <c:pt idx="71">
                  <c:v>6394.98</c:v>
                </c:pt>
                <c:pt idx="72">
                  <c:v>6469.5</c:v>
                </c:pt>
                <c:pt idx="73">
                  <c:v>6544.0124999999998</c:v>
                </c:pt>
                <c:pt idx="74">
                  <c:v>6618.5174999999999</c:v>
                </c:pt>
                <c:pt idx="75">
                  <c:v>6718.27</c:v>
                </c:pt>
                <c:pt idx="76">
                  <c:v>6843.27</c:v>
                </c:pt>
                <c:pt idx="77">
                  <c:v>6943.0550000000003</c:v>
                </c:pt>
                <c:pt idx="78">
                  <c:v>7017.625</c:v>
                </c:pt>
                <c:pt idx="79">
                  <c:v>7117.41</c:v>
                </c:pt>
                <c:pt idx="80">
                  <c:v>7242.41</c:v>
                </c:pt>
                <c:pt idx="81">
                  <c:v>7342.21</c:v>
                </c:pt>
                <c:pt idx="82">
                  <c:v>7416.81</c:v>
                </c:pt>
                <c:pt idx="83">
                  <c:v>7503.36</c:v>
                </c:pt>
                <c:pt idx="84">
                  <c:v>7601.86</c:v>
                </c:pt>
                <c:pt idx="85">
                  <c:v>7713.61</c:v>
                </c:pt>
                <c:pt idx="86">
                  <c:v>7838.61</c:v>
                </c:pt>
              </c:numCache>
            </c:numRef>
          </c:xVal>
          <c:yVal>
            <c:numRef>
              <c:f>'FL6 data'!$AZ$6:$AZ$568</c:f>
              <c:numCache>
                <c:formatCode>General</c:formatCode>
                <c:ptCount val="563"/>
                <c:pt idx="0">
                  <c:v>77.776069381791203</c:v>
                </c:pt>
                <c:pt idx="1">
                  <c:v>77.486287384109403</c:v>
                </c:pt>
                <c:pt idx="2">
                  <c:v>77.314513385483593</c:v>
                </c:pt>
                <c:pt idx="3">
                  <c:v>77.229859386160896</c:v>
                </c:pt>
                <c:pt idx="4">
                  <c:v>77.494225384045905</c:v>
                </c:pt>
                <c:pt idx="5">
                  <c:v>76.756801389945295</c:v>
                </c:pt>
                <c:pt idx="6">
                  <c:v>76.216855394264897</c:v>
                </c:pt>
                <c:pt idx="7">
                  <c:v>75.826309397389295</c:v>
                </c:pt>
                <c:pt idx="8">
                  <c:v>75.428527400571497</c:v>
                </c:pt>
                <c:pt idx="9">
                  <c:v>74.9845034041237</c:v>
                </c:pt>
                <c:pt idx="10">
                  <c:v>74.591113407270797</c:v>
                </c:pt>
                <c:pt idx="11">
                  <c:v>74.164279410685495</c:v>
                </c:pt>
                <c:pt idx="12">
                  <c:v>73.771213413829997</c:v>
                </c:pt>
                <c:pt idx="13">
                  <c:v>73.448581416411102</c:v>
                </c:pt>
                <c:pt idx="14">
                  <c:v>76.938763388489605</c:v>
                </c:pt>
                <c:pt idx="15">
                  <c:v>77.110753387113704</c:v>
                </c:pt>
                <c:pt idx="16">
                  <c:v>76.667809390657297</c:v>
                </c:pt>
                <c:pt idx="17">
                  <c:v>76.508365391932799</c:v>
                </c:pt>
                <c:pt idx="18">
                  <c:v>76.234513394123596</c:v>
                </c:pt>
                <c:pt idx="19">
                  <c:v>75.958429396332306</c:v>
                </c:pt>
                <c:pt idx="20">
                  <c:v>75.676981398583905</c:v>
                </c:pt>
                <c:pt idx="21">
                  <c:v>75.396883400824706</c:v>
                </c:pt>
                <c:pt idx="22">
                  <c:v>75.117649403058493</c:v>
                </c:pt>
                <c:pt idx="23">
                  <c:v>74.845723405233997</c:v>
                </c:pt>
                <c:pt idx="24">
                  <c:v>74.564059407487306</c:v>
                </c:pt>
                <c:pt idx="25">
                  <c:v>74.272117409822798</c:v>
                </c:pt>
                <c:pt idx="26">
                  <c:v>73.999813412001203</c:v>
                </c:pt>
                <c:pt idx="27">
                  <c:v>73.614487415083801</c:v>
                </c:pt>
                <c:pt idx="28">
                  <c:v>71.184811434521293</c:v>
                </c:pt>
                <c:pt idx="29">
                  <c:v>69.807091445542994</c:v>
                </c:pt>
                <c:pt idx="30">
                  <c:v>69.557233447541904</c:v>
                </c:pt>
                <c:pt idx="31">
                  <c:v>69.350845449193002</c:v>
                </c:pt>
                <c:pt idx="32">
                  <c:v>69.123163451014406</c:v>
                </c:pt>
                <c:pt idx="33">
                  <c:v>68.817937453456295</c:v>
                </c:pt>
                <c:pt idx="34">
                  <c:v>68.349037457207501</c:v>
                </c:pt>
                <c:pt idx="35">
                  <c:v>67.826623461386802</c:v>
                </c:pt>
                <c:pt idx="36">
                  <c:v>67.589887463280704</c:v>
                </c:pt>
                <c:pt idx="37">
                  <c:v>67.1854454665162</c:v>
                </c:pt>
                <c:pt idx="38">
                  <c:v>67.350595465194999</c:v>
                </c:pt>
                <c:pt idx="39">
                  <c:v>66.617671471058401</c:v>
                </c:pt>
                <c:pt idx="40">
                  <c:v>69.101707451186101</c:v>
                </c:pt>
                <c:pt idx="41">
                  <c:v>69.222919450216395</c:v>
                </c:pt>
                <c:pt idx="42">
                  <c:v>66.311527473507596</c:v>
                </c:pt>
                <c:pt idx="43">
                  <c:v>66.0782474753738</c:v>
                </c:pt>
                <c:pt idx="44">
                  <c:v>68.379403456964496</c:v>
                </c:pt>
                <c:pt idx="45">
                  <c:v>68.643589454850996</c:v>
                </c:pt>
                <c:pt idx="46">
                  <c:v>68.441809456465293</c:v>
                </c:pt>
                <c:pt idx="47">
                  <c:v>68.157697458738198</c:v>
                </c:pt>
                <c:pt idx="48">
                  <c:v>67.925281460597503</c:v>
                </c:pt>
                <c:pt idx="49">
                  <c:v>67.758259461933704</c:v>
                </c:pt>
                <c:pt idx="50">
                  <c:v>67.560907463512507</c:v>
                </c:pt>
                <c:pt idx="51">
                  <c:v>67.357201465142197</c:v>
                </c:pt>
                <c:pt idx="52">
                  <c:v>67.159723466721999</c:v>
                </c:pt>
                <c:pt idx="53">
                  <c:v>66.9625154682996</c:v>
                </c:pt>
                <c:pt idx="54">
                  <c:v>66.774595469803003</c:v>
                </c:pt>
                <c:pt idx="55">
                  <c:v>66.597403471220503</c:v>
                </c:pt>
                <c:pt idx="56">
                  <c:v>66.411589472707007</c:v>
                </c:pt>
                <c:pt idx="57">
                  <c:v>66.227665474178394</c:v>
                </c:pt>
                <c:pt idx="58">
                  <c:v>66.042625475658795</c:v>
                </c:pt>
                <c:pt idx="59">
                  <c:v>65.860753477113704</c:v>
                </c:pt>
                <c:pt idx="60">
                  <c:v>65.675767478593599</c:v>
                </c:pt>
                <c:pt idx="61">
                  <c:v>65.490997480071798</c:v>
                </c:pt>
                <c:pt idx="62">
                  <c:v>65.305129481558694</c:v>
                </c:pt>
                <c:pt idx="63">
                  <c:v>65.116759483065707</c:v>
                </c:pt>
                <c:pt idx="64">
                  <c:v>64.932241484541805</c:v>
                </c:pt>
                <c:pt idx="65">
                  <c:v>64.703623486370802</c:v>
                </c:pt>
                <c:pt idx="66">
                  <c:v>63.732073494143201</c:v>
                </c:pt>
                <c:pt idx="67">
                  <c:v>62.335327505317203</c:v>
                </c:pt>
                <c:pt idx="68">
                  <c:v>61.889773508881603</c:v>
                </c:pt>
                <c:pt idx="69">
                  <c:v>61.687597510499003</c:v>
                </c:pt>
                <c:pt idx="70">
                  <c:v>61.526821511785201</c:v>
                </c:pt>
                <c:pt idx="71">
                  <c:v>61.374199513006197</c:v>
                </c:pt>
                <c:pt idx="72">
                  <c:v>61.218193514254203</c:v>
                </c:pt>
                <c:pt idx="73">
                  <c:v>61.050181515598297</c:v>
                </c:pt>
                <c:pt idx="74">
                  <c:v>60.872251517021802</c:v>
                </c:pt>
                <c:pt idx="75">
                  <c:v>60.731455518148103</c:v>
                </c:pt>
                <c:pt idx="76">
                  <c:v>60.456703520346203</c:v>
                </c:pt>
                <c:pt idx="77">
                  <c:v>60.381877520944798</c:v>
                </c:pt>
                <c:pt idx="78">
                  <c:v>60.157831522737098</c:v>
                </c:pt>
                <c:pt idx="79">
                  <c:v>59.714545526283402</c:v>
                </c:pt>
                <c:pt idx="80">
                  <c:v>61.9302555085577</c:v>
                </c:pt>
                <c:pt idx="81">
                  <c:v>61.895299508837397</c:v>
                </c:pt>
                <c:pt idx="82">
                  <c:v>59.568421527452401</c:v>
                </c:pt>
                <c:pt idx="83">
                  <c:v>59.208259530333699</c:v>
                </c:pt>
                <c:pt idx="84">
                  <c:v>58.933975532528002</c:v>
                </c:pt>
                <c:pt idx="85">
                  <c:v>58.513963535888102</c:v>
                </c:pt>
                <c:pt idx="86">
                  <c:v>58.3017435375858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BC-4BA2-B590-D91E326F0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243784"/>
        <c:axId val="873245584"/>
      </c:scatterChart>
      <c:valAx>
        <c:axId val="873243784"/>
        <c:scaling>
          <c:orientation val="minMax"/>
          <c:max val="17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 from DC1 for FL5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5584"/>
        <c:crosses val="autoZero"/>
        <c:crossBetween val="midCat"/>
      </c:valAx>
      <c:valAx>
        <c:axId val="87324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Temperature at HCL (</a:t>
                </a:r>
                <a:r>
                  <a:rPr lang="en-US" baseline="0">
                    <a:latin typeface="Arial" panose="020B0604020202020204" pitchFamily="34" charset="0"/>
                    <a:cs typeface="Arial" panose="020B0604020202020204" pitchFamily="34" charset="0"/>
                  </a:rPr>
                  <a:t>°F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4378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FL6_WD!$U$1:$U$2</c:f>
              <c:strCache>
                <c:ptCount val="2"/>
                <c:pt idx="0">
                  <c:v>External Pressure</c:v>
                </c:pt>
                <c:pt idx="1">
                  <c:v>[bar]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FL6_WD!$M$3:$M$13073</c:f>
              <c:numCache>
                <c:formatCode>General</c:formatCode>
                <c:ptCount val="13071"/>
                <c:pt idx="0">
                  <c:v>0</c:v>
                </c:pt>
                <c:pt idx="1">
                  <c:v>14.795924163033481</c:v>
                </c:pt>
                <c:pt idx="2">
                  <c:v>44.387772489100534</c:v>
                </c:pt>
                <c:pt idx="3">
                  <c:v>67.691848326067031</c:v>
                </c:pt>
                <c:pt idx="4">
                  <c:v>82.580988000000005</c:v>
                </c:pt>
                <c:pt idx="5">
                  <c:v>95.342964000000009</c:v>
                </c:pt>
                <c:pt idx="6">
                  <c:v>114.449352</c:v>
                </c:pt>
                <c:pt idx="7">
                  <c:v>152.549352</c:v>
                </c:pt>
                <c:pt idx="8">
                  <c:v>196.97395200000003</c:v>
                </c:pt>
                <c:pt idx="9">
                  <c:v>235.07395200000002</c:v>
                </c:pt>
                <c:pt idx="10">
                  <c:v>273.17395200000004</c:v>
                </c:pt>
                <c:pt idx="11">
                  <c:v>311.27395200000001</c:v>
                </c:pt>
                <c:pt idx="12">
                  <c:v>349.37395200000003</c:v>
                </c:pt>
                <c:pt idx="13">
                  <c:v>387.473952</c:v>
                </c:pt>
                <c:pt idx="14">
                  <c:v>425.57395200000002</c:v>
                </c:pt>
                <c:pt idx="15">
                  <c:v>463.67395200000004</c:v>
                </c:pt>
                <c:pt idx="16">
                  <c:v>497.73535200000003</c:v>
                </c:pt>
                <c:pt idx="17">
                  <c:v>527.758152</c:v>
                </c:pt>
                <c:pt idx="18">
                  <c:v>554.12563799999998</c:v>
                </c:pt>
                <c:pt idx="19">
                  <c:v>576.83780999999999</c:v>
                </c:pt>
                <c:pt idx="20">
                  <c:v>599.55074400000001</c:v>
                </c:pt>
                <c:pt idx="21">
                  <c:v>622.26444000000004</c:v>
                </c:pt>
                <c:pt idx="22">
                  <c:v>644.97813600000006</c:v>
                </c:pt>
                <c:pt idx="23">
                  <c:v>667.69183200000009</c:v>
                </c:pt>
                <c:pt idx="24">
                  <c:v>690.40857600000004</c:v>
                </c:pt>
                <c:pt idx="25">
                  <c:v>713.12836800000002</c:v>
                </c:pt>
                <c:pt idx="26">
                  <c:v>735.84358800000007</c:v>
                </c:pt>
                <c:pt idx="27">
                  <c:v>758.55423600000006</c:v>
                </c:pt>
                <c:pt idx="28">
                  <c:v>781.26640800000007</c:v>
                </c:pt>
                <c:pt idx="29">
                  <c:v>803.9801040000001</c:v>
                </c:pt>
                <c:pt idx="30">
                  <c:v>826.69151399999998</c:v>
                </c:pt>
                <c:pt idx="31">
                  <c:v>849.40063800000007</c:v>
                </c:pt>
                <c:pt idx="32">
                  <c:v>872.10976200000005</c:v>
                </c:pt>
                <c:pt idx="33">
                  <c:v>894.81888600000013</c:v>
                </c:pt>
                <c:pt idx="34">
                  <c:v>925.22344799999712</c:v>
                </c:pt>
                <c:pt idx="35">
                  <c:v>963.32344799999703</c:v>
                </c:pt>
                <c:pt idx="36">
                  <c:v>1001.4234479999971</c:v>
                </c:pt>
                <c:pt idx="37">
                  <c:v>1039.523447999997</c:v>
                </c:pt>
                <c:pt idx="38">
                  <c:v>1077.6234479999971</c:v>
                </c:pt>
                <c:pt idx="39">
                  <c:v>1115.723447999997</c:v>
                </c:pt>
                <c:pt idx="40">
                  <c:v>1153.8234479999971</c:v>
                </c:pt>
                <c:pt idx="41">
                  <c:v>1191.9234479999971</c:v>
                </c:pt>
                <c:pt idx="42">
                  <c:v>1222.3272479999971</c:v>
                </c:pt>
                <c:pt idx="43">
                  <c:v>1245.0348479999971</c:v>
                </c:pt>
                <c:pt idx="44">
                  <c:v>1275.4386479999971</c:v>
                </c:pt>
                <c:pt idx="45">
                  <c:v>1313.538647999997</c:v>
                </c:pt>
                <c:pt idx="46">
                  <c:v>1343.9454959999971</c:v>
                </c:pt>
                <c:pt idx="47">
                  <c:v>1366.6591919999971</c:v>
                </c:pt>
                <c:pt idx="48">
                  <c:v>1393.0274399999971</c:v>
                </c:pt>
                <c:pt idx="49">
                  <c:v>1423.0502399999971</c:v>
                </c:pt>
                <c:pt idx="50">
                  <c:v>1449.4215359999969</c:v>
                </c:pt>
                <c:pt idx="51">
                  <c:v>1472.141327999997</c:v>
                </c:pt>
                <c:pt idx="52">
                  <c:v>1494.8573100000001</c:v>
                </c:pt>
                <c:pt idx="53">
                  <c:v>1517.5694820000001</c:v>
                </c:pt>
                <c:pt idx="54">
                  <c:v>1540.280892</c:v>
                </c:pt>
                <c:pt idx="55">
                  <c:v>1562.9915400000002</c:v>
                </c:pt>
                <c:pt idx="56">
                  <c:v>1585.7044740000031</c:v>
                </c:pt>
                <c:pt idx="57">
                  <c:v>1608.4196940000061</c:v>
                </c:pt>
                <c:pt idx="58">
                  <c:v>1631.1364380000064</c:v>
                </c:pt>
                <c:pt idx="59">
                  <c:v>1653.8547060000033</c:v>
                </c:pt>
                <c:pt idx="60">
                  <c:v>1676.576784000003</c:v>
                </c:pt>
                <c:pt idx="61">
                  <c:v>1699.3026720000032</c:v>
                </c:pt>
                <c:pt idx="62">
                  <c:v>1722.0293220000033</c:v>
                </c:pt>
                <c:pt idx="63">
                  <c:v>1744.7567340000001</c:v>
                </c:pt>
                <c:pt idx="64">
                  <c:v>1767.4780500000002</c:v>
                </c:pt>
                <c:pt idx="65">
                  <c:v>1790.1932700000029</c:v>
                </c:pt>
                <c:pt idx="66">
                  <c:v>1812.9062040000031</c:v>
                </c:pt>
                <c:pt idx="67">
                  <c:v>1835.6168520000031</c:v>
                </c:pt>
                <c:pt idx="68">
                  <c:v>1858.3290240000031</c:v>
                </c:pt>
                <c:pt idx="69">
                  <c:v>1881.0427200000031</c:v>
                </c:pt>
                <c:pt idx="70">
                  <c:v>1903.7579400000031</c:v>
                </c:pt>
                <c:pt idx="71">
                  <c:v>1926.4746840000032</c:v>
                </c:pt>
                <c:pt idx="72">
                  <c:v>1949.189904000003</c:v>
                </c:pt>
                <c:pt idx="73">
                  <c:v>1971.9036000000031</c:v>
                </c:pt>
                <c:pt idx="74">
                  <c:v>1994.6150100000032</c:v>
                </c:pt>
                <c:pt idx="75">
                  <c:v>2017.3241340000031</c:v>
                </c:pt>
                <c:pt idx="76">
                  <c:v>2047.7286960000033</c:v>
                </c:pt>
                <c:pt idx="77">
                  <c:v>2085.8286960000032</c:v>
                </c:pt>
                <c:pt idx="78">
                  <c:v>2116.2431640000032</c:v>
                </c:pt>
                <c:pt idx="79">
                  <c:v>2138.9721000000031</c:v>
                </c:pt>
                <c:pt idx="80">
                  <c:v>2169.3865680000031</c:v>
                </c:pt>
                <c:pt idx="81">
                  <c:v>2207.486568000003</c:v>
                </c:pt>
                <c:pt idx="82">
                  <c:v>2237.9056080000032</c:v>
                </c:pt>
                <c:pt idx="83">
                  <c:v>2260.6436880000033</c:v>
                </c:pt>
                <c:pt idx="84">
                  <c:v>2287.0241280000032</c:v>
                </c:pt>
                <c:pt idx="85">
                  <c:v>2317.0469280000029</c:v>
                </c:pt>
                <c:pt idx="86">
                  <c:v>2351.108328000003</c:v>
                </c:pt>
                <c:pt idx="87">
                  <c:v>2389.2083280000029</c:v>
                </c:pt>
                <c:pt idx="88">
                  <c:v>2427.3083280000033</c:v>
                </c:pt>
                <c:pt idx="89">
                  <c:v>2465.4083280000032</c:v>
                </c:pt>
                <c:pt idx="90">
                  <c:v>2503.5083280000031</c:v>
                </c:pt>
                <c:pt idx="91">
                  <c:v>2541.608328000003</c:v>
                </c:pt>
                <c:pt idx="92">
                  <c:v>2572.015938</c:v>
                </c:pt>
                <c:pt idx="93">
                  <c:v>2594.7311580000001</c:v>
                </c:pt>
                <c:pt idx="94">
                  <c:v>2617.4509499999972</c:v>
                </c:pt>
                <c:pt idx="95">
                  <c:v>2640.1753140000028</c:v>
                </c:pt>
                <c:pt idx="96">
                  <c:v>2670.5874960000028</c:v>
                </c:pt>
                <c:pt idx="97">
                  <c:v>2708.6874960000032</c:v>
                </c:pt>
                <c:pt idx="98">
                  <c:v>2746.7874960000031</c:v>
                </c:pt>
                <c:pt idx="99">
                  <c:v>2784.887496000003</c:v>
                </c:pt>
                <c:pt idx="100">
                  <c:v>2815.2912960000031</c:v>
                </c:pt>
                <c:pt idx="101">
                  <c:v>2837.9988960000032</c:v>
                </c:pt>
                <c:pt idx="102">
                  <c:v>2860.720974000003</c:v>
                </c:pt>
                <c:pt idx="103">
                  <c:v>2883.4575300000065</c:v>
                </c:pt>
                <c:pt idx="104">
                  <c:v>2906.183418000006</c:v>
                </c:pt>
                <c:pt idx="105">
                  <c:v>2928.8986380000092</c:v>
                </c:pt>
                <c:pt idx="106">
                  <c:v>2959.3062480000126</c:v>
                </c:pt>
                <c:pt idx="107">
                  <c:v>2997.4062480000125</c:v>
                </c:pt>
                <c:pt idx="108">
                  <c:v>3035.5062480000124</c:v>
                </c:pt>
                <c:pt idx="109">
                  <c:v>3073.6062480000001</c:v>
                </c:pt>
                <c:pt idx="110">
                  <c:v>3111.7062480000004</c:v>
                </c:pt>
                <c:pt idx="111">
                  <c:v>3149.8062480000003</c:v>
                </c:pt>
                <c:pt idx="112">
                  <c:v>3187.9062480000002</c:v>
                </c:pt>
                <c:pt idx="113">
                  <c:v>3226.0062480000001</c:v>
                </c:pt>
                <c:pt idx="114">
                  <c:v>3256.4100480000002</c:v>
                </c:pt>
                <c:pt idx="115">
                  <c:v>3279.1176480000004</c:v>
                </c:pt>
                <c:pt idx="116">
                  <c:v>3307.5455820000002</c:v>
                </c:pt>
                <c:pt idx="117">
                  <c:v>3341.6938500000001</c:v>
                </c:pt>
                <c:pt idx="118">
                  <c:v>3377.8179840000003</c:v>
                </c:pt>
                <c:pt idx="119">
                  <c:v>3415.9179840000002</c:v>
                </c:pt>
                <c:pt idx="120">
                  <c:v>3454.0179840000001</c:v>
                </c:pt>
                <c:pt idx="121">
                  <c:v>3492.117984</c:v>
                </c:pt>
                <c:pt idx="122">
                  <c:v>3522.521784</c:v>
                </c:pt>
                <c:pt idx="123">
                  <c:v>3545.2293840000002</c:v>
                </c:pt>
                <c:pt idx="124">
                  <c:v>3575.6331840000003</c:v>
                </c:pt>
                <c:pt idx="125">
                  <c:v>3613.7331840000002</c:v>
                </c:pt>
                <c:pt idx="126">
                  <c:v>3651.8331840000001</c:v>
                </c:pt>
                <c:pt idx="127">
                  <c:v>3689.933184</c:v>
                </c:pt>
                <c:pt idx="128">
                  <c:v>3728.0331840000003</c:v>
                </c:pt>
                <c:pt idx="129">
                  <c:v>3766.1331840000003</c:v>
                </c:pt>
                <c:pt idx="130">
                  <c:v>3804.2331840000002</c:v>
                </c:pt>
                <c:pt idx="131">
                  <c:v>3842.3331840000001</c:v>
                </c:pt>
                <c:pt idx="132">
                  <c:v>3880.433184</c:v>
                </c:pt>
                <c:pt idx="133">
                  <c:v>3918.5331840000003</c:v>
                </c:pt>
                <c:pt idx="134">
                  <c:v>3956.6331840000003</c:v>
                </c:pt>
                <c:pt idx="135">
                  <c:v>3994.7331840000002</c:v>
                </c:pt>
                <c:pt idx="136">
                  <c:v>4032.8331840000001</c:v>
                </c:pt>
                <c:pt idx="137">
                  <c:v>4070.933184</c:v>
                </c:pt>
                <c:pt idx="138">
                  <c:v>4109.0331839999999</c:v>
                </c:pt>
                <c:pt idx="139">
                  <c:v>4147.1331840000003</c:v>
                </c:pt>
                <c:pt idx="140">
                  <c:v>4185.2331840000006</c:v>
                </c:pt>
                <c:pt idx="141">
                  <c:v>4223.3331840000001</c:v>
                </c:pt>
                <c:pt idx="142">
                  <c:v>4261.4331840000004</c:v>
                </c:pt>
                <c:pt idx="143">
                  <c:v>4299.5331839999999</c:v>
                </c:pt>
                <c:pt idx="144">
                  <c:v>4329.9423180000003</c:v>
                </c:pt>
                <c:pt idx="145">
                  <c:v>4352.660586</c:v>
                </c:pt>
                <c:pt idx="146">
                  <c:v>4375.3773300000003</c:v>
                </c:pt>
                <c:pt idx="147">
                  <c:v>4398.0925500000003</c:v>
                </c:pt>
                <c:pt idx="148">
                  <c:v>4420.8054840000304</c:v>
                </c:pt>
                <c:pt idx="149">
                  <c:v>4443.5161320000307</c:v>
                </c:pt>
                <c:pt idx="150">
                  <c:v>4466.2435440000309</c:v>
                </c:pt>
                <c:pt idx="151">
                  <c:v>4488.987720000031</c:v>
                </c:pt>
                <c:pt idx="152">
                  <c:v>4511.7158940000008</c:v>
                </c:pt>
                <c:pt idx="153">
                  <c:v>4534.4280660000004</c:v>
                </c:pt>
                <c:pt idx="154">
                  <c:v>4564.8341520000004</c:v>
                </c:pt>
                <c:pt idx="155">
                  <c:v>4602.9341519999998</c:v>
                </c:pt>
                <c:pt idx="156">
                  <c:v>4633.4118660000004</c:v>
                </c:pt>
                <c:pt idx="157">
                  <c:v>4656.2672940000002</c:v>
                </c:pt>
                <c:pt idx="158">
                  <c:v>4686.7450079999999</c:v>
                </c:pt>
                <c:pt idx="159">
                  <c:v>4724.8450080000002</c:v>
                </c:pt>
                <c:pt idx="160">
                  <c:v>4762.9450079999997</c:v>
                </c:pt>
                <c:pt idx="161">
                  <c:v>4801.0450080000001</c:v>
                </c:pt>
                <c:pt idx="162">
                  <c:v>4831.451094</c:v>
                </c:pt>
                <c:pt idx="163">
                  <c:v>4854.1632660000005</c:v>
                </c:pt>
                <c:pt idx="164">
                  <c:v>4884.5693520000004</c:v>
                </c:pt>
                <c:pt idx="165">
                  <c:v>4922.6693519999999</c:v>
                </c:pt>
                <c:pt idx="166">
                  <c:v>4953.0777239999998</c:v>
                </c:pt>
                <c:pt idx="167">
                  <c:v>4975.7944680000001</c:v>
                </c:pt>
                <c:pt idx="168">
                  <c:v>4998.5134979999993</c:v>
                </c:pt>
                <c:pt idx="169">
                  <c:v>5021.2348140000004</c:v>
                </c:pt>
                <c:pt idx="170">
                  <c:v>5043.9607020000003</c:v>
                </c:pt>
                <c:pt idx="171">
                  <c:v>5066.6911620000001</c:v>
                </c:pt>
                <c:pt idx="172">
                  <c:v>5089.4246700000303</c:v>
                </c:pt>
                <c:pt idx="173">
                  <c:v>5112.1612260000311</c:v>
                </c:pt>
                <c:pt idx="174">
                  <c:v>5142.5795040000312</c:v>
                </c:pt>
                <c:pt idx="175">
                  <c:v>5180.6795040000316</c:v>
                </c:pt>
                <c:pt idx="176">
                  <c:v>5211.0970200000311</c:v>
                </c:pt>
                <c:pt idx="177">
                  <c:v>5233.8320520000307</c:v>
                </c:pt>
                <c:pt idx="178">
                  <c:v>5256.5632740000301</c:v>
                </c:pt>
                <c:pt idx="179">
                  <c:v>5279.2906860000312</c:v>
                </c:pt>
                <c:pt idx="180">
                  <c:v>5302.01505000003</c:v>
                </c:pt>
                <c:pt idx="181">
                  <c:v>5324.736366000031</c:v>
                </c:pt>
                <c:pt idx="182">
                  <c:v>5347.453872000031</c:v>
                </c:pt>
                <c:pt idx="183">
                  <c:v>5370.1675680000317</c:v>
                </c:pt>
                <c:pt idx="184">
                  <c:v>5392.8957420000306</c:v>
                </c:pt>
                <c:pt idx="185">
                  <c:v>5415.6383940000305</c:v>
                </c:pt>
                <c:pt idx="186">
                  <c:v>5438.365044000031</c:v>
                </c:pt>
                <c:pt idx="187">
                  <c:v>5461.0756920000304</c:v>
                </c:pt>
                <c:pt idx="188">
                  <c:v>5483.7878640000299</c:v>
                </c:pt>
                <c:pt idx="189">
                  <c:v>5506.5015600000306</c:v>
                </c:pt>
                <c:pt idx="190">
                  <c:v>5529.2183040000309</c:v>
                </c:pt>
                <c:pt idx="191">
                  <c:v>5551.9380960000308</c:v>
                </c:pt>
                <c:pt idx="192">
                  <c:v>5574.6556020000307</c:v>
                </c:pt>
                <c:pt idx="193">
                  <c:v>5597.3708220000608</c:v>
                </c:pt>
                <c:pt idx="194">
                  <c:v>5620.1561460000612</c:v>
                </c:pt>
                <c:pt idx="195">
                  <c:v>5643.011574000062</c:v>
                </c:pt>
                <c:pt idx="196">
                  <c:v>5665.8014700000613</c:v>
                </c:pt>
                <c:pt idx="197">
                  <c:v>5688.525834000061</c:v>
                </c:pt>
                <c:pt idx="198">
                  <c:v>5711.2517220000609</c:v>
                </c:pt>
                <c:pt idx="199">
                  <c:v>5733.9791340000611</c:v>
                </c:pt>
                <c:pt idx="200">
                  <c:v>5756.7088320000303</c:v>
                </c:pt>
                <c:pt idx="201">
                  <c:v>5779.4408160000312</c:v>
                </c:pt>
                <c:pt idx="202">
                  <c:v>5802.1674660000608</c:v>
                </c:pt>
                <c:pt idx="203">
                  <c:v>5824.8887820000609</c:v>
                </c:pt>
                <c:pt idx="204">
                  <c:v>5847.6078120000611</c:v>
                </c:pt>
                <c:pt idx="205">
                  <c:v>5870.3245560000614</c:v>
                </c:pt>
                <c:pt idx="206">
                  <c:v>5893.0397760000606</c:v>
                </c:pt>
                <c:pt idx="207">
                  <c:v>5915.7534720000613</c:v>
                </c:pt>
                <c:pt idx="208">
                  <c:v>5938.4641200000615</c:v>
                </c:pt>
                <c:pt idx="209">
                  <c:v>5961.1717200000621</c:v>
                </c:pt>
                <c:pt idx="210">
                  <c:v>5987.5369200000614</c:v>
                </c:pt>
                <c:pt idx="211">
                  <c:v>6017.559720000062</c:v>
                </c:pt>
                <c:pt idx="212">
                  <c:v>6051.6211200000616</c:v>
                </c:pt>
                <c:pt idx="213">
                  <c:v>6089.721120000062</c:v>
                </c:pt>
                <c:pt idx="214">
                  <c:v>6120.124920000062</c:v>
                </c:pt>
                <c:pt idx="215">
                  <c:v>6142.8325200000618</c:v>
                </c:pt>
                <c:pt idx="216">
                  <c:v>6165.5408820000612</c:v>
                </c:pt>
                <c:pt idx="217">
                  <c:v>6188.2500060000302</c:v>
                </c:pt>
                <c:pt idx="218">
                  <c:v>6210.9598920000308</c:v>
                </c:pt>
                <c:pt idx="219">
                  <c:v>6233.670540000031</c:v>
                </c:pt>
                <c:pt idx="220">
                  <c:v>6256.38195000003</c:v>
                </c:pt>
                <c:pt idx="221">
                  <c:v>6279.0941220000313</c:v>
                </c:pt>
                <c:pt idx="222">
                  <c:v>6309.5002080000313</c:v>
                </c:pt>
                <c:pt idx="223">
                  <c:v>6347.6002080000308</c:v>
                </c:pt>
                <c:pt idx="224">
                  <c:v>6385.7002080000311</c:v>
                </c:pt>
                <c:pt idx="225">
                  <c:v>6423.8002080000315</c:v>
                </c:pt>
                <c:pt idx="226">
                  <c:v>6461.9002080000309</c:v>
                </c:pt>
                <c:pt idx="227">
                  <c:v>6500.0002080000313</c:v>
                </c:pt>
                <c:pt idx="228">
                  <c:v>6530.4070560000309</c:v>
                </c:pt>
                <c:pt idx="229">
                  <c:v>6553.1207520000307</c:v>
                </c:pt>
                <c:pt idx="230">
                  <c:v>6575.8420680000318</c:v>
                </c:pt>
                <c:pt idx="231">
                  <c:v>6598.5710040000313</c:v>
                </c:pt>
                <c:pt idx="232">
                  <c:v>6621.3075600000302</c:v>
                </c:pt>
                <c:pt idx="233">
                  <c:v>6644.0517360000313</c:v>
                </c:pt>
                <c:pt idx="234">
                  <c:v>6666.80124600003</c:v>
                </c:pt>
                <c:pt idx="235">
                  <c:v>6689.556090000031</c:v>
                </c:pt>
                <c:pt idx="236">
                  <c:v>6712.302552000031</c:v>
                </c:pt>
                <c:pt idx="237">
                  <c:v>6735.0406320000302</c:v>
                </c:pt>
                <c:pt idx="238">
                  <c:v>6761.5140360000314</c:v>
                </c:pt>
                <c:pt idx="239">
                  <c:v>6784.2384000000302</c:v>
                </c:pt>
                <c:pt idx="240">
                  <c:v>6798.4192200000307</c:v>
                </c:pt>
                <c:pt idx="241">
                  <c:v>6811.5408600000301</c:v>
                </c:pt>
                <c:pt idx="242">
                  <c:v>6830.8270800000309</c:v>
                </c:pt>
                <c:pt idx="243">
                  <c:v>6868.9270800000313</c:v>
                </c:pt>
                <c:pt idx="244">
                  <c:v>6909.3130800000308</c:v>
                </c:pt>
                <c:pt idx="245">
                  <c:v>6939.3358800000306</c:v>
                </c:pt>
                <c:pt idx="246">
                  <c:v>6973.3972800000311</c:v>
                </c:pt>
                <c:pt idx="247">
                  <c:v>7011.4972800000305</c:v>
                </c:pt>
                <c:pt idx="248">
                  <c:v>7049.5972800000309</c:v>
                </c:pt>
                <c:pt idx="249">
                  <c:v>7087.6972800000312</c:v>
                </c:pt>
                <c:pt idx="250">
                  <c:v>7119.4917300000307</c:v>
                </c:pt>
                <c:pt idx="251">
                  <c:v>7144.9806300000309</c:v>
                </c:pt>
                <c:pt idx="252">
                  <c:v>7176.7750800000313</c:v>
                </c:pt>
                <c:pt idx="253">
                  <c:v>7214.8750800000307</c:v>
                </c:pt>
                <c:pt idx="254">
                  <c:v>7252.9750800000311</c:v>
                </c:pt>
                <c:pt idx="255">
                  <c:v>7291.0750800000305</c:v>
                </c:pt>
                <c:pt idx="256">
                  <c:v>7329.1750800000309</c:v>
                </c:pt>
                <c:pt idx="257">
                  <c:v>7367.2750800000313</c:v>
                </c:pt>
                <c:pt idx="258">
                  <c:v>7405.3750800000307</c:v>
                </c:pt>
                <c:pt idx="259">
                  <c:v>7443.4750800000311</c:v>
                </c:pt>
                <c:pt idx="260">
                  <c:v>7481.5750800000305</c:v>
                </c:pt>
                <c:pt idx="261">
                  <c:v>7519.6750800000309</c:v>
                </c:pt>
                <c:pt idx="262">
                  <c:v>7557.7750800000313</c:v>
                </c:pt>
                <c:pt idx="263">
                  <c:v>7595.8750800000307</c:v>
                </c:pt>
                <c:pt idx="264">
                  <c:v>7633.9750800000311</c:v>
                </c:pt>
                <c:pt idx="265">
                  <c:v>7672.0750800000305</c:v>
                </c:pt>
                <c:pt idx="266">
                  <c:v>7702.4804040000317</c:v>
                </c:pt>
                <c:pt idx="267">
                  <c:v>7725.191052000031</c:v>
                </c:pt>
                <c:pt idx="268">
                  <c:v>7755.5963760000313</c:v>
                </c:pt>
                <c:pt idx="269">
                  <c:v>7793.6963760000308</c:v>
                </c:pt>
                <c:pt idx="270">
                  <c:v>7824.1001760000308</c:v>
                </c:pt>
                <c:pt idx="271">
                  <c:v>7846.8077760000315</c:v>
                </c:pt>
                <c:pt idx="272">
                  <c:v>7877.2115760000315</c:v>
                </c:pt>
                <c:pt idx="273">
                  <c:v>7915.311576000031</c:v>
                </c:pt>
                <c:pt idx="274">
                  <c:v>7945.7161380000307</c:v>
                </c:pt>
                <c:pt idx="275">
                  <c:v>7968.4252620000307</c:v>
                </c:pt>
                <c:pt idx="276">
                  <c:v>7991.133624000031</c:v>
                </c:pt>
                <c:pt idx="277">
                  <c:v>8013.8412240000307</c:v>
                </c:pt>
                <c:pt idx="278">
                  <c:v>8036.5488240000304</c:v>
                </c:pt>
                <c:pt idx="279">
                  <c:v>8059.2564240000311</c:v>
                </c:pt>
                <c:pt idx="280">
                  <c:v>8081.9647860000314</c:v>
                </c:pt>
                <c:pt idx="281">
                  <c:v>8104.6739100000304</c:v>
                </c:pt>
                <c:pt idx="282">
                  <c:v>8135.0784720000311</c:v>
                </c:pt>
                <c:pt idx="283">
                  <c:v>8173.1784720000314</c:v>
                </c:pt>
                <c:pt idx="284">
                  <c:v>8203.5830340000302</c:v>
                </c:pt>
                <c:pt idx="285">
                  <c:v>8226.2921580000311</c:v>
                </c:pt>
                <c:pt idx="286">
                  <c:v>8249.0028060000313</c:v>
                </c:pt>
                <c:pt idx="287">
                  <c:v>8271.7149780000309</c:v>
                </c:pt>
                <c:pt idx="288">
                  <c:v>8294.4271500000305</c:v>
                </c:pt>
                <c:pt idx="289">
                  <c:v>8317.1393220000318</c:v>
                </c:pt>
                <c:pt idx="290">
                  <c:v>8339.8514940000314</c:v>
                </c:pt>
                <c:pt idx="291">
                  <c:v>8362.563666</c:v>
                </c:pt>
                <c:pt idx="292">
                  <c:v>8388.931152000001</c:v>
                </c:pt>
                <c:pt idx="293">
                  <c:v>8418.9539520000017</c:v>
                </c:pt>
                <c:pt idx="294">
                  <c:v>8453.0153520000003</c:v>
                </c:pt>
                <c:pt idx="295">
                  <c:v>8491.1153520000007</c:v>
                </c:pt>
                <c:pt idx="296">
                  <c:v>8521.5199140000313</c:v>
                </c:pt>
                <c:pt idx="297">
                  <c:v>8544.2290380000304</c:v>
                </c:pt>
                <c:pt idx="298">
                  <c:v>8574.6336000000301</c:v>
                </c:pt>
                <c:pt idx="299">
                  <c:v>8612.7336000000305</c:v>
                </c:pt>
                <c:pt idx="300">
                  <c:v>8650.8336000000309</c:v>
                </c:pt>
                <c:pt idx="301">
                  <c:v>8688.9336000000312</c:v>
                </c:pt>
                <c:pt idx="302">
                  <c:v>8727.0336000000298</c:v>
                </c:pt>
                <c:pt idx="303">
                  <c:v>8765.1336000000301</c:v>
                </c:pt>
                <c:pt idx="304">
                  <c:v>8803.2336000000305</c:v>
                </c:pt>
                <c:pt idx="305">
                  <c:v>8841.3336000000309</c:v>
                </c:pt>
                <c:pt idx="306">
                  <c:v>8879.4336000000312</c:v>
                </c:pt>
                <c:pt idx="307">
                  <c:v>8917.5336000000298</c:v>
                </c:pt>
                <c:pt idx="308">
                  <c:v>8955.6336000000301</c:v>
                </c:pt>
                <c:pt idx="309">
                  <c:v>8993.7336000000305</c:v>
                </c:pt>
                <c:pt idx="310">
                  <c:v>9031.8336000000309</c:v>
                </c:pt>
                <c:pt idx="311">
                  <c:v>9069.9336000000312</c:v>
                </c:pt>
                <c:pt idx="312">
                  <c:v>9108.0336000000298</c:v>
                </c:pt>
                <c:pt idx="313">
                  <c:v>9146.1336000000301</c:v>
                </c:pt>
                <c:pt idx="314">
                  <c:v>9184.2336000000305</c:v>
                </c:pt>
                <c:pt idx="315">
                  <c:v>9222.3336000000309</c:v>
                </c:pt>
                <c:pt idx="316">
                  <c:v>9260.4336000000312</c:v>
                </c:pt>
                <c:pt idx="317">
                  <c:v>9298.5336000000298</c:v>
                </c:pt>
                <c:pt idx="318">
                  <c:v>9328.9374000000298</c:v>
                </c:pt>
                <c:pt idx="319">
                  <c:v>9351.6450000000295</c:v>
                </c:pt>
                <c:pt idx="320">
                  <c:v>9382.0488000000296</c:v>
                </c:pt>
                <c:pt idx="321">
                  <c:v>9420.14880000003</c:v>
                </c:pt>
                <c:pt idx="322">
                  <c:v>9458.2488000000303</c:v>
                </c:pt>
                <c:pt idx="323">
                  <c:v>9496.3488000000307</c:v>
                </c:pt>
                <c:pt idx="324">
                  <c:v>9534.448800000031</c:v>
                </c:pt>
                <c:pt idx="325">
                  <c:v>9572.5488000000296</c:v>
                </c:pt>
                <c:pt idx="326">
                  <c:v>9610.64880000003</c:v>
                </c:pt>
                <c:pt idx="327">
                  <c:v>9648.7488000000303</c:v>
                </c:pt>
                <c:pt idx="328">
                  <c:v>9686.8488000000307</c:v>
                </c:pt>
                <c:pt idx="329">
                  <c:v>9724.948800000031</c:v>
                </c:pt>
                <c:pt idx="330">
                  <c:v>9763.0488000000296</c:v>
                </c:pt>
                <c:pt idx="331">
                  <c:v>9801.14880000003</c:v>
                </c:pt>
                <c:pt idx="332">
                  <c:v>9831.5548860000308</c:v>
                </c:pt>
                <c:pt idx="333">
                  <c:v>9854.2670580000304</c:v>
                </c:pt>
                <c:pt idx="334">
                  <c:v>9876.9792300000317</c:v>
                </c:pt>
                <c:pt idx="335">
                  <c:v>9899.6914020000622</c:v>
                </c:pt>
                <c:pt idx="336">
                  <c:v>9930.0974880000613</c:v>
                </c:pt>
                <c:pt idx="337">
                  <c:v>9968.1974880000616</c:v>
                </c:pt>
                <c:pt idx="338">
                  <c:v>10006.297488000062</c:v>
                </c:pt>
                <c:pt idx="339">
                  <c:v>10044.397488000062</c:v>
                </c:pt>
                <c:pt idx="340">
                  <c:v>10079.78248200003</c:v>
                </c:pt>
                <c:pt idx="341">
                  <c:v>10112.45247</c:v>
                </c:pt>
                <c:pt idx="342">
                  <c:v>10140.142026000001</c:v>
                </c:pt>
                <c:pt idx="343">
                  <c:v>10162.851149999969</c:v>
                </c:pt>
                <c:pt idx="344">
                  <c:v>10185.560273999999</c:v>
                </c:pt>
                <c:pt idx="345">
                  <c:v>10208.269398000029</c:v>
                </c:pt>
                <c:pt idx="346">
                  <c:v>10238.673960000031</c:v>
                </c:pt>
                <c:pt idx="347">
                  <c:v>10276.773960000031</c:v>
                </c:pt>
                <c:pt idx="348">
                  <c:v>10314.87396000003</c:v>
                </c:pt>
                <c:pt idx="349">
                  <c:v>10352.97396000003</c:v>
                </c:pt>
                <c:pt idx="350">
                  <c:v>10391.073960000031</c:v>
                </c:pt>
                <c:pt idx="351">
                  <c:v>10429.173960000031</c:v>
                </c:pt>
                <c:pt idx="352">
                  <c:v>10467.273960000031</c:v>
                </c:pt>
                <c:pt idx="353">
                  <c:v>10505.37396000003</c:v>
                </c:pt>
                <c:pt idx="354">
                  <c:v>10535.781570000032</c:v>
                </c:pt>
                <c:pt idx="355">
                  <c:v>10558.496790000001</c:v>
                </c:pt>
                <c:pt idx="356">
                  <c:v>10581.21200999997</c:v>
                </c:pt>
                <c:pt idx="357">
                  <c:v>10603.927229999999</c:v>
                </c:pt>
                <c:pt idx="358">
                  <c:v>10630.29700199997</c:v>
                </c:pt>
                <c:pt idx="359">
                  <c:v>10660.321325999939</c:v>
                </c:pt>
                <c:pt idx="360">
                  <c:v>10694.383487999939</c:v>
                </c:pt>
                <c:pt idx="361">
                  <c:v>10732.48348799994</c:v>
                </c:pt>
                <c:pt idx="362">
                  <c:v>10770.58348799994</c:v>
                </c:pt>
                <c:pt idx="363">
                  <c:v>10808.683487999941</c:v>
                </c:pt>
                <c:pt idx="364">
                  <c:v>10846.783487999939</c:v>
                </c:pt>
                <c:pt idx="365">
                  <c:v>10884.883487999939</c:v>
                </c:pt>
                <c:pt idx="366">
                  <c:v>10922.98348799994</c:v>
                </c:pt>
                <c:pt idx="367">
                  <c:v>10961.08348799994</c:v>
                </c:pt>
                <c:pt idx="368">
                  <c:v>10999.183487999941</c:v>
                </c:pt>
                <c:pt idx="369">
                  <c:v>11037.283487999939</c:v>
                </c:pt>
                <c:pt idx="370">
                  <c:v>11075.383487999939</c:v>
                </c:pt>
                <c:pt idx="371">
                  <c:v>11113.48348799994</c:v>
                </c:pt>
                <c:pt idx="372">
                  <c:v>11151.58348799994</c:v>
                </c:pt>
                <c:pt idx="373">
                  <c:v>11189.683487999941</c:v>
                </c:pt>
                <c:pt idx="374">
                  <c:v>11227.783487999939</c:v>
                </c:pt>
                <c:pt idx="375">
                  <c:v>11265.883487999939</c:v>
                </c:pt>
                <c:pt idx="376">
                  <c:v>11303.98348799994</c:v>
                </c:pt>
                <c:pt idx="377">
                  <c:v>11342.08348799994</c:v>
                </c:pt>
                <c:pt idx="378">
                  <c:v>11380.183487999941</c:v>
                </c:pt>
                <c:pt idx="379">
                  <c:v>11418.283487999939</c:v>
                </c:pt>
                <c:pt idx="380">
                  <c:v>11456.383487999939</c:v>
                </c:pt>
                <c:pt idx="381">
                  <c:v>11494.48348799994</c:v>
                </c:pt>
                <c:pt idx="382">
                  <c:v>11532.58348799994</c:v>
                </c:pt>
                <c:pt idx="383">
                  <c:v>11570.683487999941</c:v>
                </c:pt>
                <c:pt idx="384">
                  <c:v>11604.744887999939</c:v>
                </c:pt>
                <c:pt idx="385">
                  <c:v>11634.76768799994</c:v>
                </c:pt>
                <c:pt idx="386">
                  <c:v>11668.82908799994</c:v>
                </c:pt>
                <c:pt idx="387">
                  <c:v>11706.929087999941</c:v>
                </c:pt>
                <c:pt idx="388">
                  <c:v>11745.029087999939</c:v>
                </c:pt>
                <c:pt idx="389">
                  <c:v>11783.12908799994</c:v>
                </c:pt>
                <c:pt idx="390">
                  <c:v>11821.22908799994</c:v>
                </c:pt>
                <c:pt idx="391">
                  <c:v>11859.32908799994</c:v>
                </c:pt>
                <c:pt idx="392">
                  <c:v>11888.61122399994</c:v>
                </c:pt>
                <c:pt idx="393">
                  <c:v>11909.075495999939</c:v>
                </c:pt>
                <c:pt idx="394">
                  <c:v>11938.357631999939</c:v>
                </c:pt>
              </c:numCache>
            </c:numRef>
          </c:xVal>
          <c:yVal>
            <c:numRef>
              <c:f>FL6_WD!$U$3:$U$13073</c:f>
              <c:numCache>
                <c:formatCode>General</c:formatCode>
                <c:ptCount val="13071"/>
                <c:pt idx="0">
                  <c:v>121.26591922536001</c:v>
                </c:pt>
                <c:pt idx="1">
                  <c:v>121.26708968187869</c:v>
                </c:pt>
                <c:pt idx="2">
                  <c:v>121.25059502436001</c:v>
                </c:pt>
                <c:pt idx="3">
                  <c:v>121.2570575821281</c:v>
                </c:pt>
                <c:pt idx="4">
                  <c:v>121.26252797967869</c:v>
                </c:pt>
                <c:pt idx="5">
                  <c:v>121.2759136692522</c:v>
                </c:pt>
                <c:pt idx="6">
                  <c:v>121.2966176864166</c:v>
                </c:pt>
                <c:pt idx="7">
                  <c:v>121.29502907757963</c:v>
                </c:pt>
                <c:pt idx="8">
                  <c:v>121.37216293250641</c:v>
                </c:pt>
                <c:pt idx="9">
                  <c:v>121.444722002628</c:v>
                </c:pt>
                <c:pt idx="10">
                  <c:v>121.49524282848483</c:v>
                </c:pt>
                <c:pt idx="11">
                  <c:v>121.52729697052321</c:v>
                </c:pt>
                <c:pt idx="12">
                  <c:v>121.56816150652323</c:v>
                </c:pt>
                <c:pt idx="13">
                  <c:v>130.42591980341936</c:v>
                </c:pt>
                <c:pt idx="14">
                  <c:v>143.25059490444474</c:v>
                </c:pt>
                <c:pt idx="15">
                  <c:v>156.07527000547006</c:v>
                </c:pt>
                <c:pt idx="16">
                  <c:v>167.54052954578668</c:v>
                </c:pt>
                <c:pt idx="17">
                  <c:v>177.64637352539458</c:v>
                </c:pt>
                <c:pt idx="18">
                  <c:v>186.52181817581021</c:v>
                </c:pt>
                <c:pt idx="19">
                  <c:v>194.1668634970334</c:v>
                </c:pt>
                <c:pt idx="20">
                  <c:v>201.81216531175863</c:v>
                </c:pt>
                <c:pt idx="21">
                  <c:v>209.45772361998593</c:v>
                </c:pt>
                <c:pt idx="22">
                  <c:v>217.10328192821316</c:v>
                </c:pt>
                <c:pt idx="23">
                  <c:v>224.7488402364404</c:v>
                </c:pt>
                <c:pt idx="24">
                  <c:v>232.39542451867572</c:v>
                </c:pt>
                <c:pt idx="25">
                  <c:v>240.04303477491916</c:v>
                </c:pt>
                <c:pt idx="26">
                  <c:v>247.68910607015044</c:v>
                </c:pt>
                <c:pt idx="27">
                  <c:v>255.33363840436962</c:v>
                </c:pt>
                <c:pt idx="28">
                  <c:v>262.97868372559293</c:v>
                </c:pt>
                <c:pt idx="29">
                  <c:v>270.62424203382005</c:v>
                </c:pt>
                <c:pt idx="30">
                  <c:v>278.2690308615413</c:v>
                </c:pt>
                <c:pt idx="31">
                  <c:v>285.91305020875643</c:v>
                </c:pt>
                <c:pt idx="32">
                  <c:v>293.55706955597151</c:v>
                </c:pt>
                <c:pt idx="33">
                  <c:v>301.2010889031867</c:v>
                </c:pt>
                <c:pt idx="34">
                  <c:v>311.43543612730593</c:v>
                </c:pt>
                <c:pt idx="35">
                  <c:v>324.2601112283312</c:v>
                </c:pt>
                <c:pt idx="36">
                  <c:v>337.08478632935652</c:v>
                </c:pt>
                <c:pt idx="37">
                  <c:v>349.90946143038184</c:v>
                </c:pt>
                <c:pt idx="38">
                  <c:v>362.73413653140716</c:v>
                </c:pt>
                <c:pt idx="39">
                  <c:v>375.55881163243248</c:v>
                </c:pt>
                <c:pt idx="40">
                  <c:v>388.3834867334578</c:v>
                </c:pt>
                <c:pt idx="41">
                  <c:v>401.20816183448312</c:v>
                </c:pt>
                <c:pt idx="42">
                  <c:v>411.44225256510128</c:v>
                </c:pt>
                <c:pt idx="43">
                  <c:v>419.0857589253124</c:v>
                </c:pt>
                <c:pt idx="44">
                  <c:v>429.31984965593062</c:v>
                </c:pt>
                <c:pt idx="45">
                  <c:v>442.14452475695595</c:v>
                </c:pt>
                <c:pt idx="46">
                  <c:v>452.37964146158208</c:v>
                </c:pt>
                <c:pt idx="47">
                  <c:v>460.02519976980949</c:v>
                </c:pt>
                <c:pt idx="48">
                  <c:v>468.90090091372707</c:v>
                </c:pt>
                <c:pt idx="49">
                  <c:v>479.00674489333505</c:v>
                </c:pt>
                <c:pt idx="50">
                  <c:v>487.88347201126066</c:v>
                </c:pt>
                <c:pt idx="51">
                  <c:v>495.53108226750402</c:v>
                </c:pt>
                <c:pt idx="52">
                  <c:v>503.1774100562385</c:v>
                </c:pt>
                <c:pt idx="53">
                  <c:v>510.82245537746167</c:v>
                </c:pt>
                <c:pt idx="54">
                  <c:v>518.46724420518285</c:v>
                </c:pt>
                <c:pt idx="55">
                  <c:v>526.11177653940206</c:v>
                </c:pt>
                <c:pt idx="56">
                  <c:v>533.75707835412823</c:v>
                </c:pt>
                <c:pt idx="57">
                  <c:v>541.40314964936056</c:v>
                </c:pt>
                <c:pt idx="58">
                  <c:v>549.04973393159594</c:v>
                </c:pt>
                <c:pt idx="59">
                  <c:v>556.69683120083437</c:v>
                </c:pt>
                <c:pt idx="60">
                  <c:v>564.34521093758372</c:v>
                </c:pt>
                <c:pt idx="61">
                  <c:v>571.99487314184341</c:v>
                </c:pt>
                <c:pt idx="62">
                  <c:v>579.64479183960498</c:v>
                </c:pt>
                <c:pt idx="63">
                  <c:v>587.29496703086761</c:v>
                </c:pt>
                <c:pt idx="64">
                  <c:v>594.94309027411509</c:v>
                </c:pt>
                <c:pt idx="65">
                  <c:v>602.5891615693472</c:v>
                </c:pt>
                <c:pt idx="66">
                  <c:v>610.23446338407257</c:v>
                </c:pt>
                <c:pt idx="67">
                  <c:v>617.87899571829166</c:v>
                </c:pt>
                <c:pt idx="68">
                  <c:v>625.52404103951494</c:v>
                </c:pt>
                <c:pt idx="69">
                  <c:v>633.16959934774218</c:v>
                </c:pt>
                <c:pt idx="70">
                  <c:v>640.81567064297349</c:v>
                </c:pt>
                <c:pt idx="71">
                  <c:v>648.46225492520887</c:v>
                </c:pt>
                <c:pt idx="72">
                  <c:v>656.10832622044018</c:v>
                </c:pt>
                <c:pt idx="73">
                  <c:v>663.7538845286673</c:v>
                </c:pt>
                <c:pt idx="74">
                  <c:v>671.39867335638849</c:v>
                </c:pt>
                <c:pt idx="75">
                  <c:v>679.04269270360362</c:v>
                </c:pt>
                <c:pt idx="76">
                  <c:v>689.27703992772399</c:v>
                </c:pt>
                <c:pt idx="77">
                  <c:v>702.10171502874925</c:v>
                </c:pt>
                <c:pt idx="78">
                  <c:v>712.33939666839569</c:v>
                </c:pt>
                <c:pt idx="79">
                  <c:v>719.99008484666331</c:v>
                </c:pt>
                <c:pt idx="80">
                  <c:v>730.22776648630975</c:v>
                </c:pt>
                <c:pt idx="81">
                  <c:v>743.05244158733512</c:v>
                </c:pt>
                <c:pt idx="82">
                  <c:v>753.29166218799378</c:v>
                </c:pt>
                <c:pt idx="83">
                  <c:v>760.94542828828571</c:v>
                </c:pt>
                <c:pt idx="84">
                  <c:v>769.82523332823564</c:v>
                </c:pt>
                <c:pt idx="85">
                  <c:v>779.93107730784345</c:v>
                </c:pt>
                <c:pt idx="86">
                  <c:v>791.39633684816022</c:v>
                </c:pt>
                <c:pt idx="87">
                  <c:v>804.22101194918548</c:v>
                </c:pt>
                <c:pt idx="88">
                  <c:v>817.04568705021097</c:v>
                </c:pt>
                <c:pt idx="89">
                  <c:v>829.87036215123624</c:v>
                </c:pt>
                <c:pt idx="90">
                  <c:v>842.69503725226139</c:v>
                </c:pt>
                <c:pt idx="91">
                  <c:v>855.51971235328676</c:v>
                </c:pt>
                <c:pt idx="92">
                  <c:v>865.75508555141403</c:v>
                </c:pt>
                <c:pt idx="93">
                  <c:v>873.40115684664545</c:v>
                </c:pt>
                <c:pt idx="94">
                  <c:v>881.04876710288795</c:v>
                </c:pt>
                <c:pt idx="95">
                  <c:v>888.69791632014528</c:v>
                </c:pt>
                <c:pt idx="96">
                  <c:v>898.93482847928556</c:v>
                </c:pt>
                <c:pt idx="97">
                  <c:v>911.75950358031105</c:v>
                </c:pt>
                <c:pt idx="98">
                  <c:v>924.58417868133654</c:v>
                </c:pt>
                <c:pt idx="99">
                  <c:v>937.40885378236158</c:v>
                </c:pt>
                <c:pt idx="100">
                  <c:v>947.64294451297985</c:v>
                </c:pt>
                <c:pt idx="101">
                  <c:v>955.28645087319103</c:v>
                </c:pt>
                <c:pt idx="102">
                  <c:v>962.93483060994049</c:v>
                </c:pt>
                <c:pt idx="103">
                  <c:v>970.5880837232296</c:v>
                </c:pt>
                <c:pt idx="104">
                  <c:v>978.23774592748885</c:v>
                </c:pt>
                <c:pt idx="105">
                  <c:v>985.88381722272129</c:v>
                </c:pt>
                <c:pt idx="106">
                  <c:v>996.11919042085083</c:v>
                </c:pt>
                <c:pt idx="107">
                  <c:v>1008.9438655218759</c:v>
                </c:pt>
                <c:pt idx="108">
                  <c:v>1021.7685406229014</c:v>
                </c:pt>
                <c:pt idx="109">
                  <c:v>1034.5932157239224</c:v>
                </c:pt>
                <c:pt idx="110">
                  <c:v>1047.4178908249478</c:v>
                </c:pt>
                <c:pt idx="111">
                  <c:v>1060.2425659259732</c:v>
                </c:pt>
                <c:pt idx="112">
                  <c:v>1073.0672410269983</c:v>
                </c:pt>
                <c:pt idx="113">
                  <c:v>1085.8919161280237</c:v>
                </c:pt>
                <c:pt idx="114">
                  <c:v>1096.1260068586421</c:v>
                </c:pt>
                <c:pt idx="115">
                  <c:v>1103.7695132188533</c:v>
                </c:pt>
                <c:pt idx="116">
                  <c:v>1113.3385162987322</c:v>
                </c:pt>
                <c:pt idx="117">
                  <c:v>1124.8330160982791</c:v>
                </c:pt>
                <c:pt idx="118">
                  <c:v>1136.9926035485653</c:v>
                </c:pt>
                <c:pt idx="119">
                  <c:v>1149.8172786495904</c:v>
                </c:pt>
                <c:pt idx="120">
                  <c:v>1162.6419537506158</c:v>
                </c:pt>
                <c:pt idx="121">
                  <c:v>1175.4666288516412</c:v>
                </c:pt>
                <c:pt idx="122">
                  <c:v>1185.7007195822591</c:v>
                </c:pt>
                <c:pt idx="123">
                  <c:v>1193.3442259424705</c:v>
                </c:pt>
                <c:pt idx="124">
                  <c:v>1203.5783166730887</c:v>
                </c:pt>
                <c:pt idx="125">
                  <c:v>1216.4029917741141</c:v>
                </c:pt>
                <c:pt idx="126">
                  <c:v>1229.2276668751392</c:v>
                </c:pt>
                <c:pt idx="127">
                  <c:v>1242.0523419761646</c:v>
                </c:pt>
                <c:pt idx="128">
                  <c:v>1254.8770170771897</c:v>
                </c:pt>
                <c:pt idx="129">
                  <c:v>1267.7016921782151</c:v>
                </c:pt>
                <c:pt idx="130">
                  <c:v>1280.5263672792405</c:v>
                </c:pt>
                <c:pt idx="131">
                  <c:v>1293.3510423802657</c:v>
                </c:pt>
                <c:pt idx="132">
                  <c:v>1306.1757174812913</c:v>
                </c:pt>
                <c:pt idx="133">
                  <c:v>1319.0003925823166</c:v>
                </c:pt>
                <c:pt idx="134">
                  <c:v>1331.8250676833418</c:v>
                </c:pt>
                <c:pt idx="135">
                  <c:v>1344.6497427843669</c:v>
                </c:pt>
                <c:pt idx="136">
                  <c:v>1357.4744178853923</c:v>
                </c:pt>
                <c:pt idx="137">
                  <c:v>1370.2990929864177</c:v>
                </c:pt>
                <c:pt idx="138">
                  <c:v>1383.1237680874428</c:v>
                </c:pt>
                <c:pt idx="139">
                  <c:v>1395.9484431884684</c:v>
                </c:pt>
                <c:pt idx="140">
                  <c:v>1408.7731182894938</c:v>
                </c:pt>
                <c:pt idx="141">
                  <c:v>1421.597793390519</c:v>
                </c:pt>
                <c:pt idx="142">
                  <c:v>1434.4224684915444</c:v>
                </c:pt>
                <c:pt idx="143">
                  <c:v>1447.2471435925695</c:v>
                </c:pt>
                <c:pt idx="144">
                  <c:v>1457.4830297777021</c:v>
                </c:pt>
                <c:pt idx="145">
                  <c:v>1465.1301270469414</c:v>
                </c:pt>
                <c:pt idx="146">
                  <c:v>1472.7767113291768</c:v>
                </c:pt>
                <c:pt idx="147">
                  <c:v>1480.4227826244082</c:v>
                </c:pt>
                <c:pt idx="148">
                  <c:v>1488.0680844391436</c:v>
                </c:pt>
                <c:pt idx="149">
                  <c:v>1495.7126167733627</c:v>
                </c:pt>
                <c:pt idx="150">
                  <c:v>1503.3627919646262</c:v>
                </c:pt>
                <c:pt idx="151">
                  <c:v>1511.0186100129345</c:v>
                </c:pt>
                <c:pt idx="152">
                  <c:v>1518.6690416976899</c:v>
                </c:pt>
                <c:pt idx="153">
                  <c:v>1526.3140870189131</c:v>
                </c:pt>
                <c:pt idx="154">
                  <c:v>1536.5489472300371</c:v>
                </c:pt>
                <c:pt idx="155">
                  <c:v>1549.3736223310625</c:v>
                </c:pt>
                <c:pt idx="156">
                  <c:v>1559.6325929313766</c:v>
                </c:pt>
                <c:pt idx="157">
                  <c:v>1567.3258590309795</c:v>
                </c:pt>
                <c:pt idx="158">
                  <c:v>1577.584829631294</c:v>
                </c:pt>
                <c:pt idx="159">
                  <c:v>1590.4095047323194</c:v>
                </c:pt>
                <c:pt idx="160">
                  <c:v>1603.2341798333446</c:v>
                </c:pt>
                <c:pt idx="161">
                  <c:v>1616.0588549343699</c:v>
                </c:pt>
                <c:pt idx="162">
                  <c:v>1626.2937151454939</c:v>
                </c:pt>
                <c:pt idx="163">
                  <c:v>1633.9387604667174</c:v>
                </c:pt>
                <c:pt idx="164">
                  <c:v>1644.1736206778417</c:v>
                </c:pt>
                <c:pt idx="165">
                  <c:v>1656.9982957788673</c:v>
                </c:pt>
                <c:pt idx="166">
                  <c:v>1667.2339254704973</c:v>
                </c:pt>
                <c:pt idx="167">
                  <c:v>1674.8805097527329</c:v>
                </c:pt>
                <c:pt idx="168">
                  <c:v>1682.5278635154737</c:v>
                </c:pt>
                <c:pt idx="169">
                  <c:v>1690.1759867587214</c:v>
                </c:pt>
                <c:pt idx="170">
                  <c:v>1697.8256489629814</c:v>
                </c:pt>
                <c:pt idx="171">
                  <c:v>1705.4768501282531</c:v>
                </c:pt>
                <c:pt idx="172">
                  <c:v>1713.1290772675427</c:v>
                </c:pt>
                <c:pt idx="173">
                  <c:v>1720.7823303808307</c:v>
                </c:pt>
                <c:pt idx="174">
                  <c:v>1731.0212944879875</c:v>
                </c:pt>
                <c:pt idx="175">
                  <c:v>1743.8459695890128</c:v>
                </c:pt>
                <c:pt idx="176">
                  <c:v>1754.0846772026675</c:v>
                </c:pt>
                <c:pt idx="177">
                  <c:v>1761.7374173289511</c:v>
                </c:pt>
                <c:pt idx="178">
                  <c:v>1769.3888749877244</c:v>
                </c:pt>
                <c:pt idx="179">
                  <c:v>1777.0390501789886</c:v>
                </c:pt>
                <c:pt idx="180">
                  <c:v>1784.688199396244</c:v>
                </c:pt>
                <c:pt idx="181">
                  <c:v>1792.3363226394918</c:v>
                </c:pt>
                <c:pt idx="182">
                  <c:v>1799.983163415229</c:v>
                </c:pt>
                <c:pt idx="183">
                  <c:v>1807.6287217234565</c:v>
                </c:pt>
                <c:pt idx="184">
                  <c:v>1815.2791534082219</c:v>
                </c:pt>
                <c:pt idx="185">
                  <c:v>1822.9344584695257</c:v>
                </c:pt>
                <c:pt idx="186">
                  <c:v>1830.5843771672874</c:v>
                </c:pt>
                <c:pt idx="187">
                  <c:v>1838.2289095015065</c:v>
                </c:pt>
                <c:pt idx="188">
                  <c:v>1845.8739548227293</c:v>
                </c:pt>
                <c:pt idx="189">
                  <c:v>1853.5195131309572</c:v>
                </c:pt>
                <c:pt idx="190">
                  <c:v>1861.1660974131921</c:v>
                </c:pt>
                <c:pt idx="191">
                  <c:v>1868.8137076694354</c:v>
                </c:pt>
                <c:pt idx="192">
                  <c:v>1876.4605484451731</c:v>
                </c:pt>
                <c:pt idx="193">
                  <c:v>1884.1066197404143</c:v>
                </c:pt>
                <c:pt idx="194">
                  <c:v>1891.7762884378319</c:v>
                </c:pt>
                <c:pt idx="195">
                  <c:v>1899.4695545374352</c:v>
                </c:pt>
                <c:pt idx="196">
                  <c:v>1907.140762195864</c:v>
                </c:pt>
                <c:pt idx="197">
                  <c:v>1914.7899114131194</c:v>
                </c:pt>
                <c:pt idx="198">
                  <c:v>1922.4395736173794</c:v>
                </c:pt>
                <c:pt idx="199">
                  <c:v>1930.0897488086425</c:v>
                </c:pt>
                <c:pt idx="200">
                  <c:v>1937.7406934804026</c:v>
                </c:pt>
                <c:pt idx="201">
                  <c:v>1945.3924076326782</c:v>
                </c:pt>
                <c:pt idx="202">
                  <c:v>1953.0423263304497</c:v>
                </c:pt>
                <c:pt idx="203">
                  <c:v>1960.6904495736972</c:v>
                </c:pt>
                <c:pt idx="204">
                  <c:v>1968.3378033364388</c:v>
                </c:pt>
                <c:pt idx="205">
                  <c:v>1975.984387618674</c:v>
                </c:pt>
                <c:pt idx="206">
                  <c:v>1983.6304589139054</c:v>
                </c:pt>
                <c:pt idx="207">
                  <c:v>1991.2760172221326</c:v>
                </c:pt>
                <c:pt idx="208">
                  <c:v>1998.9205495563515</c:v>
                </c:pt>
                <c:pt idx="209">
                  <c:v>2006.5640559165633</c:v>
                </c:pt>
                <c:pt idx="210">
                  <c:v>2015.4387310864727</c:v>
                </c:pt>
                <c:pt idx="211">
                  <c:v>2025.5445750660804</c:v>
                </c:pt>
                <c:pt idx="212">
                  <c:v>2037.0098346063974</c:v>
                </c:pt>
                <c:pt idx="213">
                  <c:v>2049.8345097074225</c:v>
                </c:pt>
                <c:pt idx="214">
                  <c:v>2060.0686004380409</c:v>
                </c:pt>
                <c:pt idx="215">
                  <c:v>2067.7121067982521</c:v>
                </c:pt>
                <c:pt idx="216">
                  <c:v>2075.3558696519649</c:v>
                </c:pt>
                <c:pt idx="217">
                  <c:v>2082.9998889991693</c:v>
                </c:pt>
                <c:pt idx="218">
                  <c:v>2090.6441648398868</c:v>
                </c:pt>
                <c:pt idx="219">
                  <c:v>2098.2886971741063</c:v>
                </c:pt>
                <c:pt idx="220">
                  <c:v>2105.9334860018266</c:v>
                </c:pt>
                <c:pt idx="221">
                  <c:v>2113.5785313230504</c:v>
                </c:pt>
                <c:pt idx="222">
                  <c:v>2123.8133915341746</c:v>
                </c:pt>
                <c:pt idx="223">
                  <c:v>2136.6380666351997</c:v>
                </c:pt>
                <c:pt idx="224">
                  <c:v>2149.4627417362253</c:v>
                </c:pt>
                <c:pt idx="225">
                  <c:v>2162.2874168372509</c:v>
                </c:pt>
                <c:pt idx="226">
                  <c:v>2175.1120919382761</c:v>
                </c:pt>
                <c:pt idx="227">
                  <c:v>2187.9367670393017</c:v>
                </c:pt>
                <c:pt idx="228">
                  <c:v>2198.1718837439275</c:v>
                </c:pt>
                <c:pt idx="229">
                  <c:v>2205.817442052155</c:v>
                </c:pt>
                <c:pt idx="230">
                  <c:v>2213.4655652954025</c:v>
                </c:pt>
                <c:pt idx="231">
                  <c:v>2221.11625347367</c:v>
                </c:pt>
                <c:pt idx="232">
                  <c:v>2228.7695065869575</c:v>
                </c:pt>
                <c:pt idx="233">
                  <c:v>2236.425324635266</c:v>
                </c:pt>
                <c:pt idx="234">
                  <c:v>2244.0829381380877</c:v>
                </c:pt>
                <c:pt idx="235">
                  <c:v>2251.7423470954241</c:v>
                </c:pt>
                <c:pt idx="236">
                  <c:v>2259.3989346242383</c:v>
                </c:pt>
                <c:pt idx="237">
                  <c:v>2267.05270072453</c:v>
                </c:pt>
                <c:pt idx="238">
                  <c:v>2275.9637979717268</c:v>
                </c:pt>
                <c:pt idx="239">
                  <c:v>2283.6129471889822</c:v>
                </c:pt>
                <c:pt idx="240">
                  <c:v>2288.3862912615837</c:v>
                </c:pt>
                <c:pt idx="241">
                  <c:v>2292.8031093663772</c:v>
                </c:pt>
                <c:pt idx="242">
                  <c:v>2299.2949599025164</c:v>
                </c:pt>
                <c:pt idx="243">
                  <c:v>2312.1196350035416</c:v>
                </c:pt>
                <c:pt idx="244">
                  <c:v>2325.7137906106286</c:v>
                </c:pt>
                <c:pt idx="245">
                  <c:v>2335.8196345902365</c:v>
                </c:pt>
                <c:pt idx="246">
                  <c:v>2347.2848941305529</c:v>
                </c:pt>
                <c:pt idx="247">
                  <c:v>2360.109569231578</c:v>
                </c:pt>
                <c:pt idx="248">
                  <c:v>2372.9342443326032</c:v>
                </c:pt>
                <c:pt idx="249">
                  <c:v>2385.7589194336288</c:v>
                </c:pt>
                <c:pt idx="250">
                  <c:v>2396.4611108054341</c:v>
                </c:pt>
                <c:pt idx="251">
                  <c:v>2405.0408184480202</c:v>
                </c:pt>
                <c:pt idx="252">
                  <c:v>2415.7430098198261</c:v>
                </c:pt>
                <c:pt idx="253">
                  <c:v>2428.5676849208512</c:v>
                </c:pt>
                <c:pt idx="254">
                  <c:v>2441.3923600218768</c:v>
                </c:pt>
                <c:pt idx="255">
                  <c:v>2454.217035122902</c:v>
                </c:pt>
                <c:pt idx="256">
                  <c:v>2467.0417102239276</c:v>
                </c:pt>
                <c:pt idx="257">
                  <c:v>2479.8663853249527</c:v>
                </c:pt>
                <c:pt idx="258">
                  <c:v>2492.6910604259779</c:v>
                </c:pt>
                <c:pt idx="259">
                  <c:v>2505.5157355270035</c:v>
                </c:pt>
                <c:pt idx="260">
                  <c:v>2518.3404106280286</c:v>
                </c:pt>
                <c:pt idx="261">
                  <c:v>2531.1650857290538</c:v>
                </c:pt>
                <c:pt idx="262">
                  <c:v>2543.9897608300789</c:v>
                </c:pt>
                <c:pt idx="263">
                  <c:v>2556.8144359311045</c:v>
                </c:pt>
                <c:pt idx="264">
                  <c:v>2569.6391110321297</c:v>
                </c:pt>
                <c:pt idx="265">
                  <c:v>2582.4637861331548</c:v>
                </c:pt>
                <c:pt idx="266">
                  <c:v>2592.6983898507779</c:v>
                </c:pt>
                <c:pt idx="267">
                  <c:v>2600.342922184997</c:v>
                </c:pt>
                <c:pt idx="268">
                  <c:v>2610.5775259026191</c:v>
                </c:pt>
                <c:pt idx="269">
                  <c:v>2623.4022010036442</c:v>
                </c:pt>
                <c:pt idx="270">
                  <c:v>2633.6362917342626</c:v>
                </c:pt>
                <c:pt idx="271">
                  <c:v>2641.2797980944738</c:v>
                </c:pt>
                <c:pt idx="272">
                  <c:v>2651.5138888250917</c:v>
                </c:pt>
                <c:pt idx="273">
                  <c:v>2664.3385639261169</c:v>
                </c:pt>
                <c:pt idx="274">
                  <c:v>2674.5729111502374</c:v>
                </c:pt>
                <c:pt idx="275">
                  <c:v>2682.2169304974518</c:v>
                </c:pt>
                <c:pt idx="276">
                  <c:v>2689.8606933511655</c:v>
                </c:pt>
                <c:pt idx="277">
                  <c:v>2697.5041997113763</c:v>
                </c:pt>
                <c:pt idx="278">
                  <c:v>2705.1477060715879</c:v>
                </c:pt>
                <c:pt idx="279">
                  <c:v>2712.7912124317986</c:v>
                </c:pt>
                <c:pt idx="280">
                  <c:v>2720.4349752855123</c:v>
                </c:pt>
                <c:pt idx="281">
                  <c:v>2728.0789946327268</c:v>
                </c:pt>
                <c:pt idx="282">
                  <c:v>2738.3133418568473</c:v>
                </c:pt>
                <c:pt idx="283">
                  <c:v>2751.1380169578724</c:v>
                </c:pt>
                <c:pt idx="284">
                  <c:v>2761.3723641819925</c:v>
                </c:pt>
                <c:pt idx="285">
                  <c:v>2769.0163835292078</c:v>
                </c:pt>
                <c:pt idx="286">
                  <c:v>2776.6609158634269</c:v>
                </c:pt>
                <c:pt idx="287">
                  <c:v>2784.3059611846506</c:v>
                </c:pt>
                <c:pt idx="288">
                  <c:v>2791.951006505873</c:v>
                </c:pt>
                <c:pt idx="289">
                  <c:v>2799.5960518270967</c:v>
                </c:pt>
                <c:pt idx="290">
                  <c:v>2807.24109714832</c:v>
                </c:pt>
                <c:pt idx="291">
                  <c:v>2814.8861424695324</c:v>
                </c:pt>
                <c:pt idx="292">
                  <c:v>2823.7615871199482</c:v>
                </c:pt>
                <c:pt idx="293">
                  <c:v>2833.8674310995566</c:v>
                </c:pt>
                <c:pt idx="294">
                  <c:v>2845.3326906398734</c:v>
                </c:pt>
                <c:pt idx="295">
                  <c:v>2858.1573657408981</c:v>
                </c:pt>
                <c:pt idx="296">
                  <c:v>2868.3917129650295</c:v>
                </c:pt>
                <c:pt idx="297">
                  <c:v>2876.0357323122435</c:v>
                </c:pt>
                <c:pt idx="298">
                  <c:v>2886.2700795363639</c:v>
                </c:pt>
                <c:pt idx="299">
                  <c:v>2899.09475463739</c:v>
                </c:pt>
                <c:pt idx="300">
                  <c:v>2911.9194297384147</c:v>
                </c:pt>
                <c:pt idx="301">
                  <c:v>2924.7441048394398</c:v>
                </c:pt>
                <c:pt idx="302">
                  <c:v>2937.568779940465</c:v>
                </c:pt>
                <c:pt idx="303">
                  <c:v>2950.3934550414906</c:v>
                </c:pt>
                <c:pt idx="304">
                  <c:v>2963.2181301425157</c:v>
                </c:pt>
                <c:pt idx="305">
                  <c:v>2976.0428052435418</c:v>
                </c:pt>
                <c:pt idx="306">
                  <c:v>2988.8674803445665</c:v>
                </c:pt>
                <c:pt idx="307">
                  <c:v>3001.6921554455917</c:v>
                </c:pt>
                <c:pt idx="308">
                  <c:v>3014.5168305466168</c:v>
                </c:pt>
                <c:pt idx="309">
                  <c:v>3027.3415056476424</c:v>
                </c:pt>
                <c:pt idx="310">
                  <c:v>3040.1661807486685</c:v>
                </c:pt>
                <c:pt idx="311">
                  <c:v>3052.9908558496927</c:v>
                </c:pt>
                <c:pt idx="312">
                  <c:v>3065.8155309507179</c:v>
                </c:pt>
                <c:pt idx="313">
                  <c:v>3078.6402060517435</c:v>
                </c:pt>
                <c:pt idx="314">
                  <c:v>3091.4648811527695</c:v>
                </c:pt>
                <c:pt idx="315">
                  <c:v>3104.2895562537942</c:v>
                </c:pt>
                <c:pt idx="316">
                  <c:v>3117.1142313548203</c:v>
                </c:pt>
                <c:pt idx="317">
                  <c:v>3129.9389064558445</c:v>
                </c:pt>
                <c:pt idx="318">
                  <c:v>3140.1729971864634</c:v>
                </c:pt>
                <c:pt idx="319">
                  <c:v>3147.8165035466736</c:v>
                </c:pt>
                <c:pt idx="320">
                  <c:v>3158.0505942772925</c:v>
                </c:pt>
                <c:pt idx="321">
                  <c:v>3170.8752693783176</c:v>
                </c:pt>
                <c:pt idx="322">
                  <c:v>3183.6999444793428</c:v>
                </c:pt>
                <c:pt idx="323">
                  <c:v>3196.5246195803684</c:v>
                </c:pt>
                <c:pt idx="324">
                  <c:v>3209.349294681394</c:v>
                </c:pt>
                <c:pt idx="325">
                  <c:v>3222.1739697824187</c:v>
                </c:pt>
                <c:pt idx="326">
                  <c:v>3234.9986448834443</c:v>
                </c:pt>
                <c:pt idx="327">
                  <c:v>3247.8233199844699</c:v>
                </c:pt>
                <c:pt idx="328">
                  <c:v>3260.647995085495</c:v>
                </c:pt>
                <c:pt idx="329">
                  <c:v>3273.4726701865202</c:v>
                </c:pt>
                <c:pt idx="330">
                  <c:v>3286.2973452875453</c:v>
                </c:pt>
                <c:pt idx="331">
                  <c:v>3299.1220203885709</c:v>
                </c:pt>
                <c:pt idx="332">
                  <c:v>3309.3568805996956</c:v>
                </c:pt>
                <c:pt idx="333">
                  <c:v>3317.0019259209184</c:v>
                </c:pt>
                <c:pt idx="334">
                  <c:v>3324.6469712421422</c:v>
                </c:pt>
                <c:pt idx="335">
                  <c:v>3332.292016563375</c:v>
                </c:pt>
                <c:pt idx="336">
                  <c:v>3342.5268767744992</c:v>
                </c:pt>
                <c:pt idx="337">
                  <c:v>3355.3515518755253</c:v>
                </c:pt>
                <c:pt idx="338">
                  <c:v>3368.1762269765509</c:v>
                </c:pt>
                <c:pt idx="339">
                  <c:v>3381.000902077576</c:v>
                </c:pt>
                <c:pt idx="340">
                  <c:v>3392.9116908308911</c:v>
                </c:pt>
                <c:pt idx="341">
                  <c:v>3403.9085932365078</c:v>
                </c:pt>
                <c:pt idx="342">
                  <c:v>3413.2290541129296</c:v>
                </c:pt>
                <c:pt idx="343">
                  <c:v>3420.8730734601345</c:v>
                </c:pt>
                <c:pt idx="344">
                  <c:v>3428.5170928073599</c:v>
                </c:pt>
                <c:pt idx="345">
                  <c:v>3436.1611121545852</c:v>
                </c:pt>
                <c:pt idx="346">
                  <c:v>3446.3954593787057</c:v>
                </c:pt>
                <c:pt idx="347">
                  <c:v>3459.2201344797313</c:v>
                </c:pt>
                <c:pt idx="348">
                  <c:v>3472.044809580756</c:v>
                </c:pt>
                <c:pt idx="349">
                  <c:v>3484.8694846817816</c:v>
                </c:pt>
                <c:pt idx="350">
                  <c:v>3497.6941597828072</c:v>
                </c:pt>
                <c:pt idx="351">
                  <c:v>3510.5188348838324</c:v>
                </c:pt>
                <c:pt idx="352">
                  <c:v>3523.343509984858</c:v>
                </c:pt>
                <c:pt idx="353">
                  <c:v>3536.1681850858831</c:v>
                </c:pt>
                <c:pt idx="354">
                  <c:v>3546.4035582840115</c:v>
                </c:pt>
                <c:pt idx="355">
                  <c:v>3554.0496295792323</c:v>
                </c:pt>
                <c:pt idx="356">
                  <c:v>3561.695700874453</c:v>
                </c:pt>
                <c:pt idx="357">
                  <c:v>3569.3417721696942</c:v>
                </c:pt>
                <c:pt idx="358">
                  <c:v>3578.2179863006068</c:v>
                </c:pt>
                <c:pt idx="359">
                  <c:v>3588.324343267208</c:v>
                </c:pt>
                <c:pt idx="360">
                  <c:v>3599.7898593010273</c:v>
                </c:pt>
                <c:pt idx="361">
                  <c:v>3612.614534402052</c:v>
                </c:pt>
                <c:pt idx="362">
                  <c:v>3625.439209503078</c:v>
                </c:pt>
                <c:pt idx="363">
                  <c:v>3638.2638846041023</c:v>
                </c:pt>
                <c:pt idx="364">
                  <c:v>3651.0885597051279</c:v>
                </c:pt>
                <c:pt idx="365">
                  <c:v>3663.913234806153</c:v>
                </c:pt>
                <c:pt idx="366">
                  <c:v>3676.7379099071782</c:v>
                </c:pt>
                <c:pt idx="367">
                  <c:v>3689.5625850082033</c:v>
                </c:pt>
                <c:pt idx="368">
                  <c:v>3702.3872601092289</c:v>
                </c:pt>
                <c:pt idx="369">
                  <c:v>3715.2119352102541</c:v>
                </c:pt>
                <c:pt idx="370">
                  <c:v>3728.0366103112797</c:v>
                </c:pt>
                <c:pt idx="371">
                  <c:v>3740.8612854123048</c:v>
                </c:pt>
                <c:pt idx="372">
                  <c:v>3753.68596051333</c:v>
                </c:pt>
                <c:pt idx="373">
                  <c:v>3766.5106356143556</c:v>
                </c:pt>
                <c:pt idx="374">
                  <c:v>3779.3353107153807</c:v>
                </c:pt>
                <c:pt idx="375">
                  <c:v>3792.1599858164059</c:v>
                </c:pt>
                <c:pt idx="376">
                  <c:v>3804.984660917431</c:v>
                </c:pt>
                <c:pt idx="377">
                  <c:v>3817.8093360184562</c:v>
                </c:pt>
                <c:pt idx="378">
                  <c:v>3830.6340111194818</c:v>
                </c:pt>
                <c:pt idx="379">
                  <c:v>3843.4586862205069</c:v>
                </c:pt>
                <c:pt idx="380">
                  <c:v>3856.2833613215321</c:v>
                </c:pt>
                <c:pt idx="381">
                  <c:v>3869.1080364225577</c:v>
                </c:pt>
                <c:pt idx="382">
                  <c:v>3881.9327115235837</c:v>
                </c:pt>
                <c:pt idx="383">
                  <c:v>3894.7573866246094</c:v>
                </c:pt>
                <c:pt idx="384">
                  <c:v>3906.2226461649252</c:v>
                </c:pt>
                <c:pt idx="385">
                  <c:v>3916.3284901445336</c:v>
                </c:pt>
                <c:pt idx="386">
                  <c:v>3927.7937496848499</c:v>
                </c:pt>
                <c:pt idx="387">
                  <c:v>3940.6184247858755</c:v>
                </c:pt>
                <c:pt idx="388">
                  <c:v>3953.4430998869007</c:v>
                </c:pt>
                <c:pt idx="389">
                  <c:v>3966.2677749879258</c:v>
                </c:pt>
                <c:pt idx="390">
                  <c:v>3979.0924500889514</c:v>
                </c:pt>
                <c:pt idx="391">
                  <c:v>3991.9171251899775</c:v>
                </c:pt>
                <c:pt idx="392">
                  <c:v>4001.7736574856208</c:v>
                </c:pt>
                <c:pt idx="393">
                  <c:v>4008.6620469758827</c:v>
                </c:pt>
                <c:pt idx="394">
                  <c:v>4018.518579271527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35-4566-AFEC-F268283AFD90}"/>
            </c:ext>
          </c:extLst>
        </c:ser>
        <c:ser>
          <c:idx val="1"/>
          <c:order val="1"/>
          <c:tx>
            <c:strRef>
              <c:f>FL6_WD!$V$1:$V$2</c:f>
              <c:strCache>
                <c:ptCount val="2"/>
                <c:pt idx="0">
                  <c:v>Flooded</c:v>
                </c:pt>
                <c:pt idx="1">
                  <c:v>[bar]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FL6_WD!$M$3:$M$13073</c:f>
              <c:numCache>
                <c:formatCode>General</c:formatCode>
                <c:ptCount val="13071"/>
                <c:pt idx="0">
                  <c:v>0</c:v>
                </c:pt>
                <c:pt idx="1">
                  <c:v>14.795924163033481</c:v>
                </c:pt>
                <c:pt idx="2">
                  <c:v>44.387772489100534</c:v>
                </c:pt>
                <c:pt idx="3">
                  <c:v>67.691848326067031</c:v>
                </c:pt>
                <c:pt idx="4">
                  <c:v>82.580988000000005</c:v>
                </c:pt>
                <c:pt idx="5">
                  <c:v>95.342964000000009</c:v>
                </c:pt>
                <c:pt idx="6">
                  <c:v>114.449352</c:v>
                </c:pt>
                <c:pt idx="7">
                  <c:v>152.549352</c:v>
                </c:pt>
                <c:pt idx="8">
                  <c:v>196.97395200000003</c:v>
                </c:pt>
                <c:pt idx="9">
                  <c:v>235.07395200000002</c:v>
                </c:pt>
                <c:pt idx="10">
                  <c:v>273.17395200000004</c:v>
                </c:pt>
                <c:pt idx="11">
                  <c:v>311.27395200000001</c:v>
                </c:pt>
                <c:pt idx="12">
                  <c:v>349.37395200000003</c:v>
                </c:pt>
                <c:pt idx="13">
                  <c:v>387.473952</c:v>
                </c:pt>
                <c:pt idx="14">
                  <c:v>425.57395200000002</c:v>
                </c:pt>
                <c:pt idx="15">
                  <c:v>463.67395200000004</c:v>
                </c:pt>
                <c:pt idx="16">
                  <c:v>497.73535200000003</c:v>
                </c:pt>
                <c:pt idx="17">
                  <c:v>527.758152</c:v>
                </c:pt>
                <c:pt idx="18">
                  <c:v>554.12563799999998</c:v>
                </c:pt>
                <c:pt idx="19">
                  <c:v>576.83780999999999</c:v>
                </c:pt>
                <c:pt idx="20">
                  <c:v>599.55074400000001</c:v>
                </c:pt>
                <c:pt idx="21">
                  <c:v>622.26444000000004</c:v>
                </c:pt>
                <c:pt idx="22">
                  <c:v>644.97813600000006</c:v>
                </c:pt>
                <c:pt idx="23">
                  <c:v>667.69183200000009</c:v>
                </c:pt>
                <c:pt idx="24">
                  <c:v>690.40857600000004</c:v>
                </c:pt>
                <c:pt idx="25">
                  <c:v>713.12836800000002</c:v>
                </c:pt>
                <c:pt idx="26">
                  <c:v>735.84358800000007</c:v>
                </c:pt>
                <c:pt idx="27">
                  <c:v>758.55423600000006</c:v>
                </c:pt>
                <c:pt idx="28">
                  <c:v>781.26640800000007</c:v>
                </c:pt>
                <c:pt idx="29">
                  <c:v>803.9801040000001</c:v>
                </c:pt>
                <c:pt idx="30">
                  <c:v>826.69151399999998</c:v>
                </c:pt>
                <c:pt idx="31">
                  <c:v>849.40063800000007</c:v>
                </c:pt>
                <c:pt idx="32">
                  <c:v>872.10976200000005</c:v>
                </c:pt>
                <c:pt idx="33">
                  <c:v>894.81888600000013</c:v>
                </c:pt>
                <c:pt idx="34">
                  <c:v>925.22344799999712</c:v>
                </c:pt>
                <c:pt idx="35">
                  <c:v>963.32344799999703</c:v>
                </c:pt>
                <c:pt idx="36">
                  <c:v>1001.4234479999971</c:v>
                </c:pt>
                <c:pt idx="37">
                  <c:v>1039.523447999997</c:v>
                </c:pt>
                <c:pt idx="38">
                  <c:v>1077.6234479999971</c:v>
                </c:pt>
                <c:pt idx="39">
                  <c:v>1115.723447999997</c:v>
                </c:pt>
                <c:pt idx="40">
                  <c:v>1153.8234479999971</c:v>
                </c:pt>
                <c:pt idx="41">
                  <c:v>1191.9234479999971</c:v>
                </c:pt>
                <c:pt idx="42">
                  <c:v>1222.3272479999971</c:v>
                </c:pt>
                <c:pt idx="43">
                  <c:v>1245.0348479999971</c:v>
                </c:pt>
                <c:pt idx="44">
                  <c:v>1275.4386479999971</c:v>
                </c:pt>
                <c:pt idx="45">
                  <c:v>1313.538647999997</c:v>
                </c:pt>
                <c:pt idx="46">
                  <c:v>1343.9454959999971</c:v>
                </c:pt>
                <c:pt idx="47">
                  <c:v>1366.6591919999971</c:v>
                </c:pt>
                <c:pt idx="48">
                  <c:v>1393.0274399999971</c:v>
                </c:pt>
                <c:pt idx="49">
                  <c:v>1423.0502399999971</c:v>
                </c:pt>
                <c:pt idx="50">
                  <c:v>1449.4215359999969</c:v>
                </c:pt>
                <c:pt idx="51">
                  <c:v>1472.141327999997</c:v>
                </c:pt>
                <c:pt idx="52">
                  <c:v>1494.8573100000001</c:v>
                </c:pt>
                <c:pt idx="53">
                  <c:v>1517.5694820000001</c:v>
                </c:pt>
                <c:pt idx="54">
                  <c:v>1540.280892</c:v>
                </c:pt>
                <c:pt idx="55">
                  <c:v>1562.9915400000002</c:v>
                </c:pt>
                <c:pt idx="56">
                  <c:v>1585.7044740000031</c:v>
                </c:pt>
                <c:pt idx="57">
                  <c:v>1608.4196940000061</c:v>
                </c:pt>
                <c:pt idx="58">
                  <c:v>1631.1364380000064</c:v>
                </c:pt>
                <c:pt idx="59">
                  <c:v>1653.8547060000033</c:v>
                </c:pt>
                <c:pt idx="60">
                  <c:v>1676.576784000003</c:v>
                </c:pt>
                <c:pt idx="61">
                  <c:v>1699.3026720000032</c:v>
                </c:pt>
                <c:pt idx="62">
                  <c:v>1722.0293220000033</c:v>
                </c:pt>
                <c:pt idx="63">
                  <c:v>1744.7567340000001</c:v>
                </c:pt>
                <c:pt idx="64">
                  <c:v>1767.4780500000002</c:v>
                </c:pt>
                <c:pt idx="65">
                  <c:v>1790.1932700000029</c:v>
                </c:pt>
                <c:pt idx="66">
                  <c:v>1812.9062040000031</c:v>
                </c:pt>
                <c:pt idx="67">
                  <c:v>1835.6168520000031</c:v>
                </c:pt>
                <c:pt idx="68">
                  <c:v>1858.3290240000031</c:v>
                </c:pt>
                <c:pt idx="69">
                  <c:v>1881.0427200000031</c:v>
                </c:pt>
                <c:pt idx="70">
                  <c:v>1903.7579400000031</c:v>
                </c:pt>
                <c:pt idx="71">
                  <c:v>1926.4746840000032</c:v>
                </c:pt>
                <c:pt idx="72">
                  <c:v>1949.189904000003</c:v>
                </c:pt>
                <c:pt idx="73">
                  <c:v>1971.9036000000031</c:v>
                </c:pt>
                <c:pt idx="74">
                  <c:v>1994.6150100000032</c:v>
                </c:pt>
                <c:pt idx="75">
                  <c:v>2017.3241340000031</c:v>
                </c:pt>
                <c:pt idx="76">
                  <c:v>2047.7286960000033</c:v>
                </c:pt>
                <c:pt idx="77">
                  <c:v>2085.8286960000032</c:v>
                </c:pt>
                <c:pt idx="78">
                  <c:v>2116.2431640000032</c:v>
                </c:pt>
                <c:pt idx="79">
                  <c:v>2138.9721000000031</c:v>
                </c:pt>
                <c:pt idx="80">
                  <c:v>2169.3865680000031</c:v>
                </c:pt>
                <c:pt idx="81">
                  <c:v>2207.486568000003</c:v>
                </c:pt>
                <c:pt idx="82">
                  <c:v>2237.9056080000032</c:v>
                </c:pt>
                <c:pt idx="83">
                  <c:v>2260.6436880000033</c:v>
                </c:pt>
                <c:pt idx="84">
                  <c:v>2287.0241280000032</c:v>
                </c:pt>
                <c:pt idx="85">
                  <c:v>2317.0469280000029</c:v>
                </c:pt>
                <c:pt idx="86">
                  <c:v>2351.108328000003</c:v>
                </c:pt>
                <c:pt idx="87">
                  <c:v>2389.2083280000029</c:v>
                </c:pt>
                <c:pt idx="88">
                  <c:v>2427.3083280000033</c:v>
                </c:pt>
                <c:pt idx="89">
                  <c:v>2465.4083280000032</c:v>
                </c:pt>
                <c:pt idx="90">
                  <c:v>2503.5083280000031</c:v>
                </c:pt>
                <c:pt idx="91">
                  <c:v>2541.608328000003</c:v>
                </c:pt>
                <c:pt idx="92">
                  <c:v>2572.015938</c:v>
                </c:pt>
                <c:pt idx="93">
                  <c:v>2594.7311580000001</c:v>
                </c:pt>
                <c:pt idx="94">
                  <c:v>2617.4509499999972</c:v>
                </c:pt>
                <c:pt idx="95">
                  <c:v>2640.1753140000028</c:v>
                </c:pt>
                <c:pt idx="96">
                  <c:v>2670.5874960000028</c:v>
                </c:pt>
                <c:pt idx="97">
                  <c:v>2708.6874960000032</c:v>
                </c:pt>
                <c:pt idx="98">
                  <c:v>2746.7874960000031</c:v>
                </c:pt>
                <c:pt idx="99">
                  <c:v>2784.887496000003</c:v>
                </c:pt>
                <c:pt idx="100">
                  <c:v>2815.2912960000031</c:v>
                </c:pt>
                <c:pt idx="101">
                  <c:v>2837.9988960000032</c:v>
                </c:pt>
                <c:pt idx="102">
                  <c:v>2860.720974000003</c:v>
                </c:pt>
                <c:pt idx="103">
                  <c:v>2883.4575300000065</c:v>
                </c:pt>
                <c:pt idx="104">
                  <c:v>2906.183418000006</c:v>
                </c:pt>
                <c:pt idx="105">
                  <c:v>2928.8986380000092</c:v>
                </c:pt>
                <c:pt idx="106">
                  <c:v>2959.3062480000126</c:v>
                </c:pt>
                <c:pt idx="107">
                  <c:v>2997.4062480000125</c:v>
                </c:pt>
                <c:pt idx="108">
                  <c:v>3035.5062480000124</c:v>
                </c:pt>
                <c:pt idx="109">
                  <c:v>3073.6062480000001</c:v>
                </c:pt>
                <c:pt idx="110">
                  <c:v>3111.7062480000004</c:v>
                </c:pt>
                <c:pt idx="111">
                  <c:v>3149.8062480000003</c:v>
                </c:pt>
                <c:pt idx="112">
                  <c:v>3187.9062480000002</c:v>
                </c:pt>
                <c:pt idx="113">
                  <c:v>3226.0062480000001</c:v>
                </c:pt>
                <c:pt idx="114">
                  <c:v>3256.4100480000002</c:v>
                </c:pt>
                <c:pt idx="115">
                  <c:v>3279.1176480000004</c:v>
                </c:pt>
                <c:pt idx="116">
                  <c:v>3307.5455820000002</c:v>
                </c:pt>
                <c:pt idx="117">
                  <c:v>3341.6938500000001</c:v>
                </c:pt>
                <c:pt idx="118">
                  <c:v>3377.8179840000003</c:v>
                </c:pt>
                <c:pt idx="119">
                  <c:v>3415.9179840000002</c:v>
                </c:pt>
                <c:pt idx="120">
                  <c:v>3454.0179840000001</c:v>
                </c:pt>
                <c:pt idx="121">
                  <c:v>3492.117984</c:v>
                </c:pt>
                <c:pt idx="122">
                  <c:v>3522.521784</c:v>
                </c:pt>
                <c:pt idx="123">
                  <c:v>3545.2293840000002</c:v>
                </c:pt>
                <c:pt idx="124">
                  <c:v>3575.6331840000003</c:v>
                </c:pt>
                <c:pt idx="125">
                  <c:v>3613.7331840000002</c:v>
                </c:pt>
                <c:pt idx="126">
                  <c:v>3651.8331840000001</c:v>
                </c:pt>
                <c:pt idx="127">
                  <c:v>3689.933184</c:v>
                </c:pt>
                <c:pt idx="128">
                  <c:v>3728.0331840000003</c:v>
                </c:pt>
                <c:pt idx="129">
                  <c:v>3766.1331840000003</c:v>
                </c:pt>
                <c:pt idx="130">
                  <c:v>3804.2331840000002</c:v>
                </c:pt>
                <c:pt idx="131">
                  <c:v>3842.3331840000001</c:v>
                </c:pt>
                <c:pt idx="132">
                  <c:v>3880.433184</c:v>
                </c:pt>
                <c:pt idx="133">
                  <c:v>3918.5331840000003</c:v>
                </c:pt>
                <c:pt idx="134">
                  <c:v>3956.6331840000003</c:v>
                </c:pt>
                <c:pt idx="135">
                  <c:v>3994.7331840000002</c:v>
                </c:pt>
                <c:pt idx="136">
                  <c:v>4032.8331840000001</c:v>
                </c:pt>
                <c:pt idx="137">
                  <c:v>4070.933184</c:v>
                </c:pt>
                <c:pt idx="138">
                  <c:v>4109.0331839999999</c:v>
                </c:pt>
                <c:pt idx="139">
                  <c:v>4147.1331840000003</c:v>
                </c:pt>
                <c:pt idx="140">
                  <c:v>4185.2331840000006</c:v>
                </c:pt>
                <c:pt idx="141">
                  <c:v>4223.3331840000001</c:v>
                </c:pt>
                <c:pt idx="142">
                  <c:v>4261.4331840000004</c:v>
                </c:pt>
                <c:pt idx="143">
                  <c:v>4299.5331839999999</c:v>
                </c:pt>
                <c:pt idx="144">
                  <c:v>4329.9423180000003</c:v>
                </c:pt>
                <c:pt idx="145">
                  <c:v>4352.660586</c:v>
                </c:pt>
                <c:pt idx="146">
                  <c:v>4375.3773300000003</c:v>
                </c:pt>
                <c:pt idx="147">
                  <c:v>4398.0925500000003</c:v>
                </c:pt>
                <c:pt idx="148">
                  <c:v>4420.8054840000304</c:v>
                </c:pt>
                <c:pt idx="149">
                  <c:v>4443.5161320000307</c:v>
                </c:pt>
                <c:pt idx="150">
                  <c:v>4466.2435440000309</c:v>
                </c:pt>
                <c:pt idx="151">
                  <c:v>4488.987720000031</c:v>
                </c:pt>
                <c:pt idx="152">
                  <c:v>4511.7158940000008</c:v>
                </c:pt>
                <c:pt idx="153">
                  <c:v>4534.4280660000004</c:v>
                </c:pt>
                <c:pt idx="154">
                  <c:v>4564.8341520000004</c:v>
                </c:pt>
                <c:pt idx="155">
                  <c:v>4602.9341519999998</c:v>
                </c:pt>
                <c:pt idx="156">
                  <c:v>4633.4118660000004</c:v>
                </c:pt>
                <c:pt idx="157">
                  <c:v>4656.2672940000002</c:v>
                </c:pt>
                <c:pt idx="158">
                  <c:v>4686.7450079999999</c:v>
                </c:pt>
                <c:pt idx="159">
                  <c:v>4724.8450080000002</c:v>
                </c:pt>
                <c:pt idx="160">
                  <c:v>4762.9450079999997</c:v>
                </c:pt>
                <c:pt idx="161">
                  <c:v>4801.0450080000001</c:v>
                </c:pt>
                <c:pt idx="162">
                  <c:v>4831.451094</c:v>
                </c:pt>
                <c:pt idx="163">
                  <c:v>4854.1632660000005</c:v>
                </c:pt>
                <c:pt idx="164">
                  <c:v>4884.5693520000004</c:v>
                </c:pt>
                <c:pt idx="165">
                  <c:v>4922.6693519999999</c:v>
                </c:pt>
                <c:pt idx="166">
                  <c:v>4953.0777239999998</c:v>
                </c:pt>
                <c:pt idx="167">
                  <c:v>4975.7944680000001</c:v>
                </c:pt>
                <c:pt idx="168">
                  <c:v>4998.5134979999993</c:v>
                </c:pt>
                <c:pt idx="169">
                  <c:v>5021.2348140000004</c:v>
                </c:pt>
                <c:pt idx="170">
                  <c:v>5043.9607020000003</c:v>
                </c:pt>
                <c:pt idx="171">
                  <c:v>5066.6911620000001</c:v>
                </c:pt>
                <c:pt idx="172">
                  <c:v>5089.4246700000303</c:v>
                </c:pt>
                <c:pt idx="173">
                  <c:v>5112.1612260000311</c:v>
                </c:pt>
                <c:pt idx="174">
                  <c:v>5142.5795040000312</c:v>
                </c:pt>
                <c:pt idx="175">
                  <c:v>5180.6795040000316</c:v>
                </c:pt>
                <c:pt idx="176">
                  <c:v>5211.0970200000311</c:v>
                </c:pt>
                <c:pt idx="177">
                  <c:v>5233.8320520000307</c:v>
                </c:pt>
                <c:pt idx="178">
                  <c:v>5256.5632740000301</c:v>
                </c:pt>
                <c:pt idx="179">
                  <c:v>5279.2906860000312</c:v>
                </c:pt>
                <c:pt idx="180">
                  <c:v>5302.01505000003</c:v>
                </c:pt>
                <c:pt idx="181">
                  <c:v>5324.736366000031</c:v>
                </c:pt>
                <c:pt idx="182">
                  <c:v>5347.453872000031</c:v>
                </c:pt>
                <c:pt idx="183">
                  <c:v>5370.1675680000317</c:v>
                </c:pt>
                <c:pt idx="184">
                  <c:v>5392.8957420000306</c:v>
                </c:pt>
                <c:pt idx="185">
                  <c:v>5415.6383940000305</c:v>
                </c:pt>
                <c:pt idx="186">
                  <c:v>5438.365044000031</c:v>
                </c:pt>
                <c:pt idx="187">
                  <c:v>5461.0756920000304</c:v>
                </c:pt>
                <c:pt idx="188">
                  <c:v>5483.7878640000299</c:v>
                </c:pt>
                <c:pt idx="189">
                  <c:v>5506.5015600000306</c:v>
                </c:pt>
                <c:pt idx="190">
                  <c:v>5529.2183040000309</c:v>
                </c:pt>
                <c:pt idx="191">
                  <c:v>5551.9380960000308</c:v>
                </c:pt>
                <c:pt idx="192">
                  <c:v>5574.6556020000307</c:v>
                </c:pt>
                <c:pt idx="193">
                  <c:v>5597.3708220000608</c:v>
                </c:pt>
                <c:pt idx="194">
                  <c:v>5620.1561460000612</c:v>
                </c:pt>
                <c:pt idx="195">
                  <c:v>5643.011574000062</c:v>
                </c:pt>
                <c:pt idx="196">
                  <c:v>5665.8014700000613</c:v>
                </c:pt>
                <c:pt idx="197">
                  <c:v>5688.525834000061</c:v>
                </c:pt>
                <c:pt idx="198">
                  <c:v>5711.2517220000609</c:v>
                </c:pt>
                <c:pt idx="199">
                  <c:v>5733.9791340000611</c:v>
                </c:pt>
                <c:pt idx="200">
                  <c:v>5756.7088320000303</c:v>
                </c:pt>
                <c:pt idx="201">
                  <c:v>5779.4408160000312</c:v>
                </c:pt>
                <c:pt idx="202">
                  <c:v>5802.1674660000608</c:v>
                </c:pt>
                <c:pt idx="203">
                  <c:v>5824.8887820000609</c:v>
                </c:pt>
                <c:pt idx="204">
                  <c:v>5847.6078120000611</c:v>
                </c:pt>
                <c:pt idx="205">
                  <c:v>5870.3245560000614</c:v>
                </c:pt>
                <c:pt idx="206">
                  <c:v>5893.0397760000606</c:v>
                </c:pt>
                <c:pt idx="207">
                  <c:v>5915.7534720000613</c:v>
                </c:pt>
                <c:pt idx="208">
                  <c:v>5938.4641200000615</c:v>
                </c:pt>
                <c:pt idx="209">
                  <c:v>5961.1717200000621</c:v>
                </c:pt>
                <c:pt idx="210">
                  <c:v>5987.5369200000614</c:v>
                </c:pt>
                <c:pt idx="211">
                  <c:v>6017.559720000062</c:v>
                </c:pt>
                <c:pt idx="212">
                  <c:v>6051.6211200000616</c:v>
                </c:pt>
                <c:pt idx="213">
                  <c:v>6089.721120000062</c:v>
                </c:pt>
                <c:pt idx="214">
                  <c:v>6120.124920000062</c:v>
                </c:pt>
                <c:pt idx="215">
                  <c:v>6142.8325200000618</c:v>
                </c:pt>
                <c:pt idx="216">
                  <c:v>6165.5408820000612</c:v>
                </c:pt>
                <c:pt idx="217">
                  <c:v>6188.2500060000302</c:v>
                </c:pt>
                <c:pt idx="218">
                  <c:v>6210.9598920000308</c:v>
                </c:pt>
                <c:pt idx="219">
                  <c:v>6233.670540000031</c:v>
                </c:pt>
                <c:pt idx="220">
                  <c:v>6256.38195000003</c:v>
                </c:pt>
                <c:pt idx="221">
                  <c:v>6279.0941220000313</c:v>
                </c:pt>
                <c:pt idx="222">
                  <c:v>6309.5002080000313</c:v>
                </c:pt>
                <c:pt idx="223">
                  <c:v>6347.6002080000308</c:v>
                </c:pt>
                <c:pt idx="224">
                  <c:v>6385.7002080000311</c:v>
                </c:pt>
                <c:pt idx="225">
                  <c:v>6423.8002080000315</c:v>
                </c:pt>
                <c:pt idx="226">
                  <c:v>6461.9002080000309</c:v>
                </c:pt>
                <c:pt idx="227">
                  <c:v>6500.0002080000313</c:v>
                </c:pt>
                <c:pt idx="228">
                  <c:v>6530.4070560000309</c:v>
                </c:pt>
                <c:pt idx="229">
                  <c:v>6553.1207520000307</c:v>
                </c:pt>
                <c:pt idx="230">
                  <c:v>6575.8420680000318</c:v>
                </c:pt>
                <c:pt idx="231">
                  <c:v>6598.5710040000313</c:v>
                </c:pt>
                <c:pt idx="232">
                  <c:v>6621.3075600000302</c:v>
                </c:pt>
                <c:pt idx="233">
                  <c:v>6644.0517360000313</c:v>
                </c:pt>
                <c:pt idx="234">
                  <c:v>6666.80124600003</c:v>
                </c:pt>
                <c:pt idx="235">
                  <c:v>6689.556090000031</c:v>
                </c:pt>
                <c:pt idx="236">
                  <c:v>6712.302552000031</c:v>
                </c:pt>
                <c:pt idx="237">
                  <c:v>6735.0406320000302</c:v>
                </c:pt>
                <c:pt idx="238">
                  <c:v>6761.5140360000314</c:v>
                </c:pt>
                <c:pt idx="239">
                  <c:v>6784.2384000000302</c:v>
                </c:pt>
                <c:pt idx="240">
                  <c:v>6798.4192200000307</c:v>
                </c:pt>
                <c:pt idx="241">
                  <c:v>6811.5408600000301</c:v>
                </c:pt>
                <c:pt idx="242">
                  <c:v>6830.8270800000309</c:v>
                </c:pt>
                <c:pt idx="243">
                  <c:v>6868.9270800000313</c:v>
                </c:pt>
                <c:pt idx="244">
                  <c:v>6909.3130800000308</c:v>
                </c:pt>
                <c:pt idx="245">
                  <c:v>6939.3358800000306</c:v>
                </c:pt>
                <c:pt idx="246">
                  <c:v>6973.3972800000311</c:v>
                </c:pt>
                <c:pt idx="247">
                  <c:v>7011.4972800000305</c:v>
                </c:pt>
                <c:pt idx="248">
                  <c:v>7049.5972800000309</c:v>
                </c:pt>
                <c:pt idx="249">
                  <c:v>7087.6972800000312</c:v>
                </c:pt>
                <c:pt idx="250">
                  <c:v>7119.4917300000307</c:v>
                </c:pt>
                <c:pt idx="251">
                  <c:v>7144.9806300000309</c:v>
                </c:pt>
                <c:pt idx="252">
                  <c:v>7176.7750800000313</c:v>
                </c:pt>
                <c:pt idx="253">
                  <c:v>7214.8750800000307</c:v>
                </c:pt>
                <c:pt idx="254">
                  <c:v>7252.9750800000311</c:v>
                </c:pt>
                <c:pt idx="255">
                  <c:v>7291.0750800000305</c:v>
                </c:pt>
                <c:pt idx="256">
                  <c:v>7329.1750800000309</c:v>
                </c:pt>
                <c:pt idx="257">
                  <c:v>7367.2750800000313</c:v>
                </c:pt>
                <c:pt idx="258">
                  <c:v>7405.3750800000307</c:v>
                </c:pt>
                <c:pt idx="259">
                  <c:v>7443.4750800000311</c:v>
                </c:pt>
                <c:pt idx="260">
                  <c:v>7481.5750800000305</c:v>
                </c:pt>
                <c:pt idx="261">
                  <c:v>7519.6750800000309</c:v>
                </c:pt>
                <c:pt idx="262">
                  <c:v>7557.7750800000313</c:v>
                </c:pt>
                <c:pt idx="263">
                  <c:v>7595.8750800000307</c:v>
                </c:pt>
                <c:pt idx="264">
                  <c:v>7633.9750800000311</c:v>
                </c:pt>
                <c:pt idx="265">
                  <c:v>7672.0750800000305</c:v>
                </c:pt>
                <c:pt idx="266">
                  <c:v>7702.4804040000317</c:v>
                </c:pt>
                <c:pt idx="267">
                  <c:v>7725.191052000031</c:v>
                </c:pt>
                <c:pt idx="268">
                  <c:v>7755.5963760000313</c:v>
                </c:pt>
                <c:pt idx="269">
                  <c:v>7793.6963760000308</c:v>
                </c:pt>
                <c:pt idx="270">
                  <c:v>7824.1001760000308</c:v>
                </c:pt>
                <c:pt idx="271">
                  <c:v>7846.8077760000315</c:v>
                </c:pt>
                <c:pt idx="272">
                  <c:v>7877.2115760000315</c:v>
                </c:pt>
                <c:pt idx="273">
                  <c:v>7915.311576000031</c:v>
                </c:pt>
                <c:pt idx="274">
                  <c:v>7945.7161380000307</c:v>
                </c:pt>
                <c:pt idx="275">
                  <c:v>7968.4252620000307</c:v>
                </c:pt>
                <c:pt idx="276">
                  <c:v>7991.133624000031</c:v>
                </c:pt>
                <c:pt idx="277">
                  <c:v>8013.8412240000307</c:v>
                </c:pt>
                <c:pt idx="278">
                  <c:v>8036.5488240000304</c:v>
                </c:pt>
                <c:pt idx="279">
                  <c:v>8059.2564240000311</c:v>
                </c:pt>
                <c:pt idx="280">
                  <c:v>8081.9647860000314</c:v>
                </c:pt>
                <c:pt idx="281">
                  <c:v>8104.6739100000304</c:v>
                </c:pt>
                <c:pt idx="282">
                  <c:v>8135.0784720000311</c:v>
                </c:pt>
                <c:pt idx="283">
                  <c:v>8173.1784720000314</c:v>
                </c:pt>
                <c:pt idx="284">
                  <c:v>8203.5830340000302</c:v>
                </c:pt>
                <c:pt idx="285">
                  <c:v>8226.2921580000311</c:v>
                </c:pt>
                <c:pt idx="286">
                  <c:v>8249.0028060000313</c:v>
                </c:pt>
                <c:pt idx="287">
                  <c:v>8271.7149780000309</c:v>
                </c:pt>
                <c:pt idx="288">
                  <c:v>8294.4271500000305</c:v>
                </c:pt>
                <c:pt idx="289">
                  <c:v>8317.1393220000318</c:v>
                </c:pt>
                <c:pt idx="290">
                  <c:v>8339.8514940000314</c:v>
                </c:pt>
                <c:pt idx="291">
                  <c:v>8362.563666</c:v>
                </c:pt>
                <c:pt idx="292">
                  <c:v>8388.931152000001</c:v>
                </c:pt>
                <c:pt idx="293">
                  <c:v>8418.9539520000017</c:v>
                </c:pt>
                <c:pt idx="294">
                  <c:v>8453.0153520000003</c:v>
                </c:pt>
                <c:pt idx="295">
                  <c:v>8491.1153520000007</c:v>
                </c:pt>
                <c:pt idx="296">
                  <c:v>8521.5199140000313</c:v>
                </c:pt>
                <c:pt idx="297">
                  <c:v>8544.2290380000304</c:v>
                </c:pt>
                <c:pt idx="298">
                  <c:v>8574.6336000000301</c:v>
                </c:pt>
                <c:pt idx="299">
                  <c:v>8612.7336000000305</c:v>
                </c:pt>
                <c:pt idx="300">
                  <c:v>8650.8336000000309</c:v>
                </c:pt>
                <c:pt idx="301">
                  <c:v>8688.9336000000312</c:v>
                </c:pt>
                <c:pt idx="302">
                  <c:v>8727.0336000000298</c:v>
                </c:pt>
                <c:pt idx="303">
                  <c:v>8765.1336000000301</c:v>
                </c:pt>
                <c:pt idx="304">
                  <c:v>8803.2336000000305</c:v>
                </c:pt>
                <c:pt idx="305">
                  <c:v>8841.3336000000309</c:v>
                </c:pt>
                <c:pt idx="306">
                  <c:v>8879.4336000000312</c:v>
                </c:pt>
                <c:pt idx="307">
                  <c:v>8917.5336000000298</c:v>
                </c:pt>
                <c:pt idx="308">
                  <c:v>8955.6336000000301</c:v>
                </c:pt>
                <c:pt idx="309">
                  <c:v>8993.7336000000305</c:v>
                </c:pt>
                <c:pt idx="310">
                  <c:v>9031.8336000000309</c:v>
                </c:pt>
                <c:pt idx="311">
                  <c:v>9069.9336000000312</c:v>
                </c:pt>
                <c:pt idx="312">
                  <c:v>9108.0336000000298</c:v>
                </c:pt>
                <c:pt idx="313">
                  <c:v>9146.1336000000301</c:v>
                </c:pt>
                <c:pt idx="314">
                  <c:v>9184.2336000000305</c:v>
                </c:pt>
                <c:pt idx="315">
                  <c:v>9222.3336000000309</c:v>
                </c:pt>
                <c:pt idx="316">
                  <c:v>9260.4336000000312</c:v>
                </c:pt>
                <c:pt idx="317">
                  <c:v>9298.5336000000298</c:v>
                </c:pt>
                <c:pt idx="318">
                  <c:v>9328.9374000000298</c:v>
                </c:pt>
                <c:pt idx="319">
                  <c:v>9351.6450000000295</c:v>
                </c:pt>
                <c:pt idx="320">
                  <c:v>9382.0488000000296</c:v>
                </c:pt>
                <c:pt idx="321">
                  <c:v>9420.14880000003</c:v>
                </c:pt>
                <c:pt idx="322">
                  <c:v>9458.2488000000303</c:v>
                </c:pt>
                <c:pt idx="323">
                  <c:v>9496.3488000000307</c:v>
                </c:pt>
                <c:pt idx="324">
                  <c:v>9534.448800000031</c:v>
                </c:pt>
                <c:pt idx="325">
                  <c:v>9572.5488000000296</c:v>
                </c:pt>
                <c:pt idx="326">
                  <c:v>9610.64880000003</c:v>
                </c:pt>
                <c:pt idx="327">
                  <c:v>9648.7488000000303</c:v>
                </c:pt>
                <c:pt idx="328">
                  <c:v>9686.8488000000307</c:v>
                </c:pt>
                <c:pt idx="329">
                  <c:v>9724.948800000031</c:v>
                </c:pt>
                <c:pt idx="330">
                  <c:v>9763.0488000000296</c:v>
                </c:pt>
                <c:pt idx="331">
                  <c:v>9801.14880000003</c:v>
                </c:pt>
                <c:pt idx="332">
                  <c:v>9831.5548860000308</c:v>
                </c:pt>
                <c:pt idx="333">
                  <c:v>9854.2670580000304</c:v>
                </c:pt>
                <c:pt idx="334">
                  <c:v>9876.9792300000317</c:v>
                </c:pt>
                <c:pt idx="335">
                  <c:v>9899.6914020000622</c:v>
                </c:pt>
                <c:pt idx="336">
                  <c:v>9930.0974880000613</c:v>
                </c:pt>
                <c:pt idx="337">
                  <c:v>9968.1974880000616</c:v>
                </c:pt>
                <c:pt idx="338">
                  <c:v>10006.297488000062</c:v>
                </c:pt>
                <c:pt idx="339">
                  <c:v>10044.397488000062</c:v>
                </c:pt>
                <c:pt idx="340">
                  <c:v>10079.78248200003</c:v>
                </c:pt>
                <c:pt idx="341">
                  <c:v>10112.45247</c:v>
                </c:pt>
                <c:pt idx="342">
                  <c:v>10140.142026000001</c:v>
                </c:pt>
                <c:pt idx="343">
                  <c:v>10162.851149999969</c:v>
                </c:pt>
                <c:pt idx="344">
                  <c:v>10185.560273999999</c:v>
                </c:pt>
                <c:pt idx="345">
                  <c:v>10208.269398000029</c:v>
                </c:pt>
                <c:pt idx="346">
                  <c:v>10238.673960000031</c:v>
                </c:pt>
                <c:pt idx="347">
                  <c:v>10276.773960000031</c:v>
                </c:pt>
                <c:pt idx="348">
                  <c:v>10314.87396000003</c:v>
                </c:pt>
                <c:pt idx="349">
                  <c:v>10352.97396000003</c:v>
                </c:pt>
                <c:pt idx="350">
                  <c:v>10391.073960000031</c:v>
                </c:pt>
                <c:pt idx="351">
                  <c:v>10429.173960000031</c:v>
                </c:pt>
                <c:pt idx="352">
                  <c:v>10467.273960000031</c:v>
                </c:pt>
                <c:pt idx="353">
                  <c:v>10505.37396000003</c:v>
                </c:pt>
                <c:pt idx="354">
                  <c:v>10535.781570000032</c:v>
                </c:pt>
                <c:pt idx="355">
                  <c:v>10558.496790000001</c:v>
                </c:pt>
                <c:pt idx="356">
                  <c:v>10581.21200999997</c:v>
                </c:pt>
                <c:pt idx="357">
                  <c:v>10603.927229999999</c:v>
                </c:pt>
                <c:pt idx="358">
                  <c:v>10630.29700199997</c:v>
                </c:pt>
                <c:pt idx="359">
                  <c:v>10660.321325999939</c:v>
                </c:pt>
                <c:pt idx="360">
                  <c:v>10694.383487999939</c:v>
                </c:pt>
                <c:pt idx="361">
                  <c:v>10732.48348799994</c:v>
                </c:pt>
                <c:pt idx="362">
                  <c:v>10770.58348799994</c:v>
                </c:pt>
                <c:pt idx="363">
                  <c:v>10808.683487999941</c:v>
                </c:pt>
                <c:pt idx="364">
                  <c:v>10846.783487999939</c:v>
                </c:pt>
                <c:pt idx="365">
                  <c:v>10884.883487999939</c:v>
                </c:pt>
                <c:pt idx="366">
                  <c:v>10922.98348799994</c:v>
                </c:pt>
                <c:pt idx="367">
                  <c:v>10961.08348799994</c:v>
                </c:pt>
                <c:pt idx="368">
                  <c:v>10999.183487999941</c:v>
                </c:pt>
                <c:pt idx="369">
                  <c:v>11037.283487999939</c:v>
                </c:pt>
                <c:pt idx="370">
                  <c:v>11075.383487999939</c:v>
                </c:pt>
                <c:pt idx="371">
                  <c:v>11113.48348799994</c:v>
                </c:pt>
                <c:pt idx="372">
                  <c:v>11151.58348799994</c:v>
                </c:pt>
                <c:pt idx="373">
                  <c:v>11189.683487999941</c:v>
                </c:pt>
                <c:pt idx="374">
                  <c:v>11227.783487999939</c:v>
                </c:pt>
                <c:pt idx="375">
                  <c:v>11265.883487999939</c:v>
                </c:pt>
                <c:pt idx="376">
                  <c:v>11303.98348799994</c:v>
                </c:pt>
                <c:pt idx="377">
                  <c:v>11342.08348799994</c:v>
                </c:pt>
                <c:pt idx="378">
                  <c:v>11380.183487999941</c:v>
                </c:pt>
                <c:pt idx="379">
                  <c:v>11418.283487999939</c:v>
                </c:pt>
                <c:pt idx="380">
                  <c:v>11456.383487999939</c:v>
                </c:pt>
                <c:pt idx="381">
                  <c:v>11494.48348799994</c:v>
                </c:pt>
                <c:pt idx="382">
                  <c:v>11532.58348799994</c:v>
                </c:pt>
                <c:pt idx="383">
                  <c:v>11570.683487999941</c:v>
                </c:pt>
                <c:pt idx="384">
                  <c:v>11604.744887999939</c:v>
                </c:pt>
                <c:pt idx="385">
                  <c:v>11634.76768799994</c:v>
                </c:pt>
                <c:pt idx="386">
                  <c:v>11668.82908799994</c:v>
                </c:pt>
                <c:pt idx="387">
                  <c:v>11706.929087999941</c:v>
                </c:pt>
                <c:pt idx="388">
                  <c:v>11745.029087999939</c:v>
                </c:pt>
                <c:pt idx="389">
                  <c:v>11783.12908799994</c:v>
                </c:pt>
                <c:pt idx="390">
                  <c:v>11821.22908799994</c:v>
                </c:pt>
                <c:pt idx="391">
                  <c:v>11859.32908799994</c:v>
                </c:pt>
                <c:pt idx="392">
                  <c:v>11888.61122399994</c:v>
                </c:pt>
                <c:pt idx="393">
                  <c:v>11909.075495999939</c:v>
                </c:pt>
                <c:pt idx="394">
                  <c:v>11938.357631999939</c:v>
                </c:pt>
              </c:numCache>
            </c:numRef>
          </c:xVal>
          <c:yVal>
            <c:numRef>
              <c:f>FL6_WD!$V$3:$V$13073</c:f>
              <c:numCache>
                <c:formatCode>General</c:formatCode>
                <c:ptCount val="13071"/>
                <c:pt idx="0">
                  <c:v>120.674378155968</c:v>
                </c:pt>
                <c:pt idx="1">
                  <c:v>120.67554290294269</c:v>
                </c:pt>
                <c:pt idx="2">
                  <c:v>120.65912870716801</c:v>
                </c:pt>
                <c:pt idx="3">
                  <c:v>120.66555974026404</c:v>
                </c:pt>
                <c:pt idx="4">
                  <c:v>120.67100345294857</c:v>
                </c:pt>
                <c:pt idx="5">
                  <c:v>120.68432384647535</c:v>
                </c:pt>
                <c:pt idx="6">
                  <c:v>120.7049268684341</c:v>
                </c:pt>
                <c:pt idx="7">
                  <c:v>120.70334600890851</c:v>
                </c:pt>
                <c:pt idx="8">
                  <c:v>120.7801036011283</c:v>
                </c:pt>
                <c:pt idx="9">
                  <c:v>120.85230872456641</c:v>
                </c:pt>
                <c:pt idx="10">
                  <c:v>120.90258310737026</c:v>
                </c:pt>
                <c:pt idx="11">
                  <c:v>120.93448088774016</c:v>
                </c:pt>
                <c:pt idx="12">
                  <c:v>120.97514608454017</c:v>
                </c:pt>
                <c:pt idx="13">
                  <c:v>129.78969580437831</c:v>
                </c:pt>
                <c:pt idx="14">
                  <c:v>142.55181151466695</c:v>
                </c:pt>
                <c:pt idx="15">
                  <c:v>155.31392722495553</c:v>
                </c:pt>
                <c:pt idx="16">
                  <c:v>166.72325866995354</c:v>
                </c:pt>
                <c:pt idx="17">
                  <c:v>176.77980584966096</c:v>
                </c:pt>
                <c:pt idx="18">
                  <c:v>185.61195564812331</c:v>
                </c:pt>
                <c:pt idx="19">
                  <c:v>193.21970806534057</c:v>
                </c:pt>
                <c:pt idx="20">
                  <c:v>200.82771572487201</c:v>
                </c:pt>
                <c:pt idx="21">
                  <c:v>208.43597862671771</c:v>
                </c:pt>
                <c:pt idx="22">
                  <c:v>216.04424152856336</c:v>
                </c:pt>
                <c:pt idx="23">
                  <c:v>223.65250443040901</c:v>
                </c:pt>
                <c:pt idx="24">
                  <c:v>231.26178830151144</c:v>
                </c:pt>
                <c:pt idx="25">
                  <c:v>238.87209314187075</c:v>
                </c:pt>
                <c:pt idx="26">
                  <c:v>246.48086652834482</c:v>
                </c:pt>
                <c:pt idx="27">
                  <c:v>254.08810846093368</c:v>
                </c:pt>
                <c:pt idx="28">
                  <c:v>261.69586087815094</c:v>
                </c:pt>
                <c:pt idx="29">
                  <c:v>269.30412377999659</c:v>
                </c:pt>
                <c:pt idx="30">
                  <c:v>276.91162095489966</c:v>
                </c:pt>
                <c:pt idx="31">
                  <c:v>284.5183524028601</c:v>
                </c:pt>
                <c:pt idx="32">
                  <c:v>292.12508385082043</c:v>
                </c:pt>
                <c:pt idx="33">
                  <c:v>299.73181529878093</c:v>
                </c:pt>
                <c:pt idx="34">
                  <c:v>309.91623887790439</c:v>
                </c:pt>
                <c:pt idx="35">
                  <c:v>322.67835458819297</c:v>
                </c:pt>
                <c:pt idx="36">
                  <c:v>335.44047029848167</c:v>
                </c:pt>
                <c:pt idx="37">
                  <c:v>348.20258600877014</c:v>
                </c:pt>
                <c:pt idx="38">
                  <c:v>360.96470171905884</c:v>
                </c:pt>
                <c:pt idx="39">
                  <c:v>373.72681742934742</c:v>
                </c:pt>
                <c:pt idx="40">
                  <c:v>386.48893313963612</c:v>
                </c:pt>
                <c:pt idx="41">
                  <c:v>399.25104884992464</c:v>
                </c:pt>
                <c:pt idx="42">
                  <c:v>409.43521718673497</c:v>
                </c:pt>
                <c:pt idx="43">
                  <c:v>417.04143815006705</c:v>
                </c:pt>
                <c:pt idx="44">
                  <c:v>427.22560648687733</c:v>
                </c:pt>
                <c:pt idx="45">
                  <c:v>439.98772219716591</c:v>
                </c:pt>
                <c:pt idx="46">
                  <c:v>450.17291150323297</c:v>
                </c:pt>
                <c:pt idx="47">
                  <c:v>457.78117440507867</c:v>
                </c:pt>
                <c:pt idx="48">
                  <c:v>466.61357944585524</c:v>
                </c:pt>
                <c:pt idx="49">
                  <c:v>476.67012662556266</c:v>
                </c:pt>
                <c:pt idx="50">
                  <c:v>485.50355263559601</c:v>
                </c:pt>
                <c:pt idx="51">
                  <c:v>493.11385747595529</c:v>
                </c:pt>
                <c:pt idx="52">
                  <c:v>500.72288610474459</c:v>
                </c:pt>
                <c:pt idx="53">
                  <c:v>508.33063852196193</c:v>
                </c:pt>
                <c:pt idx="54">
                  <c:v>515.93813569686483</c:v>
                </c:pt>
                <c:pt idx="55">
                  <c:v>523.5453776294537</c:v>
                </c:pt>
                <c:pt idx="56">
                  <c:v>531.1533852889861</c:v>
                </c:pt>
                <c:pt idx="57">
                  <c:v>538.76215867546114</c:v>
                </c:pt>
                <c:pt idx="58">
                  <c:v>546.3714425465638</c:v>
                </c:pt>
                <c:pt idx="59">
                  <c:v>553.98123690229363</c:v>
                </c:pt>
                <c:pt idx="60">
                  <c:v>561.59230746959543</c:v>
                </c:pt>
                <c:pt idx="61">
                  <c:v>569.20465424846861</c:v>
                </c:pt>
                <c:pt idx="62">
                  <c:v>576.81725626965567</c:v>
                </c:pt>
                <c:pt idx="63">
                  <c:v>584.43011353315603</c:v>
                </c:pt>
                <c:pt idx="64">
                  <c:v>592.04092885814373</c:v>
                </c:pt>
                <c:pt idx="65">
                  <c:v>599.64970224461877</c:v>
                </c:pt>
                <c:pt idx="66">
                  <c:v>607.25770990415026</c:v>
                </c:pt>
                <c:pt idx="67">
                  <c:v>614.86495183673912</c:v>
                </c:pt>
                <c:pt idx="68">
                  <c:v>622.47270425395629</c:v>
                </c:pt>
                <c:pt idx="69">
                  <c:v>630.080967155802</c:v>
                </c:pt>
                <c:pt idx="70">
                  <c:v>637.68974054227601</c:v>
                </c:pt>
                <c:pt idx="71">
                  <c:v>645.29902441337856</c:v>
                </c:pt>
                <c:pt idx="72">
                  <c:v>652.90779779985257</c:v>
                </c:pt>
                <c:pt idx="73">
                  <c:v>660.51606070169828</c:v>
                </c:pt>
                <c:pt idx="74">
                  <c:v>668.12355787660124</c:v>
                </c:pt>
                <c:pt idx="75">
                  <c:v>675.73028932456168</c:v>
                </c:pt>
                <c:pt idx="76">
                  <c:v>685.91471290368634</c:v>
                </c:pt>
                <c:pt idx="77">
                  <c:v>698.67682861397486</c:v>
                </c:pt>
                <c:pt idx="78">
                  <c:v>708.86457034318403</c:v>
                </c:pt>
                <c:pt idx="79">
                  <c:v>716.47793809131383</c:v>
                </c:pt>
                <c:pt idx="80">
                  <c:v>726.665679820523</c:v>
                </c:pt>
                <c:pt idx="81">
                  <c:v>739.42779553081152</c:v>
                </c:pt>
                <c:pt idx="82">
                  <c:v>749.61706871390606</c:v>
                </c:pt>
                <c:pt idx="83">
                  <c:v>757.2334993698064</c:v>
                </c:pt>
                <c:pt idx="84">
                  <c:v>766.06998828761016</c:v>
                </c:pt>
                <c:pt idx="85">
                  <c:v>776.12653546731735</c:v>
                </c:pt>
                <c:pt idx="86">
                  <c:v>787.53586691231544</c:v>
                </c:pt>
                <c:pt idx="87">
                  <c:v>800.29798262260408</c:v>
                </c:pt>
                <c:pt idx="88">
                  <c:v>813.06009833289284</c:v>
                </c:pt>
                <c:pt idx="89">
                  <c:v>825.82221404318125</c:v>
                </c:pt>
                <c:pt idx="90">
                  <c:v>838.58432975346977</c:v>
                </c:pt>
                <c:pt idx="91">
                  <c:v>851.34644546375853</c:v>
                </c:pt>
                <c:pt idx="92">
                  <c:v>861.53189001213877</c:v>
                </c:pt>
                <c:pt idx="93">
                  <c:v>869.14066339861301</c:v>
                </c:pt>
                <c:pt idx="94">
                  <c:v>876.75096823897138</c:v>
                </c:pt>
                <c:pt idx="95">
                  <c:v>884.36280453321774</c:v>
                </c:pt>
                <c:pt idx="96">
                  <c:v>894.54978053548427</c:v>
                </c:pt>
                <c:pt idx="97">
                  <c:v>907.31189624577314</c:v>
                </c:pt>
                <c:pt idx="98">
                  <c:v>920.07401195606155</c:v>
                </c:pt>
                <c:pt idx="99">
                  <c:v>932.83612766635019</c:v>
                </c:pt>
                <c:pt idx="100">
                  <c:v>943.02029600316052</c:v>
                </c:pt>
                <c:pt idx="101">
                  <c:v>950.62651696649255</c:v>
                </c:pt>
                <c:pt idx="102">
                  <c:v>958.23758753379445</c:v>
                </c:pt>
                <c:pt idx="103">
                  <c:v>965.85350770506739</c:v>
                </c:pt>
                <c:pt idx="104">
                  <c:v>973.46585448394012</c:v>
                </c:pt>
                <c:pt idx="105">
                  <c:v>981.07462787041527</c:v>
                </c:pt>
                <c:pt idx="106">
                  <c:v>991.26007241879779</c:v>
                </c:pt>
                <c:pt idx="107">
                  <c:v>1004.0221881290863</c:v>
                </c:pt>
                <c:pt idx="108">
                  <c:v>1016.7843038393751</c:v>
                </c:pt>
                <c:pt idx="109">
                  <c:v>1029.5464195496595</c:v>
                </c:pt>
                <c:pt idx="110">
                  <c:v>1042.3085352599483</c:v>
                </c:pt>
                <c:pt idx="111">
                  <c:v>1055.0706509702366</c:v>
                </c:pt>
                <c:pt idx="112">
                  <c:v>1067.8327666805253</c:v>
                </c:pt>
                <c:pt idx="113">
                  <c:v>1080.5948823908138</c:v>
                </c:pt>
                <c:pt idx="114">
                  <c:v>1090.7790507276241</c:v>
                </c:pt>
                <c:pt idx="115">
                  <c:v>1098.3852716909564</c:v>
                </c:pt>
                <c:pt idx="116">
                  <c:v>1107.907596707031</c:v>
                </c:pt>
                <c:pt idx="117">
                  <c:v>1119.3460257758484</c:v>
                </c:pt>
                <c:pt idx="118">
                  <c:v>1131.4462981654015</c:v>
                </c:pt>
                <c:pt idx="119">
                  <c:v>1144.2084138756902</c:v>
                </c:pt>
                <c:pt idx="120">
                  <c:v>1156.9705295859787</c:v>
                </c:pt>
                <c:pt idx="121">
                  <c:v>1169.7326452962673</c:v>
                </c:pt>
                <c:pt idx="122">
                  <c:v>1179.9168136330775</c:v>
                </c:pt>
                <c:pt idx="123">
                  <c:v>1187.5230345964096</c:v>
                </c:pt>
                <c:pt idx="124">
                  <c:v>1197.7072029332201</c:v>
                </c:pt>
                <c:pt idx="125">
                  <c:v>1210.4693186435088</c:v>
                </c:pt>
                <c:pt idx="126">
                  <c:v>1223.2314343537971</c:v>
                </c:pt>
                <c:pt idx="127">
                  <c:v>1235.9935500640859</c:v>
                </c:pt>
                <c:pt idx="128">
                  <c:v>1248.7556657743744</c:v>
                </c:pt>
                <c:pt idx="129">
                  <c:v>1261.5177814846631</c:v>
                </c:pt>
                <c:pt idx="130">
                  <c:v>1274.2798971949514</c:v>
                </c:pt>
                <c:pt idx="131">
                  <c:v>1287.04201290524</c:v>
                </c:pt>
                <c:pt idx="132">
                  <c:v>1299.8041286155287</c:v>
                </c:pt>
                <c:pt idx="133">
                  <c:v>1312.5662443258175</c:v>
                </c:pt>
                <c:pt idx="134">
                  <c:v>1325.328360036106</c:v>
                </c:pt>
                <c:pt idx="135">
                  <c:v>1338.0904757463945</c:v>
                </c:pt>
                <c:pt idx="136">
                  <c:v>1350.8525914566831</c:v>
                </c:pt>
                <c:pt idx="137">
                  <c:v>1363.6147071669718</c:v>
                </c:pt>
                <c:pt idx="138">
                  <c:v>1376.3768228772601</c:v>
                </c:pt>
                <c:pt idx="139">
                  <c:v>1389.1389385875491</c:v>
                </c:pt>
                <c:pt idx="140">
                  <c:v>1401.9010542978378</c:v>
                </c:pt>
                <c:pt idx="141">
                  <c:v>1414.6631700081261</c:v>
                </c:pt>
                <c:pt idx="142">
                  <c:v>1427.4252857184151</c:v>
                </c:pt>
                <c:pt idx="143">
                  <c:v>1440.1874014287034</c:v>
                </c:pt>
                <c:pt idx="144">
                  <c:v>1450.373356461713</c:v>
                </c:pt>
                <c:pt idx="145">
                  <c:v>1457.9831508174441</c:v>
                </c:pt>
                <c:pt idx="146">
                  <c:v>1465.5924346885467</c:v>
                </c:pt>
                <c:pt idx="147">
                  <c:v>1473.2012080750205</c:v>
                </c:pt>
                <c:pt idx="148">
                  <c:v>1480.8092157345623</c:v>
                </c:pt>
                <c:pt idx="149">
                  <c:v>1488.416457667151</c:v>
                </c:pt>
                <c:pt idx="150">
                  <c:v>1496.0293149306524</c:v>
                </c:pt>
                <c:pt idx="151">
                  <c:v>1503.6477875250664</c:v>
                </c:pt>
                <c:pt idx="152">
                  <c:v>1511.2609000308719</c:v>
                </c:pt>
                <c:pt idx="153">
                  <c:v>1518.8686524480891</c:v>
                </c:pt>
                <c:pt idx="154">
                  <c:v>1529.053586511842</c:v>
                </c:pt>
                <c:pt idx="155">
                  <c:v>1541.8157022221305</c:v>
                </c:pt>
                <c:pt idx="156">
                  <c:v>1552.0246290634188</c:v>
                </c:pt>
                <c:pt idx="157">
                  <c:v>1559.6803670357067</c:v>
                </c:pt>
                <c:pt idx="158">
                  <c:v>1569.8892938769948</c:v>
                </c:pt>
                <c:pt idx="159">
                  <c:v>1582.6514095872838</c:v>
                </c:pt>
                <c:pt idx="160">
                  <c:v>1595.4135252975721</c:v>
                </c:pt>
                <c:pt idx="161">
                  <c:v>1608.1756410078608</c:v>
                </c:pt>
                <c:pt idx="162">
                  <c:v>1618.3605750716138</c:v>
                </c:pt>
                <c:pt idx="163">
                  <c:v>1625.9683274888314</c:v>
                </c:pt>
                <c:pt idx="164">
                  <c:v>1636.1532615525839</c:v>
                </c:pt>
                <c:pt idx="165">
                  <c:v>1648.9153772628727</c:v>
                </c:pt>
                <c:pt idx="166">
                  <c:v>1659.1010770535681</c:v>
                </c:pt>
                <c:pt idx="167">
                  <c:v>1666.7103609246703</c:v>
                </c:pt>
                <c:pt idx="168">
                  <c:v>1674.3204105227151</c:v>
                </c:pt>
                <c:pt idx="169">
                  <c:v>1681.9312258477032</c:v>
                </c:pt>
                <c:pt idx="170">
                  <c:v>1689.5435726265766</c:v>
                </c:pt>
                <c:pt idx="171">
                  <c:v>1697.1574508593349</c:v>
                </c:pt>
                <c:pt idx="172">
                  <c:v>1704.7723500613597</c:v>
                </c:pt>
                <c:pt idx="173">
                  <c:v>1712.3882702326316</c:v>
                </c:pt>
                <c:pt idx="174">
                  <c:v>1722.5772881734117</c:v>
                </c:pt>
                <c:pt idx="175">
                  <c:v>1735.3394038837005</c:v>
                </c:pt>
                <c:pt idx="176">
                  <c:v>1745.5281665821665</c:v>
                </c:pt>
                <c:pt idx="177">
                  <c:v>1753.14357626881</c:v>
                </c:pt>
                <c:pt idx="178">
                  <c:v>1760.7577097438818</c:v>
                </c:pt>
                <c:pt idx="179">
                  <c:v>1768.3705670073837</c:v>
                </c:pt>
                <c:pt idx="180">
                  <c:v>1775.982403301628</c:v>
                </c:pt>
                <c:pt idx="181">
                  <c:v>1783.5932186266159</c:v>
                </c:pt>
                <c:pt idx="182">
                  <c:v>1791.2027577400324</c:v>
                </c:pt>
                <c:pt idx="183">
                  <c:v>1798.8110206418789</c:v>
                </c:pt>
                <c:pt idx="184">
                  <c:v>1806.424133147694</c:v>
                </c:pt>
                <c:pt idx="185">
                  <c:v>1814.0420952574793</c:v>
                </c:pt>
                <c:pt idx="186">
                  <c:v>1821.6546972786664</c:v>
                </c:pt>
                <c:pt idx="187">
                  <c:v>1829.2619392112554</c:v>
                </c:pt>
                <c:pt idx="188">
                  <c:v>1836.8696916284723</c:v>
                </c:pt>
                <c:pt idx="189">
                  <c:v>1844.4779545303181</c:v>
                </c:pt>
                <c:pt idx="190">
                  <c:v>1852.0872384014208</c:v>
                </c:pt>
                <c:pt idx="191">
                  <c:v>1859.6975432417798</c:v>
                </c:pt>
                <c:pt idx="192">
                  <c:v>1867.3070823551968</c:v>
                </c:pt>
                <c:pt idx="193">
                  <c:v>1874.9158557416806</c:v>
                </c:pt>
                <c:pt idx="194">
                  <c:v>1882.548111421062</c:v>
                </c:pt>
                <c:pt idx="195">
                  <c:v>1890.2038493933501</c:v>
                </c:pt>
                <c:pt idx="196">
                  <c:v>1897.8376365266158</c:v>
                </c:pt>
                <c:pt idx="197">
                  <c:v>1905.4494728208601</c:v>
                </c:pt>
                <c:pt idx="198">
                  <c:v>1913.0618195997336</c:v>
                </c:pt>
                <c:pt idx="199">
                  <c:v>1920.6746768632347</c:v>
                </c:pt>
                <c:pt idx="200">
                  <c:v>1928.2882998536686</c:v>
                </c:pt>
                <c:pt idx="201">
                  <c:v>1935.9026885710555</c:v>
                </c:pt>
                <c:pt idx="202">
                  <c:v>1943.5152905922525</c:v>
                </c:pt>
                <c:pt idx="203">
                  <c:v>1951.12610591724</c:v>
                </c:pt>
                <c:pt idx="204">
                  <c:v>1958.7361555152854</c:v>
                </c:pt>
                <c:pt idx="205">
                  <c:v>1966.3454393863879</c:v>
                </c:pt>
                <c:pt idx="206">
                  <c:v>1973.9542127728621</c:v>
                </c:pt>
                <c:pt idx="207">
                  <c:v>1981.5624756747077</c:v>
                </c:pt>
                <c:pt idx="208">
                  <c:v>1989.1697176072967</c:v>
                </c:pt>
                <c:pt idx="209">
                  <c:v>1996.7759385706288</c:v>
                </c:pt>
                <c:pt idx="210">
                  <c:v>2005.6073226421483</c:v>
                </c:pt>
                <c:pt idx="211">
                  <c:v>2015.663869821856</c:v>
                </c:pt>
                <c:pt idx="212">
                  <c:v>2027.0732012668539</c:v>
                </c:pt>
                <c:pt idx="213">
                  <c:v>2039.8353169771424</c:v>
                </c:pt>
                <c:pt idx="214">
                  <c:v>2050.0194853139528</c:v>
                </c:pt>
                <c:pt idx="215">
                  <c:v>2057.6257062772847</c:v>
                </c:pt>
                <c:pt idx="216">
                  <c:v>2065.2321824829305</c:v>
                </c:pt>
                <c:pt idx="217">
                  <c:v>2072.8389139308811</c:v>
                </c:pt>
                <c:pt idx="218">
                  <c:v>2080.4459006211555</c:v>
                </c:pt>
                <c:pt idx="219">
                  <c:v>2088.0531425537447</c:v>
                </c:pt>
                <c:pt idx="220">
                  <c:v>2095.6606397286473</c:v>
                </c:pt>
                <c:pt idx="221">
                  <c:v>2103.2683921458647</c:v>
                </c:pt>
                <c:pt idx="222">
                  <c:v>2113.4533262096179</c:v>
                </c:pt>
                <c:pt idx="223">
                  <c:v>2126.2154419199064</c:v>
                </c:pt>
                <c:pt idx="224">
                  <c:v>2138.977557630195</c:v>
                </c:pt>
                <c:pt idx="225">
                  <c:v>2151.7396733404839</c:v>
                </c:pt>
                <c:pt idx="226">
                  <c:v>2164.501789050772</c:v>
                </c:pt>
                <c:pt idx="227">
                  <c:v>2177.263904761061</c:v>
                </c:pt>
                <c:pt idx="228">
                  <c:v>2187.449094067128</c:v>
                </c:pt>
                <c:pt idx="229">
                  <c:v>2195.0573569689732</c:v>
                </c:pt>
                <c:pt idx="230">
                  <c:v>2202.6681722939616</c:v>
                </c:pt>
                <c:pt idx="231">
                  <c:v>2210.2815400420914</c:v>
                </c:pt>
                <c:pt idx="232">
                  <c:v>2217.897460213363</c:v>
                </c:pt>
                <c:pt idx="233">
                  <c:v>2225.5159328077771</c:v>
                </c:pt>
                <c:pt idx="234">
                  <c:v>2233.13619209839</c:v>
                </c:pt>
                <c:pt idx="235">
                  <c:v>2240.7582380852027</c:v>
                </c:pt>
                <c:pt idx="236">
                  <c:v>2248.3774764065593</c:v>
                </c:pt>
                <c:pt idx="237">
                  <c:v>2255.9939070624591</c:v>
                </c:pt>
                <c:pt idx="238">
                  <c:v>2264.8615355425964</c:v>
                </c:pt>
                <c:pt idx="239">
                  <c:v>2272.4733718368407</c:v>
                </c:pt>
                <c:pt idx="240">
                  <c:v>2277.2234313042104</c:v>
                </c:pt>
                <c:pt idx="241">
                  <c:v>2281.6187039548336</c:v>
                </c:pt>
                <c:pt idx="242">
                  <c:v>2288.078886927382</c:v>
                </c:pt>
                <c:pt idx="243">
                  <c:v>2300.8410026376705</c:v>
                </c:pt>
                <c:pt idx="244">
                  <c:v>2314.3688452905767</c:v>
                </c:pt>
                <c:pt idx="245">
                  <c:v>2324.4253924702839</c:v>
                </c:pt>
                <c:pt idx="246">
                  <c:v>2335.8347239152818</c:v>
                </c:pt>
                <c:pt idx="247">
                  <c:v>2348.5968396255703</c:v>
                </c:pt>
                <c:pt idx="248">
                  <c:v>2361.3589553358593</c:v>
                </c:pt>
                <c:pt idx="249">
                  <c:v>2374.1210710461478</c:v>
                </c:pt>
                <c:pt idx="250">
                  <c:v>2384.7710566063834</c:v>
                </c:pt>
                <c:pt idx="251">
                  <c:v>2393.3089120165669</c:v>
                </c:pt>
                <c:pt idx="252">
                  <c:v>2403.9588975768024</c:v>
                </c:pt>
                <c:pt idx="253">
                  <c:v>2416.721013287091</c:v>
                </c:pt>
                <c:pt idx="254">
                  <c:v>2429.4831289973799</c:v>
                </c:pt>
                <c:pt idx="255">
                  <c:v>2442.245244707668</c:v>
                </c:pt>
                <c:pt idx="256">
                  <c:v>2455.007360417957</c:v>
                </c:pt>
                <c:pt idx="257">
                  <c:v>2467.7694761282455</c:v>
                </c:pt>
                <c:pt idx="258">
                  <c:v>2480.531591838534</c:v>
                </c:pt>
                <c:pt idx="259">
                  <c:v>2493.2937075488226</c:v>
                </c:pt>
                <c:pt idx="260">
                  <c:v>2506.0558232591115</c:v>
                </c:pt>
                <c:pt idx="261">
                  <c:v>2518.8179389694001</c:v>
                </c:pt>
                <c:pt idx="262">
                  <c:v>2531.5800546796886</c:v>
                </c:pt>
                <c:pt idx="263">
                  <c:v>2544.3421703899771</c:v>
                </c:pt>
                <c:pt idx="264">
                  <c:v>2557.1042861002661</c:v>
                </c:pt>
                <c:pt idx="265">
                  <c:v>2569.8664018105542</c:v>
                </c:pt>
                <c:pt idx="266">
                  <c:v>2580.0510806319935</c:v>
                </c:pt>
                <c:pt idx="267">
                  <c:v>2587.6583225645822</c:v>
                </c:pt>
                <c:pt idx="268">
                  <c:v>2597.8430013860207</c:v>
                </c:pt>
                <c:pt idx="269">
                  <c:v>2610.6051170963092</c:v>
                </c:pt>
                <c:pt idx="270">
                  <c:v>2620.7892854331199</c:v>
                </c:pt>
                <c:pt idx="271">
                  <c:v>2628.3955063964518</c:v>
                </c:pt>
                <c:pt idx="272">
                  <c:v>2638.579674733262</c:v>
                </c:pt>
                <c:pt idx="273">
                  <c:v>2651.3417904435505</c:v>
                </c:pt>
                <c:pt idx="274">
                  <c:v>2661.526214022675</c:v>
                </c:pt>
                <c:pt idx="275">
                  <c:v>2669.1329454706356</c:v>
                </c:pt>
                <c:pt idx="276">
                  <c:v>2676.7394216762818</c:v>
                </c:pt>
                <c:pt idx="277">
                  <c:v>2684.3456426396137</c:v>
                </c:pt>
                <c:pt idx="278">
                  <c:v>2691.9518636029457</c:v>
                </c:pt>
                <c:pt idx="279">
                  <c:v>2699.558084566278</c:v>
                </c:pt>
                <c:pt idx="280">
                  <c:v>2707.1645607719242</c:v>
                </c:pt>
                <c:pt idx="281">
                  <c:v>2714.7712922198843</c:v>
                </c:pt>
                <c:pt idx="282">
                  <c:v>2724.9557157990093</c:v>
                </c:pt>
                <c:pt idx="283">
                  <c:v>2737.7178315092974</c:v>
                </c:pt>
                <c:pt idx="284">
                  <c:v>2747.9022550884215</c:v>
                </c:pt>
                <c:pt idx="285">
                  <c:v>2755.5089865363825</c:v>
                </c:pt>
                <c:pt idx="286">
                  <c:v>2763.1162284689713</c:v>
                </c:pt>
                <c:pt idx="287">
                  <c:v>2770.7239808861882</c:v>
                </c:pt>
                <c:pt idx="288">
                  <c:v>2778.3317333034056</c:v>
                </c:pt>
                <c:pt idx="289">
                  <c:v>2785.9394857206239</c:v>
                </c:pt>
                <c:pt idx="290">
                  <c:v>2793.5472381378408</c:v>
                </c:pt>
                <c:pt idx="291">
                  <c:v>2801.1549905550473</c:v>
                </c:pt>
                <c:pt idx="292">
                  <c:v>2809.9871403535099</c:v>
                </c:pt>
                <c:pt idx="293">
                  <c:v>2820.0436875332175</c:v>
                </c:pt>
                <c:pt idx="294">
                  <c:v>2831.4530189782149</c:v>
                </c:pt>
                <c:pt idx="295">
                  <c:v>2844.2151346885039</c:v>
                </c:pt>
                <c:pt idx="296">
                  <c:v>2854.3995582676389</c:v>
                </c:pt>
                <c:pt idx="297">
                  <c:v>2862.006289715599</c:v>
                </c:pt>
                <c:pt idx="298">
                  <c:v>2872.1907132947231</c:v>
                </c:pt>
                <c:pt idx="299">
                  <c:v>2884.9528290050121</c:v>
                </c:pt>
                <c:pt idx="300">
                  <c:v>2897.7149447153006</c:v>
                </c:pt>
                <c:pt idx="301">
                  <c:v>2910.4770604255896</c:v>
                </c:pt>
                <c:pt idx="302">
                  <c:v>2923.2391761358772</c:v>
                </c:pt>
                <c:pt idx="303">
                  <c:v>2936.0012918461662</c:v>
                </c:pt>
                <c:pt idx="304">
                  <c:v>2948.7634075564551</c:v>
                </c:pt>
                <c:pt idx="305">
                  <c:v>2961.5255232667441</c:v>
                </c:pt>
                <c:pt idx="306">
                  <c:v>2974.2876389770331</c:v>
                </c:pt>
                <c:pt idx="307">
                  <c:v>2987.0497546873207</c:v>
                </c:pt>
                <c:pt idx="308">
                  <c:v>2999.8118703976093</c:v>
                </c:pt>
                <c:pt idx="309">
                  <c:v>3012.5739861078982</c:v>
                </c:pt>
                <c:pt idx="310">
                  <c:v>3025.3361018181868</c:v>
                </c:pt>
                <c:pt idx="311">
                  <c:v>3038.0982175284748</c:v>
                </c:pt>
                <c:pt idx="312">
                  <c:v>3050.8603332387638</c:v>
                </c:pt>
                <c:pt idx="313">
                  <c:v>3063.6224489490528</c:v>
                </c:pt>
                <c:pt idx="314">
                  <c:v>3076.3845646593409</c:v>
                </c:pt>
                <c:pt idx="315">
                  <c:v>3089.1466803696294</c:v>
                </c:pt>
                <c:pt idx="316">
                  <c:v>3101.9087960799179</c:v>
                </c:pt>
                <c:pt idx="317">
                  <c:v>3114.6709117902064</c:v>
                </c:pt>
                <c:pt idx="318">
                  <c:v>3124.8550801270171</c:v>
                </c:pt>
                <c:pt idx="319">
                  <c:v>3132.4613010903486</c:v>
                </c:pt>
                <c:pt idx="320">
                  <c:v>3142.6454694271592</c:v>
                </c:pt>
                <c:pt idx="321">
                  <c:v>3155.4075851374478</c:v>
                </c:pt>
                <c:pt idx="322">
                  <c:v>3168.1697008477367</c:v>
                </c:pt>
                <c:pt idx="323">
                  <c:v>3180.9318165580253</c:v>
                </c:pt>
                <c:pt idx="324">
                  <c:v>3193.6939322683143</c:v>
                </c:pt>
                <c:pt idx="325">
                  <c:v>3206.4560479786019</c:v>
                </c:pt>
                <c:pt idx="326">
                  <c:v>3219.2181636888909</c:v>
                </c:pt>
                <c:pt idx="327">
                  <c:v>3231.9802793991798</c:v>
                </c:pt>
                <c:pt idx="328">
                  <c:v>3244.7423951094679</c:v>
                </c:pt>
                <c:pt idx="329">
                  <c:v>3257.5045108197569</c:v>
                </c:pt>
                <c:pt idx="330">
                  <c:v>3270.2666265300454</c:v>
                </c:pt>
                <c:pt idx="331">
                  <c:v>3283.0287422403339</c:v>
                </c:pt>
                <c:pt idx="332">
                  <c:v>3293.2136763040876</c:v>
                </c:pt>
                <c:pt idx="333">
                  <c:v>3300.8214287213045</c:v>
                </c:pt>
                <c:pt idx="334">
                  <c:v>3308.4291811385219</c:v>
                </c:pt>
                <c:pt idx="335">
                  <c:v>3316.0369335557489</c:v>
                </c:pt>
                <c:pt idx="336">
                  <c:v>3326.2218676195021</c:v>
                </c:pt>
                <c:pt idx="337">
                  <c:v>3338.9839833297915</c:v>
                </c:pt>
                <c:pt idx="338">
                  <c:v>3351.7460990400796</c:v>
                </c:pt>
                <c:pt idx="339">
                  <c:v>3364.5082147503681</c:v>
                </c:pt>
                <c:pt idx="340">
                  <c:v>3376.3609020951308</c:v>
                </c:pt>
                <c:pt idx="341">
                  <c:v>3387.3041610743785</c:v>
                </c:pt>
                <c:pt idx="342">
                  <c:v>3396.5791562879886</c:v>
                </c:pt>
                <c:pt idx="343">
                  <c:v>3404.1858877359391</c:v>
                </c:pt>
                <c:pt idx="344">
                  <c:v>3411.7926191839092</c:v>
                </c:pt>
                <c:pt idx="345">
                  <c:v>3419.3993506318802</c:v>
                </c:pt>
                <c:pt idx="346">
                  <c:v>3429.5837742110043</c:v>
                </c:pt>
                <c:pt idx="347">
                  <c:v>3442.3458899212937</c:v>
                </c:pt>
                <c:pt idx="348">
                  <c:v>3455.1080056315814</c:v>
                </c:pt>
                <c:pt idx="349">
                  <c:v>3467.8701213418699</c:v>
                </c:pt>
                <c:pt idx="350">
                  <c:v>3480.6322370521593</c:v>
                </c:pt>
                <c:pt idx="351">
                  <c:v>3493.3943527624474</c:v>
                </c:pt>
                <c:pt idx="352">
                  <c:v>3506.1564684727373</c:v>
                </c:pt>
                <c:pt idx="353">
                  <c:v>3518.9185841830249</c:v>
                </c:pt>
                <c:pt idx="354">
                  <c:v>3529.1040287314063</c:v>
                </c:pt>
                <c:pt idx="355">
                  <c:v>3536.7128021178705</c:v>
                </c:pt>
                <c:pt idx="356">
                  <c:v>3544.3215755043348</c:v>
                </c:pt>
                <c:pt idx="357">
                  <c:v>3551.9303488908176</c:v>
                </c:pt>
                <c:pt idx="358">
                  <c:v>3560.7632644162131</c:v>
                </c:pt>
                <c:pt idx="359">
                  <c:v>3570.8203220805381</c:v>
                </c:pt>
                <c:pt idx="360">
                  <c:v>3582.2299087678512</c:v>
                </c:pt>
                <c:pt idx="361">
                  <c:v>3594.9920244781397</c:v>
                </c:pt>
                <c:pt idx="362">
                  <c:v>3607.7541401884282</c:v>
                </c:pt>
                <c:pt idx="363">
                  <c:v>3620.5162558987172</c:v>
                </c:pt>
                <c:pt idx="364">
                  <c:v>3633.2783716090053</c:v>
                </c:pt>
                <c:pt idx="365">
                  <c:v>3646.0404873192938</c:v>
                </c:pt>
                <c:pt idx="366">
                  <c:v>3658.8026030295832</c:v>
                </c:pt>
                <c:pt idx="367">
                  <c:v>3671.5647187398708</c:v>
                </c:pt>
                <c:pt idx="368">
                  <c:v>3684.3268344501589</c:v>
                </c:pt>
                <c:pt idx="369">
                  <c:v>3697.0889501604483</c:v>
                </c:pt>
                <c:pt idx="370">
                  <c:v>3709.8510658707369</c:v>
                </c:pt>
                <c:pt idx="371">
                  <c:v>3722.6131815810245</c:v>
                </c:pt>
                <c:pt idx="372">
                  <c:v>3735.3752972913139</c:v>
                </c:pt>
                <c:pt idx="373">
                  <c:v>3748.1374130016025</c:v>
                </c:pt>
                <c:pt idx="374">
                  <c:v>3760.899528711891</c:v>
                </c:pt>
                <c:pt idx="375">
                  <c:v>3773.6616444221795</c:v>
                </c:pt>
                <c:pt idx="376">
                  <c:v>3786.4237601324685</c:v>
                </c:pt>
                <c:pt idx="377">
                  <c:v>3799.185875842757</c:v>
                </c:pt>
                <c:pt idx="378">
                  <c:v>3811.9479915530455</c:v>
                </c:pt>
                <c:pt idx="379">
                  <c:v>3824.7101072633336</c:v>
                </c:pt>
                <c:pt idx="380">
                  <c:v>3837.4722229736226</c:v>
                </c:pt>
                <c:pt idx="381">
                  <c:v>3850.2343386839116</c:v>
                </c:pt>
                <c:pt idx="382">
                  <c:v>3862.9964543941996</c:v>
                </c:pt>
                <c:pt idx="383">
                  <c:v>3875.7585701044895</c:v>
                </c:pt>
                <c:pt idx="384">
                  <c:v>3887.167901549486</c:v>
                </c:pt>
                <c:pt idx="385">
                  <c:v>3897.2244487291937</c:v>
                </c:pt>
                <c:pt idx="386">
                  <c:v>3908.6337801741929</c:v>
                </c:pt>
                <c:pt idx="387">
                  <c:v>3921.395895884481</c:v>
                </c:pt>
                <c:pt idx="388">
                  <c:v>3934.15801159477</c:v>
                </c:pt>
                <c:pt idx="389">
                  <c:v>3946.920127305058</c:v>
                </c:pt>
                <c:pt idx="390">
                  <c:v>3959.6822430153466</c:v>
                </c:pt>
                <c:pt idx="391">
                  <c:v>3972.444358725636</c:v>
                </c:pt>
                <c:pt idx="392">
                  <c:v>3982.252810375935</c:v>
                </c:pt>
                <c:pt idx="393">
                  <c:v>3989.1075979662446</c:v>
                </c:pt>
                <c:pt idx="394">
                  <c:v>3998.9160496165437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35-4566-AFEC-F268283AFD90}"/>
            </c:ext>
          </c:extLst>
        </c:ser>
        <c:ser>
          <c:idx val="3"/>
          <c:order val="3"/>
          <c:tx>
            <c:strRef>
              <c:f>FL6_WD!$Y$1:$Y$2</c:f>
              <c:strCache>
                <c:ptCount val="2"/>
                <c:pt idx="0">
                  <c:v>RemoveHydro</c:v>
                </c:pt>
                <c:pt idx="1">
                  <c:v>[bar]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FL6_WD!$M$3:$M$13073</c:f>
              <c:numCache>
                <c:formatCode>General</c:formatCode>
                <c:ptCount val="13071"/>
                <c:pt idx="0">
                  <c:v>0</c:v>
                </c:pt>
                <c:pt idx="1">
                  <c:v>14.795924163033481</c:v>
                </c:pt>
                <c:pt idx="2">
                  <c:v>44.387772489100534</c:v>
                </c:pt>
                <c:pt idx="3">
                  <c:v>67.691848326067031</c:v>
                </c:pt>
                <c:pt idx="4">
                  <c:v>82.580988000000005</c:v>
                </c:pt>
                <c:pt idx="5">
                  <c:v>95.342964000000009</c:v>
                </c:pt>
                <c:pt idx="6">
                  <c:v>114.449352</c:v>
                </c:pt>
                <c:pt idx="7">
                  <c:v>152.549352</c:v>
                </c:pt>
                <c:pt idx="8">
                  <c:v>196.97395200000003</c:v>
                </c:pt>
                <c:pt idx="9">
                  <c:v>235.07395200000002</c:v>
                </c:pt>
                <c:pt idx="10">
                  <c:v>273.17395200000004</c:v>
                </c:pt>
                <c:pt idx="11">
                  <c:v>311.27395200000001</c:v>
                </c:pt>
                <c:pt idx="12">
                  <c:v>349.37395200000003</c:v>
                </c:pt>
                <c:pt idx="13">
                  <c:v>387.473952</c:v>
                </c:pt>
                <c:pt idx="14">
                  <c:v>425.57395200000002</c:v>
                </c:pt>
                <c:pt idx="15">
                  <c:v>463.67395200000004</c:v>
                </c:pt>
                <c:pt idx="16">
                  <c:v>497.73535200000003</c:v>
                </c:pt>
                <c:pt idx="17">
                  <c:v>527.758152</c:v>
                </c:pt>
                <c:pt idx="18">
                  <c:v>554.12563799999998</c:v>
                </c:pt>
                <c:pt idx="19">
                  <c:v>576.83780999999999</c:v>
                </c:pt>
                <c:pt idx="20">
                  <c:v>599.55074400000001</c:v>
                </c:pt>
                <c:pt idx="21">
                  <c:v>622.26444000000004</c:v>
                </c:pt>
                <c:pt idx="22">
                  <c:v>644.97813600000006</c:v>
                </c:pt>
                <c:pt idx="23">
                  <c:v>667.69183200000009</c:v>
                </c:pt>
                <c:pt idx="24">
                  <c:v>690.40857600000004</c:v>
                </c:pt>
                <c:pt idx="25">
                  <c:v>713.12836800000002</c:v>
                </c:pt>
                <c:pt idx="26">
                  <c:v>735.84358800000007</c:v>
                </c:pt>
                <c:pt idx="27">
                  <c:v>758.55423600000006</c:v>
                </c:pt>
                <c:pt idx="28">
                  <c:v>781.26640800000007</c:v>
                </c:pt>
                <c:pt idx="29">
                  <c:v>803.9801040000001</c:v>
                </c:pt>
                <c:pt idx="30">
                  <c:v>826.69151399999998</c:v>
                </c:pt>
                <c:pt idx="31">
                  <c:v>849.40063800000007</c:v>
                </c:pt>
                <c:pt idx="32">
                  <c:v>872.10976200000005</c:v>
                </c:pt>
                <c:pt idx="33">
                  <c:v>894.81888600000013</c:v>
                </c:pt>
                <c:pt idx="34">
                  <c:v>925.22344799999712</c:v>
                </c:pt>
                <c:pt idx="35">
                  <c:v>963.32344799999703</c:v>
                </c:pt>
                <c:pt idx="36">
                  <c:v>1001.4234479999971</c:v>
                </c:pt>
                <c:pt idx="37">
                  <c:v>1039.523447999997</c:v>
                </c:pt>
                <c:pt idx="38">
                  <c:v>1077.6234479999971</c:v>
                </c:pt>
                <c:pt idx="39">
                  <c:v>1115.723447999997</c:v>
                </c:pt>
                <c:pt idx="40">
                  <c:v>1153.8234479999971</c:v>
                </c:pt>
                <c:pt idx="41">
                  <c:v>1191.9234479999971</c:v>
                </c:pt>
                <c:pt idx="42">
                  <c:v>1222.3272479999971</c:v>
                </c:pt>
                <c:pt idx="43">
                  <c:v>1245.0348479999971</c:v>
                </c:pt>
                <c:pt idx="44">
                  <c:v>1275.4386479999971</c:v>
                </c:pt>
                <c:pt idx="45">
                  <c:v>1313.538647999997</c:v>
                </c:pt>
                <c:pt idx="46">
                  <c:v>1343.9454959999971</c:v>
                </c:pt>
                <c:pt idx="47">
                  <c:v>1366.6591919999971</c:v>
                </c:pt>
                <c:pt idx="48">
                  <c:v>1393.0274399999971</c:v>
                </c:pt>
                <c:pt idx="49">
                  <c:v>1423.0502399999971</c:v>
                </c:pt>
                <c:pt idx="50">
                  <c:v>1449.4215359999969</c:v>
                </c:pt>
                <c:pt idx="51">
                  <c:v>1472.141327999997</c:v>
                </c:pt>
                <c:pt idx="52">
                  <c:v>1494.8573100000001</c:v>
                </c:pt>
                <c:pt idx="53">
                  <c:v>1517.5694820000001</c:v>
                </c:pt>
                <c:pt idx="54">
                  <c:v>1540.280892</c:v>
                </c:pt>
                <c:pt idx="55">
                  <c:v>1562.9915400000002</c:v>
                </c:pt>
                <c:pt idx="56">
                  <c:v>1585.7044740000031</c:v>
                </c:pt>
                <c:pt idx="57">
                  <c:v>1608.4196940000061</c:v>
                </c:pt>
                <c:pt idx="58">
                  <c:v>1631.1364380000064</c:v>
                </c:pt>
                <c:pt idx="59">
                  <c:v>1653.8547060000033</c:v>
                </c:pt>
                <c:pt idx="60">
                  <c:v>1676.576784000003</c:v>
                </c:pt>
                <c:pt idx="61">
                  <c:v>1699.3026720000032</c:v>
                </c:pt>
                <c:pt idx="62">
                  <c:v>1722.0293220000033</c:v>
                </c:pt>
                <c:pt idx="63">
                  <c:v>1744.7567340000001</c:v>
                </c:pt>
                <c:pt idx="64">
                  <c:v>1767.4780500000002</c:v>
                </c:pt>
                <c:pt idx="65">
                  <c:v>1790.1932700000029</c:v>
                </c:pt>
                <c:pt idx="66">
                  <c:v>1812.9062040000031</c:v>
                </c:pt>
                <c:pt idx="67">
                  <c:v>1835.6168520000031</c:v>
                </c:pt>
                <c:pt idx="68">
                  <c:v>1858.3290240000031</c:v>
                </c:pt>
                <c:pt idx="69">
                  <c:v>1881.0427200000031</c:v>
                </c:pt>
                <c:pt idx="70">
                  <c:v>1903.7579400000031</c:v>
                </c:pt>
                <c:pt idx="71">
                  <c:v>1926.4746840000032</c:v>
                </c:pt>
                <c:pt idx="72">
                  <c:v>1949.189904000003</c:v>
                </c:pt>
                <c:pt idx="73">
                  <c:v>1971.9036000000031</c:v>
                </c:pt>
                <c:pt idx="74">
                  <c:v>1994.6150100000032</c:v>
                </c:pt>
                <c:pt idx="75">
                  <c:v>2017.3241340000031</c:v>
                </c:pt>
                <c:pt idx="76">
                  <c:v>2047.7286960000033</c:v>
                </c:pt>
                <c:pt idx="77">
                  <c:v>2085.8286960000032</c:v>
                </c:pt>
                <c:pt idx="78">
                  <c:v>2116.2431640000032</c:v>
                </c:pt>
                <c:pt idx="79">
                  <c:v>2138.9721000000031</c:v>
                </c:pt>
                <c:pt idx="80">
                  <c:v>2169.3865680000031</c:v>
                </c:pt>
                <c:pt idx="81">
                  <c:v>2207.486568000003</c:v>
                </c:pt>
                <c:pt idx="82">
                  <c:v>2237.9056080000032</c:v>
                </c:pt>
                <c:pt idx="83">
                  <c:v>2260.6436880000033</c:v>
                </c:pt>
                <c:pt idx="84">
                  <c:v>2287.0241280000032</c:v>
                </c:pt>
                <c:pt idx="85">
                  <c:v>2317.0469280000029</c:v>
                </c:pt>
                <c:pt idx="86">
                  <c:v>2351.108328000003</c:v>
                </c:pt>
                <c:pt idx="87">
                  <c:v>2389.2083280000029</c:v>
                </c:pt>
                <c:pt idx="88">
                  <c:v>2427.3083280000033</c:v>
                </c:pt>
                <c:pt idx="89">
                  <c:v>2465.4083280000032</c:v>
                </c:pt>
                <c:pt idx="90">
                  <c:v>2503.5083280000031</c:v>
                </c:pt>
                <c:pt idx="91">
                  <c:v>2541.608328000003</c:v>
                </c:pt>
                <c:pt idx="92">
                  <c:v>2572.015938</c:v>
                </c:pt>
                <c:pt idx="93">
                  <c:v>2594.7311580000001</c:v>
                </c:pt>
                <c:pt idx="94">
                  <c:v>2617.4509499999972</c:v>
                </c:pt>
                <c:pt idx="95">
                  <c:v>2640.1753140000028</c:v>
                </c:pt>
                <c:pt idx="96">
                  <c:v>2670.5874960000028</c:v>
                </c:pt>
                <c:pt idx="97">
                  <c:v>2708.6874960000032</c:v>
                </c:pt>
                <c:pt idx="98">
                  <c:v>2746.7874960000031</c:v>
                </c:pt>
                <c:pt idx="99">
                  <c:v>2784.887496000003</c:v>
                </c:pt>
                <c:pt idx="100">
                  <c:v>2815.2912960000031</c:v>
                </c:pt>
                <c:pt idx="101">
                  <c:v>2837.9988960000032</c:v>
                </c:pt>
                <c:pt idx="102">
                  <c:v>2860.720974000003</c:v>
                </c:pt>
                <c:pt idx="103">
                  <c:v>2883.4575300000065</c:v>
                </c:pt>
                <c:pt idx="104">
                  <c:v>2906.183418000006</c:v>
                </c:pt>
                <c:pt idx="105">
                  <c:v>2928.8986380000092</c:v>
                </c:pt>
                <c:pt idx="106">
                  <c:v>2959.3062480000126</c:v>
                </c:pt>
                <c:pt idx="107">
                  <c:v>2997.4062480000125</c:v>
                </c:pt>
                <c:pt idx="108">
                  <c:v>3035.5062480000124</c:v>
                </c:pt>
                <c:pt idx="109">
                  <c:v>3073.6062480000001</c:v>
                </c:pt>
                <c:pt idx="110">
                  <c:v>3111.7062480000004</c:v>
                </c:pt>
                <c:pt idx="111">
                  <c:v>3149.8062480000003</c:v>
                </c:pt>
                <c:pt idx="112">
                  <c:v>3187.9062480000002</c:v>
                </c:pt>
                <c:pt idx="113">
                  <c:v>3226.0062480000001</c:v>
                </c:pt>
                <c:pt idx="114">
                  <c:v>3256.4100480000002</c:v>
                </c:pt>
                <c:pt idx="115">
                  <c:v>3279.1176480000004</c:v>
                </c:pt>
                <c:pt idx="116">
                  <c:v>3307.5455820000002</c:v>
                </c:pt>
                <c:pt idx="117">
                  <c:v>3341.6938500000001</c:v>
                </c:pt>
                <c:pt idx="118">
                  <c:v>3377.8179840000003</c:v>
                </c:pt>
                <c:pt idx="119">
                  <c:v>3415.9179840000002</c:v>
                </c:pt>
                <c:pt idx="120">
                  <c:v>3454.0179840000001</c:v>
                </c:pt>
                <c:pt idx="121">
                  <c:v>3492.117984</c:v>
                </c:pt>
                <c:pt idx="122">
                  <c:v>3522.521784</c:v>
                </c:pt>
                <c:pt idx="123">
                  <c:v>3545.2293840000002</c:v>
                </c:pt>
                <c:pt idx="124">
                  <c:v>3575.6331840000003</c:v>
                </c:pt>
                <c:pt idx="125">
                  <c:v>3613.7331840000002</c:v>
                </c:pt>
                <c:pt idx="126">
                  <c:v>3651.8331840000001</c:v>
                </c:pt>
                <c:pt idx="127">
                  <c:v>3689.933184</c:v>
                </c:pt>
                <c:pt idx="128">
                  <c:v>3728.0331840000003</c:v>
                </c:pt>
                <c:pt idx="129">
                  <c:v>3766.1331840000003</c:v>
                </c:pt>
                <c:pt idx="130">
                  <c:v>3804.2331840000002</c:v>
                </c:pt>
                <c:pt idx="131">
                  <c:v>3842.3331840000001</c:v>
                </c:pt>
                <c:pt idx="132">
                  <c:v>3880.433184</c:v>
                </c:pt>
                <c:pt idx="133">
                  <c:v>3918.5331840000003</c:v>
                </c:pt>
                <c:pt idx="134">
                  <c:v>3956.6331840000003</c:v>
                </c:pt>
                <c:pt idx="135">
                  <c:v>3994.7331840000002</c:v>
                </c:pt>
                <c:pt idx="136">
                  <c:v>4032.8331840000001</c:v>
                </c:pt>
                <c:pt idx="137">
                  <c:v>4070.933184</c:v>
                </c:pt>
                <c:pt idx="138">
                  <c:v>4109.0331839999999</c:v>
                </c:pt>
                <c:pt idx="139">
                  <c:v>4147.1331840000003</c:v>
                </c:pt>
                <c:pt idx="140">
                  <c:v>4185.2331840000006</c:v>
                </c:pt>
                <c:pt idx="141">
                  <c:v>4223.3331840000001</c:v>
                </c:pt>
                <c:pt idx="142">
                  <c:v>4261.4331840000004</c:v>
                </c:pt>
                <c:pt idx="143">
                  <c:v>4299.5331839999999</c:v>
                </c:pt>
                <c:pt idx="144">
                  <c:v>4329.9423180000003</c:v>
                </c:pt>
                <c:pt idx="145">
                  <c:v>4352.660586</c:v>
                </c:pt>
                <c:pt idx="146">
                  <c:v>4375.3773300000003</c:v>
                </c:pt>
                <c:pt idx="147">
                  <c:v>4398.0925500000003</c:v>
                </c:pt>
                <c:pt idx="148">
                  <c:v>4420.8054840000304</c:v>
                </c:pt>
                <c:pt idx="149">
                  <c:v>4443.5161320000307</c:v>
                </c:pt>
                <c:pt idx="150">
                  <c:v>4466.2435440000309</c:v>
                </c:pt>
                <c:pt idx="151">
                  <c:v>4488.987720000031</c:v>
                </c:pt>
                <c:pt idx="152">
                  <c:v>4511.7158940000008</c:v>
                </c:pt>
                <c:pt idx="153">
                  <c:v>4534.4280660000004</c:v>
                </c:pt>
                <c:pt idx="154">
                  <c:v>4564.8341520000004</c:v>
                </c:pt>
                <c:pt idx="155">
                  <c:v>4602.9341519999998</c:v>
                </c:pt>
                <c:pt idx="156">
                  <c:v>4633.4118660000004</c:v>
                </c:pt>
                <c:pt idx="157">
                  <c:v>4656.2672940000002</c:v>
                </c:pt>
                <c:pt idx="158">
                  <c:v>4686.7450079999999</c:v>
                </c:pt>
                <c:pt idx="159">
                  <c:v>4724.8450080000002</c:v>
                </c:pt>
                <c:pt idx="160">
                  <c:v>4762.9450079999997</c:v>
                </c:pt>
                <c:pt idx="161">
                  <c:v>4801.0450080000001</c:v>
                </c:pt>
                <c:pt idx="162">
                  <c:v>4831.451094</c:v>
                </c:pt>
                <c:pt idx="163">
                  <c:v>4854.1632660000005</c:v>
                </c:pt>
                <c:pt idx="164">
                  <c:v>4884.5693520000004</c:v>
                </c:pt>
                <c:pt idx="165">
                  <c:v>4922.6693519999999</c:v>
                </c:pt>
                <c:pt idx="166">
                  <c:v>4953.0777239999998</c:v>
                </c:pt>
                <c:pt idx="167">
                  <c:v>4975.7944680000001</c:v>
                </c:pt>
                <c:pt idx="168">
                  <c:v>4998.5134979999993</c:v>
                </c:pt>
                <c:pt idx="169">
                  <c:v>5021.2348140000004</c:v>
                </c:pt>
                <c:pt idx="170">
                  <c:v>5043.9607020000003</c:v>
                </c:pt>
                <c:pt idx="171">
                  <c:v>5066.6911620000001</c:v>
                </c:pt>
                <c:pt idx="172">
                  <c:v>5089.4246700000303</c:v>
                </c:pt>
                <c:pt idx="173">
                  <c:v>5112.1612260000311</c:v>
                </c:pt>
                <c:pt idx="174">
                  <c:v>5142.5795040000312</c:v>
                </c:pt>
                <c:pt idx="175">
                  <c:v>5180.6795040000316</c:v>
                </c:pt>
                <c:pt idx="176">
                  <c:v>5211.0970200000311</c:v>
                </c:pt>
                <c:pt idx="177">
                  <c:v>5233.8320520000307</c:v>
                </c:pt>
                <c:pt idx="178">
                  <c:v>5256.5632740000301</c:v>
                </c:pt>
                <c:pt idx="179">
                  <c:v>5279.2906860000312</c:v>
                </c:pt>
                <c:pt idx="180">
                  <c:v>5302.01505000003</c:v>
                </c:pt>
                <c:pt idx="181">
                  <c:v>5324.736366000031</c:v>
                </c:pt>
                <c:pt idx="182">
                  <c:v>5347.453872000031</c:v>
                </c:pt>
                <c:pt idx="183">
                  <c:v>5370.1675680000317</c:v>
                </c:pt>
                <c:pt idx="184">
                  <c:v>5392.8957420000306</c:v>
                </c:pt>
                <c:pt idx="185">
                  <c:v>5415.6383940000305</c:v>
                </c:pt>
                <c:pt idx="186">
                  <c:v>5438.365044000031</c:v>
                </c:pt>
                <c:pt idx="187">
                  <c:v>5461.0756920000304</c:v>
                </c:pt>
                <c:pt idx="188">
                  <c:v>5483.7878640000299</c:v>
                </c:pt>
                <c:pt idx="189">
                  <c:v>5506.5015600000306</c:v>
                </c:pt>
                <c:pt idx="190">
                  <c:v>5529.2183040000309</c:v>
                </c:pt>
                <c:pt idx="191">
                  <c:v>5551.9380960000308</c:v>
                </c:pt>
                <c:pt idx="192">
                  <c:v>5574.6556020000307</c:v>
                </c:pt>
                <c:pt idx="193">
                  <c:v>5597.3708220000608</c:v>
                </c:pt>
                <c:pt idx="194">
                  <c:v>5620.1561460000612</c:v>
                </c:pt>
                <c:pt idx="195">
                  <c:v>5643.011574000062</c:v>
                </c:pt>
                <c:pt idx="196">
                  <c:v>5665.8014700000613</c:v>
                </c:pt>
                <c:pt idx="197">
                  <c:v>5688.525834000061</c:v>
                </c:pt>
                <c:pt idx="198">
                  <c:v>5711.2517220000609</c:v>
                </c:pt>
                <c:pt idx="199">
                  <c:v>5733.9791340000611</c:v>
                </c:pt>
                <c:pt idx="200">
                  <c:v>5756.7088320000303</c:v>
                </c:pt>
                <c:pt idx="201">
                  <c:v>5779.4408160000312</c:v>
                </c:pt>
                <c:pt idx="202">
                  <c:v>5802.1674660000608</c:v>
                </c:pt>
                <c:pt idx="203">
                  <c:v>5824.8887820000609</c:v>
                </c:pt>
                <c:pt idx="204">
                  <c:v>5847.6078120000611</c:v>
                </c:pt>
                <c:pt idx="205">
                  <c:v>5870.3245560000614</c:v>
                </c:pt>
                <c:pt idx="206">
                  <c:v>5893.0397760000606</c:v>
                </c:pt>
                <c:pt idx="207">
                  <c:v>5915.7534720000613</c:v>
                </c:pt>
                <c:pt idx="208">
                  <c:v>5938.4641200000615</c:v>
                </c:pt>
                <c:pt idx="209">
                  <c:v>5961.1717200000621</c:v>
                </c:pt>
                <c:pt idx="210">
                  <c:v>5987.5369200000614</c:v>
                </c:pt>
                <c:pt idx="211">
                  <c:v>6017.559720000062</c:v>
                </c:pt>
                <c:pt idx="212">
                  <c:v>6051.6211200000616</c:v>
                </c:pt>
                <c:pt idx="213">
                  <c:v>6089.721120000062</c:v>
                </c:pt>
                <c:pt idx="214">
                  <c:v>6120.124920000062</c:v>
                </c:pt>
                <c:pt idx="215">
                  <c:v>6142.8325200000618</c:v>
                </c:pt>
                <c:pt idx="216">
                  <c:v>6165.5408820000612</c:v>
                </c:pt>
                <c:pt idx="217">
                  <c:v>6188.2500060000302</c:v>
                </c:pt>
                <c:pt idx="218">
                  <c:v>6210.9598920000308</c:v>
                </c:pt>
                <c:pt idx="219">
                  <c:v>6233.670540000031</c:v>
                </c:pt>
                <c:pt idx="220">
                  <c:v>6256.38195000003</c:v>
                </c:pt>
                <c:pt idx="221">
                  <c:v>6279.0941220000313</c:v>
                </c:pt>
                <c:pt idx="222">
                  <c:v>6309.5002080000313</c:v>
                </c:pt>
                <c:pt idx="223">
                  <c:v>6347.6002080000308</c:v>
                </c:pt>
                <c:pt idx="224">
                  <c:v>6385.7002080000311</c:v>
                </c:pt>
                <c:pt idx="225">
                  <c:v>6423.8002080000315</c:v>
                </c:pt>
                <c:pt idx="226">
                  <c:v>6461.9002080000309</c:v>
                </c:pt>
                <c:pt idx="227">
                  <c:v>6500.0002080000313</c:v>
                </c:pt>
                <c:pt idx="228">
                  <c:v>6530.4070560000309</c:v>
                </c:pt>
                <c:pt idx="229">
                  <c:v>6553.1207520000307</c:v>
                </c:pt>
                <c:pt idx="230">
                  <c:v>6575.8420680000318</c:v>
                </c:pt>
                <c:pt idx="231">
                  <c:v>6598.5710040000313</c:v>
                </c:pt>
                <c:pt idx="232">
                  <c:v>6621.3075600000302</c:v>
                </c:pt>
                <c:pt idx="233">
                  <c:v>6644.0517360000313</c:v>
                </c:pt>
                <c:pt idx="234">
                  <c:v>6666.80124600003</c:v>
                </c:pt>
                <c:pt idx="235">
                  <c:v>6689.556090000031</c:v>
                </c:pt>
                <c:pt idx="236">
                  <c:v>6712.302552000031</c:v>
                </c:pt>
                <c:pt idx="237">
                  <c:v>6735.0406320000302</c:v>
                </c:pt>
                <c:pt idx="238">
                  <c:v>6761.5140360000314</c:v>
                </c:pt>
                <c:pt idx="239">
                  <c:v>6784.2384000000302</c:v>
                </c:pt>
                <c:pt idx="240">
                  <c:v>6798.4192200000307</c:v>
                </c:pt>
                <c:pt idx="241">
                  <c:v>6811.5408600000301</c:v>
                </c:pt>
                <c:pt idx="242">
                  <c:v>6830.8270800000309</c:v>
                </c:pt>
                <c:pt idx="243">
                  <c:v>6868.9270800000313</c:v>
                </c:pt>
                <c:pt idx="244">
                  <c:v>6909.3130800000308</c:v>
                </c:pt>
                <c:pt idx="245">
                  <c:v>6939.3358800000306</c:v>
                </c:pt>
                <c:pt idx="246">
                  <c:v>6973.3972800000311</c:v>
                </c:pt>
                <c:pt idx="247">
                  <c:v>7011.4972800000305</c:v>
                </c:pt>
                <c:pt idx="248">
                  <c:v>7049.5972800000309</c:v>
                </c:pt>
                <c:pt idx="249">
                  <c:v>7087.6972800000312</c:v>
                </c:pt>
                <c:pt idx="250">
                  <c:v>7119.4917300000307</c:v>
                </c:pt>
                <c:pt idx="251">
                  <c:v>7144.9806300000309</c:v>
                </c:pt>
                <c:pt idx="252">
                  <c:v>7176.7750800000313</c:v>
                </c:pt>
                <c:pt idx="253">
                  <c:v>7214.8750800000307</c:v>
                </c:pt>
                <c:pt idx="254">
                  <c:v>7252.9750800000311</c:v>
                </c:pt>
                <c:pt idx="255">
                  <c:v>7291.0750800000305</c:v>
                </c:pt>
                <c:pt idx="256">
                  <c:v>7329.1750800000309</c:v>
                </c:pt>
                <c:pt idx="257">
                  <c:v>7367.2750800000313</c:v>
                </c:pt>
                <c:pt idx="258">
                  <c:v>7405.3750800000307</c:v>
                </c:pt>
                <c:pt idx="259">
                  <c:v>7443.4750800000311</c:v>
                </c:pt>
                <c:pt idx="260">
                  <c:v>7481.5750800000305</c:v>
                </c:pt>
                <c:pt idx="261">
                  <c:v>7519.6750800000309</c:v>
                </c:pt>
                <c:pt idx="262">
                  <c:v>7557.7750800000313</c:v>
                </c:pt>
                <c:pt idx="263">
                  <c:v>7595.8750800000307</c:v>
                </c:pt>
                <c:pt idx="264">
                  <c:v>7633.9750800000311</c:v>
                </c:pt>
                <c:pt idx="265">
                  <c:v>7672.0750800000305</c:v>
                </c:pt>
                <c:pt idx="266">
                  <c:v>7702.4804040000317</c:v>
                </c:pt>
                <c:pt idx="267">
                  <c:v>7725.191052000031</c:v>
                </c:pt>
                <c:pt idx="268">
                  <c:v>7755.5963760000313</c:v>
                </c:pt>
                <c:pt idx="269">
                  <c:v>7793.6963760000308</c:v>
                </c:pt>
                <c:pt idx="270">
                  <c:v>7824.1001760000308</c:v>
                </c:pt>
                <c:pt idx="271">
                  <c:v>7846.8077760000315</c:v>
                </c:pt>
                <c:pt idx="272">
                  <c:v>7877.2115760000315</c:v>
                </c:pt>
                <c:pt idx="273">
                  <c:v>7915.311576000031</c:v>
                </c:pt>
                <c:pt idx="274">
                  <c:v>7945.7161380000307</c:v>
                </c:pt>
                <c:pt idx="275">
                  <c:v>7968.4252620000307</c:v>
                </c:pt>
                <c:pt idx="276">
                  <c:v>7991.133624000031</c:v>
                </c:pt>
                <c:pt idx="277">
                  <c:v>8013.8412240000307</c:v>
                </c:pt>
                <c:pt idx="278">
                  <c:v>8036.5488240000304</c:v>
                </c:pt>
                <c:pt idx="279">
                  <c:v>8059.2564240000311</c:v>
                </c:pt>
                <c:pt idx="280">
                  <c:v>8081.9647860000314</c:v>
                </c:pt>
                <c:pt idx="281">
                  <c:v>8104.6739100000304</c:v>
                </c:pt>
                <c:pt idx="282">
                  <c:v>8135.0784720000311</c:v>
                </c:pt>
                <c:pt idx="283">
                  <c:v>8173.1784720000314</c:v>
                </c:pt>
                <c:pt idx="284">
                  <c:v>8203.5830340000302</c:v>
                </c:pt>
                <c:pt idx="285">
                  <c:v>8226.2921580000311</c:v>
                </c:pt>
                <c:pt idx="286">
                  <c:v>8249.0028060000313</c:v>
                </c:pt>
                <c:pt idx="287">
                  <c:v>8271.7149780000309</c:v>
                </c:pt>
                <c:pt idx="288">
                  <c:v>8294.4271500000305</c:v>
                </c:pt>
                <c:pt idx="289">
                  <c:v>8317.1393220000318</c:v>
                </c:pt>
                <c:pt idx="290">
                  <c:v>8339.8514940000314</c:v>
                </c:pt>
                <c:pt idx="291">
                  <c:v>8362.563666</c:v>
                </c:pt>
                <c:pt idx="292">
                  <c:v>8388.931152000001</c:v>
                </c:pt>
                <c:pt idx="293">
                  <c:v>8418.9539520000017</c:v>
                </c:pt>
                <c:pt idx="294">
                  <c:v>8453.0153520000003</c:v>
                </c:pt>
                <c:pt idx="295">
                  <c:v>8491.1153520000007</c:v>
                </c:pt>
                <c:pt idx="296">
                  <c:v>8521.5199140000313</c:v>
                </c:pt>
                <c:pt idx="297">
                  <c:v>8544.2290380000304</c:v>
                </c:pt>
                <c:pt idx="298">
                  <c:v>8574.6336000000301</c:v>
                </c:pt>
                <c:pt idx="299">
                  <c:v>8612.7336000000305</c:v>
                </c:pt>
                <c:pt idx="300">
                  <c:v>8650.8336000000309</c:v>
                </c:pt>
                <c:pt idx="301">
                  <c:v>8688.9336000000312</c:v>
                </c:pt>
                <c:pt idx="302">
                  <c:v>8727.0336000000298</c:v>
                </c:pt>
                <c:pt idx="303">
                  <c:v>8765.1336000000301</c:v>
                </c:pt>
                <c:pt idx="304">
                  <c:v>8803.2336000000305</c:v>
                </c:pt>
                <c:pt idx="305">
                  <c:v>8841.3336000000309</c:v>
                </c:pt>
                <c:pt idx="306">
                  <c:v>8879.4336000000312</c:v>
                </c:pt>
                <c:pt idx="307">
                  <c:v>8917.5336000000298</c:v>
                </c:pt>
                <c:pt idx="308">
                  <c:v>8955.6336000000301</c:v>
                </c:pt>
                <c:pt idx="309">
                  <c:v>8993.7336000000305</c:v>
                </c:pt>
                <c:pt idx="310">
                  <c:v>9031.8336000000309</c:v>
                </c:pt>
                <c:pt idx="311">
                  <c:v>9069.9336000000312</c:v>
                </c:pt>
                <c:pt idx="312">
                  <c:v>9108.0336000000298</c:v>
                </c:pt>
                <c:pt idx="313">
                  <c:v>9146.1336000000301</c:v>
                </c:pt>
                <c:pt idx="314">
                  <c:v>9184.2336000000305</c:v>
                </c:pt>
                <c:pt idx="315">
                  <c:v>9222.3336000000309</c:v>
                </c:pt>
                <c:pt idx="316">
                  <c:v>9260.4336000000312</c:v>
                </c:pt>
                <c:pt idx="317">
                  <c:v>9298.5336000000298</c:v>
                </c:pt>
                <c:pt idx="318">
                  <c:v>9328.9374000000298</c:v>
                </c:pt>
                <c:pt idx="319">
                  <c:v>9351.6450000000295</c:v>
                </c:pt>
                <c:pt idx="320">
                  <c:v>9382.0488000000296</c:v>
                </c:pt>
                <c:pt idx="321">
                  <c:v>9420.14880000003</c:v>
                </c:pt>
                <c:pt idx="322">
                  <c:v>9458.2488000000303</c:v>
                </c:pt>
                <c:pt idx="323">
                  <c:v>9496.3488000000307</c:v>
                </c:pt>
                <c:pt idx="324">
                  <c:v>9534.448800000031</c:v>
                </c:pt>
                <c:pt idx="325">
                  <c:v>9572.5488000000296</c:v>
                </c:pt>
                <c:pt idx="326">
                  <c:v>9610.64880000003</c:v>
                </c:pt>
                <c:pt idx="327">
                  <c:v>9648.7488000000303</c:v>
                </c:pt>
                <c:pt idx="328">
                  <c:v>9686.8488000000307</c:v>
                </c:pt>
                <c:pt idx="329">
                  <c:v>9724.948800000031</c:v>
                </c:pt>
                <c:pt idx="330">
                  <c:v>9763.0488000000296</c:v>
                </c:pt>
                <c:pt idx="331">
                  <c:v>9801.14880000003</c:v>
                </c:pt>
                <c:pt idx="332">
                  <c:v>9831.5548860000308</c:v>
                </c:pt>
                <c:pt idx="333">
                  <c:v>9854.2670580000304</c:v>
                </c:pt>
                <c:pt idx="334">
                  <c:v>9876.9792300000317</c:v>
                </c:pt>
                <c:pt idx="335">
                  <c:v>9899.6914020000622</c:v>
                </c:pt>
                <c:pt idx="336">
                  <c:v>9930.0974880000613</c:v>
                </c:pt>
                <c:pt idx="337">
                  <c:v>9968.1974880000616</c:v>
                </c:pt>
                <c:pt idx="338">
                  <c:v>10006.297488000062</c:v>
                </c:pt>
                <c:pt idx="339">
                  <c:v>10044.397488000062</c:v>
                </c:pt>
                <c:pt idx="340">
                  <c:v>10079.78248200003</c:v>
                </c:pt>
                <c:pt idx="341">
                  <c:v>10112.45247</c:v>
                </c:pt>
                <c:pt idx="342">
                  <c:v>10140.142026000001</c:v>
                </c:pt>
                <c:pt idx="343">
                  <c:v>10162.851149999969</c:v>
                </c:pt>
                <c:pt idx="344">
                  <c:v>10185.560273999999</c:v>
                </c:pt>
                <c:pt idx="345">
                  <c:v>10208.269398000029</c:v>
                </c:pt>
                <c:pt idx="346">
                  <c:v>10238.673960000031</c:v>
                </c:pt>
                <c:pt idx="347">
                  <c:v>10276.773960000031</c:v>
                </c:pt>
                <c:pt idx="348">
                  <c:v>10314.87396000003</c:v>
                </c:pt>
                <c:pt idx="349">
                  <c:v>10352.97396000003</c:v>
                </c:pt>
                <c:pt idx="350">
                  <c:v>10391.073960000031</c:v>
                </c:pt>
                <c:pt idx="351">
                  <c:v>10429.173960000031</c:v>
                </c:pt>
                <c:pt idx="352">
                  <c:v>10467.273960000031</c:v>
                </c:pt>
                <c:pt idx="353">
                  <c:v>10505.37396000003</c:v>
                </c:pt>
                <c:pt idx="354">
                  <c:v>10535.781570000032</c:v>
                </c:pt>
                <c:pt idx="355">
                  <c:v>10558.496790000001</c:v>
                </c:pt>
                <c:pt idx="356">
                  <c:v>10581.21200999997</c:v>
                </c:pt>
                <c:pt idx="357">
                  <c:v>10603.927229999999</c:v>
                </c:pt>
                <c:pt idx="358">
                  <c:v>10630.29700199997</c:v>
                </c:pt>
                <c:pt idx="359">
                  <c:v>10660.321325999939</c:v>
                </c:pt>
                <c:pt idx="360">
                  <c:v>10694.383487999939</c:v>
                </c:pt>
                <c:pt idx="361">
                  <c:v>10732.48348799994</c:v>
                </c:pt>
                <c:pt idx="362">
                  <c:v>10770.58348799994</c:v>
                </c:pt>
                <c:pt idx="363">
                  <c:v>10808.683487999941</c:v>
                </c:pt>
                <c:pt idx="364">
                  <c:v>10846.783487999939</c:v>
                </c:pt>
                <c:pt idx="365">
                  <c:v>10884.883487999939</c:v>
                </c:pt>
                <c:pt idx="366">
                  <c:v>10922.98348799994</c:v>
                </c:pt>
                <c:pt idx="367">
                  <c:v>10961.08348799994</c:v>
                </c:pt>
                <c:pt idx="368">
                  <c:v>10999.183487999941</c:v>
                </c:pt>
                <c:pt idx="369">
                  <c:v>11037.283487999939</c:v>
                </c:pt>
                <c:pt idx="370">
                  <c:v>11075.383487999939</c:v>
                </c:pt>
                <c:pt idx="371">
                  <c:v>11113.48348799994</c:v>
                </c:pt>
                <c:pt idx="372">
                  <c:v>11151.58348799994</c:v>
                </c:pt>
                <c:pt idx="373">
                  <c:v>11189.683487999941</c:v>
                </c:pt>
                <c:pt idx="374">
                  <c:v>11227.783487999939</c:v>
                </c:pt>
                <c:pt idx="375">
                  <c:v>11265.883487999939</c:v>
                </c:pt>
                <c:pt idx="376">
                  <c:v>11303.98348799994</c:v>
                </c:pt>
                <c:pt idx="377">
                  <c:v>11342.08348799994</c:v>
                </c:pt>
                <c:pt idx="378">
                  <c:v>11380.183487999941</c:v>
                </c:pt>
                <c:pt idx="379">
                  <c:v>11418.283487999939</c:v>
                </c:pt>
                <c:pt idx="380">
                  <c:v>11456.383487999939</c:v>
                </c:pt>
                <c:pt idx="381">
                  <c:v>11494.48348799994</c:v>
                </c:pt>
                <c:pt idx="382">
                  <c:v>11532.58348799994</c:v>
                </c:pt>
                <c:pt idx="383">
                  <c:v>11570.683487999941</c:v>
                </c:pt>
                <c:pt idx="384">
                  <c:v>11604.744887999939</c:v>
                </c:pt>
                <c:pt idx="385">
                  <c:v>11634.76768799994</c:v>
                </c:pt>
                <c:pt idx="386">
                  <c:v>11668.82908799994</c:v>
                </c:pt>
                <c:pt idx="387">
                  <c:v>11706.929087999941</c:v>
                </c:pt>
                <c:pt idx="388">
                  <c:v>11745.029087999939</c:v>
                </c:pt>
                <c:pt idx="389">
                  <c:v>11783.12908799994</c:v>
                </c:pt>
                <c:pt idx="390">
                  <c:v>11821.22908799994</c:v>
                </c:pt>
                <c:pt idx="391">
                  <c:v>11859.32908799994</c:v>
                </c:pt>
                <c:pt idx="392">
                  <c:v>11888.61122399994</c:v>
                </c:pt>
                <c:pt idx="393">
                  <c:v>11909.075495999939</c:v>
                </c:pt>
                <c:pt idx="394">
                  <c:v>11938.357631999939</c:v>
                </c:pt>
              </c:numCache>
            </c:numRef>
          </c:xVal>
          <c:yVal>
            <c:numRef>
              <c:f>FL6_WD!$Y$3:$Y$13073</c:f>
              <c:numCache>
                <c:formatCode>General</c:formatCode>
                <c:ptCount val="13071"/>
                <c:pt idx="0">
                  <c:v>120.674378155968</c:v>
                </c:pt>
                <c:pt idx="1">
                  <c:v>120.67554290294269</c:v>
                </c:pt>
                <c:pt idx="2">
                  <c:v>120.65912870716801</c:v>
                </c:pt>
                <c:pt idx="3">
                  <c:v>120.66555974026404</c:v>
                </c:pt>
                <c:pt idx="4">
                  <c:v>120.67100345294857</c:v>
                </c:pt>
                <c:pt idx="5">
                  <c:v>120.68432384647535</c:v>
                </c:pt>
                <c:pt idx="6">
                  <c:v>120.7049268684341</c:v>
                </c:pt>
                <c:pt idx="7">
                  <c:v>120.70334600890851</c:v>
                </c:pt>
                <c:pt idx="8">
                  <c:v>120.7801036011283</c:v>
                </c:pt>
                <c:pt idx="9">
                  <c:v>120.85230872456641</c:v>
                </c:pt>
                <c:pt idx="10">
                  <c:v>120.90258310737026</c:v>
                </c:pt>
                <c:pt idx="11">
                  <c:v>120.93448088774016</c:v>
                </c:pt>
                <c:pt idx="12">
                  <c:v>120.97514608454017</c:v>
                </c:pt>
                <c:pt idx="13">
                  <c:v>129.78969580437831</c:v>
                </c:pt>
                <c:pt idx="14">
                  <c:v>142.55181151466695</c:v>
                </c:pt>
                <c:pt idx="15">
                  <c:v>155.31392722495553</c:v>
                </c:pt>
                <c:pt idx="16">
                  <c:v>166.72325866995354</c:v>
                </c:pt>
                <c:pt idx="17">
                  <c:v>176.77980584966096</c:v>
                </c:pt>
                <c:pt idx="18">
                  <c:v>185.61195564812331</c:v>
                </c:pt>
                <c:pt idx="19">
                  <c:v>193.21970806534057</c:v>
                </c:pt>
                <c:pt idx="20">
                  <c:v>200.82771572487201</c:v>
                </c:pt>
                <c:pt idx="21">
                  <c:v>208.43597862671771</c:v>
                </c:pt>
                <c:pt idx="22">
                  <c:v>216.04424152856336</c:v>
                </c:pt>
                <c:pt idx="23">
                  <c:v>223.65250443040901</c:v>
                </c:pt>
                <c:pt idx="24">
                  <c:v>231.26178830151144</c:v>
                </c:pt>
                <c:pt idx="25">
                  <c:v>238.87209314187075</c:v>
                </c:pt>
                <c:pt idx="26">
                  <c:v>246.48086652834482</c:v>
                </c:pt>
                <c:pt idx="27">
                  <c:v>254.08810846093368</c:v>
                </c:pt>
                <c:pt idx="28">
                  <c:v>261.69586087815094</c:v>
                </c:pt>
                <c:pt idx="29">
                  <c:v>269.30412377999659</c:v>
                </c:pt>
                <c:pt idx="30">
                  <c:v>276.91162095489966</c:v>
                </c:pt>
                <c:pt idx="31">
                  <c:v>284.5183524028601</c:v>
                </c:pt>
                <c:pt idx="32">
                  <c:v>292.12508385082043</c:v>
                </c:pt>
                <c:pt idx="33">
                  <c:v>299.73181529878093</c:v>
                </c:pt>
                <c:pt idx="34">
                  <c:v>309.91623887790439</c:v>
                </c:pt>
                <c:pt idx="35">
                  <c:v>322.67835458819297</c:v>
                </c:pt>
                <c:pt idx="36">
                  <c:v>335.44047029848167</c:v>
                </c:pt>
                <c:pt idx="37">
                  <c:v>348.20258600877014</c:v>
                </c:pt>
                <c:pt idx="38">
                  <c:v>360.96470171905884</c:v>
                </c:pt>
                <c:pt idx="39">
                  <c:v>373.72681742934742</c:v>
                </c:pt>
                <c:pt idx="40">
                  <c:v>386.48893313963612</c:v>
                </c:pt>
                <c:pt idx="41">
                  <c:v>399.25104884992464</c:v>
                </c:pt>
                <c:pt idx="42">
                  <c:v>409.43521718673497</c:v>
                </c:pt>
                <c:pt idx="43">
                  <c:v>417.04143815006705</c:v>
                </c:pt>
                <c:pt idx="44">
                  <c:v>427.22560648687733</c:v>
                </c:pt>
                <c:pt idx="45">
                  <c:v>439.98772219716591</c:v>
                </c:pt>
                <c:pt idx="46">
                  <c:v>450.17291150323297</c:v>
                </c:pt>
                <c:pt idx="47">
                  <c:v>457.78117440507867</c:v>
                </c:pt>
                <c:pt idx="48">
                  <c:v>466.61357944585524</c:v>
                </c:pt>
                <c:pt idx="49">
                  <c:v>476.67012662556266</c:v>
                </c:pt>
                <c:pt idx="50">
                  <c:v>485.50355263559601</c:v>
                </c:pt>
                <c:pt idx="51">
                  <c:v>493.11385747595529</c:v>
                </c:pt>
                <c:pt idx="52">
                  <c:v>500.72288610474459</c:v>
                </c:pt>
                <c:pt idx="53">
                  <c:v>508.33063852196193</c:v>
                </c:pt>
                <c:pt idx="54">
                  <c:v>515.93813569686483</c:v>
                </c:pt>
                <c:pt idx="55">
                  <c:v>523.5453776294537</c:v>
                </c:pt>
                <c:pt idx="56">
                  <c:v>531.1533852889861</c:v>
                </c:pt>
                <c:pt idx="57">
                  <c:v>538.76215867546114</c:v>
                </c:pt>
                <c:pt idx="58">
                  <c:v>546.3714425465638</c:v>
                </c:pt>
                <c:pt idx="59">
                  <c:v>553.98123690229363</c:v>
                </c:pt>
                <c:pt idx="60">
                  <c:v>561.59230746959543</c:v>
                </c:pt>
                <c:pt idx="61">
                  <c:v>569.20465424846861</c:v>
                </c:pt>
                <c:pt idx="62">
                  <c:v>576.81725626965567</c:v>
                </c:pt>
                <c:pt idx="63">
                  <c:v>584.43011353315603</c:v>
                </c:pt>
                <c:pt idx="64">
                  <c:v>592.04092885814373</c:v>
                </c:pt>
                <c:pt idx="65">
                  <c:v>599.64970224461877</c:v>
                </c:pt>
                <c:pt idx="66">
                  <c:v>607.25770990415026</c:v>
                </c:pt>
                <c:pt idx="67">
                  <c:v>614.86495183673912</c:v>
                </c:pt>
                <c:pt idx="68">
                  <c:v>622.47270425395629</c:v>
                </c:pt>
                <c:pt idx="69">
                  <c:v>630.080967155802</c:v>
                </c:pt>
                <c:pt idx="70">
                  <c:v>637.68974054227601</c:v>
                </c:pt>
                <c:pt idx="71">
                  <c:v>645.29902441337856</c:v>
                </c:pt>
                <c:pt idx="72">
                  <c:v>652.90779779985257</c:v>
                </c:pt>
                <c:pt idx="73">
                  <c:v>660.51606070169828</c:v>
                </c:pt>
                <c:pt idx="74">
                  <c:v>668.12355787660124</c:v>
                </c:pt>
                <c:pt idx="75">
                  <c:v>675.73028932456168</c:v>
                </c:pt>
                <c:pt idx="76">
                  <c:v>685.91471290368634</c:v>
                </c:pt>
                <c:pt idx="77">
                  <c:v>698.67682861397486</c:v>
                </c:pt>
                <c:pt idx="78">
                  <c:v>708.86457034318403</c:v>
                </c:pt>
                <c:pt idx="79">
                  <c:v>716.47793809131383</c:v>
                </c:pt>
                <c:pt idx="80">
                  <c:v>726.665679820523</c:v>
                </c:pt>
                <c:pt idx="81">
                  <c:v>739.42779553081152</c:v>
                </c:pt>
                <c:pt idx="82">
                  <c:v>749.61706871390606</c:v>
                </c:pt>
                <c:pt idx="83">
                  <c:v>757.2334993698064</c:v>
                </c:pt>
                <c:pt idx="84">
                  <c:v>766.06998828761016</c:v>
                </c:pt>
                <c:pt idx="85">
                  <c:v>776.12653546731735</c:v>
                </c:pt>
                <c:pt idx="86">
                  <c:v>787.53586691231544</c:v>
                </c:pt>
                <c:pt idx="87">
                  <c:v>800.29798262260408</c:v>
                </c:pt>
                <c:pt idx="88">
                  <c:v>813.06009833289284</c:v>
                </c:pt>
                <c:pt idx="89">
                  <c:v>825.82221404318125</c:v>
                </c:pt>
                <c:pt idx="90">
                  <c:v>838.58432975346977</c:v>
                </c:pt>
                <c:pt idx="91">
                  <c:v>851.34644546375853</c:v>
                </c:pt>
                <c:pt idx="92">
                  <c:v>861.53189001213877</c:v>
                </c:pt>
                <c:pt idx="93">
                  <c:v>869.14066339861301</c:v>
                </c:pt>
                <c:pt idx="94">
                  <c:v>876.75096823897138</c:v>
                </c:pt>
                <c:pt idx="95">
                  <c:v>884.36280453321774</c:v>
                </c:pt>
                <c:pt idx="96">
                  <c:v>894.54978053548427</c:v>
                </c:pt>
                <c:pt idx="97">
                  <c:v>907.31189624577314</c:v>
                </c:pt>
                <c:pt idx="98">
                  <c:v>920.07401195606155</c:v>
                </c:pt>
                <c:pt idx="99">
                  <c:v>932.83612766635019</c:v>
                </c:pt>
                <c:pt idx="100">
                  <c:v>943.02029600316052</c:v>
                </c:pt>
                <c:pt idx="101">
                  <c:v>950.62651696649255</c:v>
                </c:pt>
                <c:pt idx="102">
                  <c:v>958.23758753379445</c:v>
                </c:pt>
                <c:pt idx="103">
                  <c:v>965.85350770506739</c:v>
                </c:pt>
                <c:pt idx="104">
                  <c:v>973.46585448394012</c:v>
                </c:pt>
                <c:pt idx="105">
                  <c:v>981.07462787041527</c:v>
                </c:pt>
                <c:pt idx="106">
                  <c:v>991.26007241879779</c:v>
                </c:pt>
                <c:pt idx="107">
                  <c:v>1004.0221881290863</c:v>
                </c:pt>
                <c:pt idx="108">
                  <c:v>1016.7843038393751</c:v>
                </c:pt>
                <c:pt idx="109">
                  <c:v>1029.5464195496595</c:v>
                </c:pt>
                <c:pt idx="110">
                  <c:v>1042.3085352599483</c:v>
                </c:pt>
                <c:pt idx="111">
                  <c:v>1055.0706509702366</c:v>
                </c:pt>
                <c:pt idx="112">
                  <c:v>1067.8327666805253</c:v>
                </c:pt>
                <c:pt idx="113">
                  <c:v>1080.5948823908138</c:v>
                </c:pt>
                <c:pt idx="114">
                  <c:v>1090.7790507276241</c:v>
                </c:pt>
                <c:pt idx="115">
                  <c:v>1098.3852716909564</c:v>
                </c:pt>
                <c:pt idx="116">
                  <c:v>1107.907596707031</c:v>
                </c:pt>
                <c:pt idx="117">
                  <c:v>1119.3460257758484</c:v>
                </c:pt>
                <c:pt idx="118">
                  <c:v>1131.4462981654015</c:v>
                </c:pt>
                <c:pt idx="119">
                  <c:v>1144.2084138756902</c:v>
                </c:pt>
                <c:pt idx="120">
                  <c:v>1156.9705295859787</c:v>
                </c:pt>
                <c:pt idx="121">
                  <c:v>1169.7326452962673</c:v>
                </c:pt>
                <c:pt idx="122">
                  <c:v>1179.9168136330775</c:v>
                </c:pt>
                <c:pt idx="123">
                  <c:v>1187.5230345964096</c:v>
                </c:pt>
                <c:pt idx="124">
                  <c:v>1197.7072029332201</c:v>
                </c:pt>
                <c:pt idx="125">
                  <c:v>1210.4693186435088</c:v>
                </c:pt>
                <c:pt idx="126">
                  <c:v>1223.2314343537971</c:v>
                </c:pt>
                <c:pt idx="127">
                  <c:v>1235.9935500640859</c:v>
                </c:pt>
                <c:pt idx="128">
                  <c:v>1248.7556657743744</c:v>
                </c:pt>
                <c:pt idx="129">
                  <c:v>1261.5177814846631</c:v>
                </c:pt>
                <c:pt idx="130">
                  <c:v>1274.2798971949514</c:v>
                </c:pt>
                <c:pt idx="131">
                  <c:v>1287.04201290524</c:v>
                </c:pt>
                <c:pt idx="132">
                  <c:v>1299.8041286155287</c:v>
                </c:pt>
                <c:pt idx="133">
                  <c:v>1312.5662443258175</c:v>
                </c:pt>
                <c:pt idx="134">
                  <c:v>1325.328360036106</c:v>
                </c:pt>
                <c:pt idx="135">
                  <c:v>1338.0904757463945</c:v>
                </c:pt>
                <c:pt idx="136">
                  <c:v>1350.8525914566831</c:v>
                </c:pt>
                <c:pt idx="137">
                  <c:v>1363.6147071669718</c:v>
                </c:pt>
                <c:pt idx="138">
                  <c:v>1376.3768228772601</c:v>
                </c:pt>
                <c:pt idx="139">
                  <c:v>1389.1389385875491</c:v>
                </c:pt>
                <c:pt idx="140">
                  <c:v>1401.9010542978378</c:v>
                </c:pt>
                <c:pt idx="141">
                  <c:v>1414.6631700081261</c:v>
                </c:pt>
                <c:pt idx="142">
                  <c:v>1427.4252857184151</c:v>
                </c:pt>
                <c:pt idx="143">
                  <c:v>1440.1874014287034</c:v>
                </c:pt>
                <c:pt idx="144">
                  <c:v>1450.373356461713</c:v>
                </c:pt>
                <c:pt idx="145">
                  <c:v>1457.9831508174441</c:v>
                </c:pt>
                <c:pt idx="146">
                  <c:v>1465.5924346885467</c:v>
                </c:pt>
                <c:pt idx="147">
                  <c:v>1473.2012080750205</c:v>
                </c:pt>
                <c:pt idx="148">
                  <c:v>1480.8092157345623</c:v>
                </c:pt>
                <c:pt idx="149">
                  <c:v>1488.416457667151</c:v>
                </c:pt>
                <c:pt idx="150">
                  <c:v>1496.0293149306524</c:v>
                </c:pt>
                <c:pt idx="151">
                  <c:v>1503.6477875250664</c:v>
                </c:pt>
                <c:pt idx="152">
                  <c:v>1511.2609000308719</c:v>
                </c:pt>
                <c:pt idx="153">
                  <c:v>1518.8686524480891</c:v>
                </c:pt>
                <c:pt idx="154">
                  <c:v>1529.053586511842</c:v>
                </c:pt>
                <c:pt idx="155">
                  <c:v>1541.8157022221305</c:v>
                </c:pt>
                <c:pt idx="156">
                  <c:v>1552.0246290634188</c:v>
                </c:pt>
                <c:pt idx="157">
                  <c:v>1559.6803670357067</c:v>
                </c:pt>
                <c:pt idx="158">
                  <c:v>1569.8892938769948</c:v>
                </c:pt>
                <c:pt idx="159">
                  <c:v>1582.6514095872838</c:v>
                </c:pt>
                <c:pt idx="160">
                  <c:v>1595.4135252975721</c:v>
                </c:pt>
                <c:pt idx="161">
                  <c:v>1608.1756410078608</c:v>
                </c:pt>
                <c:pt idx="162">
                  <c:v>1618.3605750716138</c:v>
                </c:pt>
                <c:pt idx="163">
                  <c:v>1625.9683274888314</c:v>
                </c:pt>
                <c:pt idx="164">
                  <c:v>1636.1532615525839</c:v>
                </c:pt>
                <c:pt idx="165">
                  <c:v>1648.9153772628727</c:v>
                </c:pt>
                <c:pt idx="166">
                  <c:v>1659.1010770535681</c:v>
                </c:pt>
                <c:pt idx="167">
                  <c:v>1666.7103609246703</c:v>
                </c:pt>
                <c:pt idx="168">
                  <c:v>1674.3204105227151</c:v>
                </c:pt>
                <c:pt idx="169">
                  <c:v>1681.9312258477032</c:v>
                </c:pt>
                <c:pt idx="170">
                  <c:v>1689.5435726265766</c:v>
                </c:pt>
                <c:pt idx="171">
                  <c:v>1697.1574508593349</c:v>
                </c:pt>
                <c:pt idx="172">
                  <c:v>1704.7723500613597</c:v>
                </c:pt>
                <c:pt idx="173">
                  <c:v>1712.3882702326316</c:v>
                </c:pt>
                <c:pt idx="174">
                  <c:v>1722.5772881734117</c:v>
                </c:pt>
                <c:pt idx="175">
                  <c:v>1735.3394038837005</c:v>
                </c:pt>
                <c:pt idx="176">
                  <c:v>1745.5281665821665</c:v>
                </c:pt>
                <c:pt idx="177">
                  <c:v>1753.14357626881</c:v>
                </c:pt>
                <c:pt idx="178">
                  <c:v>1760.7577097438818</c:v>
                </c:pt>
                <c:pt idx="179">
                  <c:v>1768.3705670073837</c:v>
                </c:pt>
                <c:pt idx="180">
                  <c:v>1775.982403301628</c:v>
                </c:pt>
                <c:pt idx="181">
                  <c:v>1783.5932186266159</c:v>
                </c:pt>
                <c:pt idx="182">
                  <c:v>1791.2027577400324</c:v>
                </c:pt>
                <c:pt idx="183">
                  <c:v>1798.8110206418789</c:v>
                </c:pt>
                <c:pt idx="184">
                  <c:v>1806.424133147694</c:v>
                </c:pt>
                <c:pt idx="185">
                  <c:v>1814.0420952574793</c:v>
                </c:pt>
                <c:pt idx="186">
                  <c:v>1821.6546972786664</c:v>
                </c:pt>
                <c:pt idx="187">
                  <c:v>1829.2619392112554</c:v>
                </c:pt>
                <c:pt idx="188">
                  <c:v>1836.8696916284723</c:v>
                </c:pt>
                <c:pt idx="189">
                  <c:v>1844.4779545303181</c:v>
                </c:pt>
                <c:pt idx="190">
                  <c:v>1852.0872384014208</c:v>
                </c:pt>
                <c:pt idx="191">
                  <c:v>1859.6975432417798</c:v>
                </c:pt>
                <c:pt idx="192">
                  <c:v>1867.3070823551968</c:v>
                </c:pt>
                <c:pt idx="193">
                  <c:v>1874.9158557416806</c:v>
                </c:pt>
                <c:pt idx="194">
                  <c:v>1882.548111421062</c:v>
                </c:pt>
                <c:pt idx="195">
                  <c:v>1890.2038493933501</c:v>
                </c:pt>
                <c:pt idx="196">
                  <c:v>1897.8376365266158</c:v>
                </c:pt>
                <c:pt idx="197">
                  <c:v>1905.4494728208601</c:v>
                </c:pt>
                <c:pt idx="198">
                  <c:v>1913.0618195997336</c:v>
                </c:pt>
                <c:pt idx="199">
                  <c:v>1920.6746768632347</c:v>
                </c:pt>
                <c:pt idx="200">
                  <c:v>1928.2882998536686</c:v>
                </c:pt>
                <c:pt idx="201">
                  <c:v>1935.9026885710555</c:v>
                </c:pt>
                <c:pt idx="202">
                  <c:v>1943.5152905922525</c:v>
                </c:pt>
                <c:pt idx="203">
                  <c:v>1951.12610591724</c:v>
                </c:pt>
                <c:pt idx="204">
                  <c:v>1958.7361555152854</c:v>
                </c:pt>
                <c:pt idx="205">
                  <c:v>1966.3454393863879</c:v>
                </c:pt>
                <c:pt idx="206">
                  <c:v>1973.9542127728621</c:v>
                </c:pt>
                <c:pt idx="207">
                  <c:v>1981.5624756747077</c:v>
                </c:pt>
                <c:pt idx="208">
                  <c:v>1989.1697176072967</c:v>
                </c:pt>
                <c:pt idx="209">
                  <c:v>1996.7759385706288</c:v>
                </c:pt>
                <c:pt idx="210">
                  <c:v>2005.6073226421483</c:v>
                </c:pt>
                <c:pt idx="211">
                  <c:v>2015.663869821856</c:v>
                </c:pt>
                <c:pt idx="212">
                  <c:v>2027.0732012668539</c:v>
                </c:pt>
                <c:pt idx="213">
                  <c:v>2039.8353169771424</c:v>
                </c:pt>
                <c:pt idx="214">
                  <c:v>2050.0194853139528</c:v>
                </c:pt>
                <c:pt idx="215">
                  <c:v>2057.6257062772847</c:v>
                </c:pt>
                <c:pt idx="216">
                  <c:v>2065.2321824829305</c:v>
                </c:pt>
                <c:pt idx="217">
                  <c:v>2072.8389139308811</c:v>
                </c:pt>
                <c:pt idx="218">
                  <c:v>2080.4459006211555</c:v>
                </c:pt>
                <c:pt idx="219">
                  <c:v>2088.0531425537447</c:v>
                </c:pt>
                <c:pt idx="220">
                  <c:v>2095.6606397286473</c:v>
                </c:pt>
                <c:pt idx="221">
                  <c:v>2103.2683921458647</c:v>
                </c:pt>
                <c:pt idx="222">
                  <c:v>2113.4533262096179</c:v>
                </c:pt>
                <c:pt idx="223">
                  <c:v>2126.2154419199064</c:v>
                </c:pt>
                <c:pt idx="224">
                  <c:v>2138.977557630195</c:v>
                </c:pt>
                <c:pt idx="225">
                  <c:v>2151.7396733404839</c:v>
                </c:pt>
                <c:pt idx="226">
                  <c:v>2164.501789050772</c:v>
                </c:pt>
                <c:pt idx="227">
                  <c:v>2177.263904761061</c:v>
                </c:pt>
                <c:pt idx="228">
                  <c:v>2187.449094067128</c:v>
                </c:pt>
                <c:pt idx="229">
                  <c:v>2195.0573569689732</c:v>
                </c:pt>
                <c:pt idx="230">
                  <c:v>2202.6681722939616</c:v>
                </c:pt>
                <c:pt idx="231">
                  <c:v>2210.2815400420914</c:v>
                </c:pt>
                <c:pt idx="232">
                  <c:v>2217.897460213363</c:v>
                </c:pt>
                <c:pt idx="233">
                  <c:v>2225.5159328077771</c:v>
                </c:pt>
                <c:pt idx="234">
                  <c:v>2233.13619209839</c:v>
                </c:pt>
                <c:pt idx="235">
                  <c:v>2240.7582380852027</c:v>
                </c:pt>
                <c:pt idx="236">
                  <c:v>2248.3774764065593</c:v>
                </c:pt>
                <c:pt idx="237">
                  <c:v>2255.9939070624591</c:v>
                </c:pt>
                <c:pt idx="238">
                  <c:v>2264.8615355425964</c:v>
                </c:pt>
                <c:pt idx="239">
                  <c:v>2272.4733718368407</c:v>
                </c:pt>
                <c:pt idx="240">
                  <c:v>2277.2234313042104</c:v>
                </c:pt>
                <c:pt idx="241">
                  <c:v>2281.6187039548336</c:v>
                </c:pt>
                <c:pt idx="242">
                  <c:v>2288.078886927382</c:v>
                </c:pt>
                <c:pt idx="243">
                  <c:v>2300.8410026376705</c:v>
                </c:pt>
                <c:pt idx="244">
                  <c:v>2314.3688452905767</c:v>
                </c:pt>
                <c:pt idx="245">
                  <c:v>2324.4253924702839</c:v>
                </c:pt>
                <c:pt idx="246">
                  <c:v>2335.8347239152818</c:v>
                </c:pt>
                <c:pt idx="247">
                  <c:v>2348.5968396255703</c:v>
                </c:pt>
                <c:pt idx="248">
                  <c:v>2361.3589553358593</c:v>
                </c:pt>
                <c:pt idx="249">
                  <c:v>2374.1210710461478</c:v>
                </c:pt>
                <c:pt idx="250">
                  <c:v>2384.7710566063834</c:v>
                </c:pt>
                <c:pt idx="251">
                  <c:v>2393.3089120165669</c:v>
                </c:pt>
                <c:pt idx="252">
                  <c:v>2403.9588975768024</c:v>
                </c:pt>
                <c:pt idx="253">
                  <c:v>2416.721013287091</c:v>
                </c:pt>
                <c:pt idx="254">
                  <c:v>2429.4831289973799</c:v>
                </c:pt>
                <c:pt idx="255">
                  <c:v>2442.245244707668</c:v>
                </c:pt>
                <c:pt idx="256">
                  <c:v>2455.007360417957</c:v>
                </c:pt>
                <c:pt idx="257">
                  <c:v>2467.7694761282455</c:v>
                </c:pt>
                <c:pt idx="258">
                  <c:v>2480.531591838534</c:v>
                </c:pt>
                <c:pt idx="259">
                  <c:v>2493.2937075488226</c:v>
                </c:pt>
                <c:pt idx="260">
                  <c:v>2506.0558232591115</c:v>
                </c:pt>
                <c:pt idx="261">
                  <c:v>2518.8179389694001</c:v>
                </c:pt>
                <c:pt idx="262">
                  <c:v>2531.5800546796886</c:v>
                </c:pt>
                <c:pt idx="263">
                  <c:v>2544.3421703899771</c:v>
                </c:pt>
                <c:pt idx="264">
                  <c:v>2557.1042861002661</c:v>
                </c:pt>
                <c:pt idx="265">
                  <c:v>2569.8664018105542</c:v>
                </c:pt>
                <c:pt idx="266">
                  <c:v>2580.0510806319935</c:v>
                </c:pt>
                <c:pt idx="267">
                  <c:v>2587.6583225645822</c:v>
                </c:pt>
                <c:pt idx="268">
                  <c:v>2597.8430013860207</c:v>
                </c:pt>
                <c:pt idx="269">
                  <c:v>2610.6051170963092</c:v>
                </c:pt>
                <c:pt idx="270">
                  <c:v>2620.7892854331199</c:v>
                </c:pt>
                <c:pt idx="271">
                  <c:v>2628.3955063964518</c:v>
                </c:pt>
                <c:pt idx="272">
                  <c:v>2638.579674733262</c:v>
                </c:pt>
                <c:pt idx="273">
                  <c:v>2651.3417904435505</c:v>
                </c:pt>
                <c:pt idx="274">
                  <c:v>2661.526214022675</c:v>
                </c:pt>
                <c:pt idx="275">
                  <c:v>2669.1329454706356</c:v>
                </c:pt>
                <c:pt idx="276">
                  <c:v>2676.7394216762818</c:v>
                </c:pt>
                <c:pt idx="277">
                  <c:v>2684.3456426396137</c:v>
                </c:pt>
                <c:pt idx="278">
                  <c:v>2691.9518636029457</c:v>
                </c:pt>
                <c:pt idx="279">
                  <c:v>2699.558084566278</c:v>
                </c:pt>
                <c:pt idx="280">
                  <c:v>2707.1645607719242</c:v>
                </c:pt>
                <c:pt idx="281">
                  <c:v>2714.7712922198843</c:v>
                </c:pt>
                <c:pt idx="282">
                  <c:v>2724.9557157990093</c:v>
                </c:pt>
                <c:pt idx="283">
                  <c:v>2737.7178315092974</c:v>
                </c:pt>
                <c:pt idx="284">
                  <c:v>2747.9022550884215</c:v>
                </c:pt>
                <c:pt idx="285">
                  <c:v>2755.5089865363825</c:v>
                </c:pt>
                <c:pt idx="286">
                  <c:v>2763.1162284689713</c:v>
                </c:pt>
                <c:pt idx="287">
                  <c:v>2770.7239808861882</c:v>
                </c:pt>
                <c:pt idx="288">
                  <c:v>2778.3317333034056</c:v>
                </c:pt>
                <c:pt idx="289">
                  <c:v>2785.9394857206239</c:v>
                </c:pt>
                <c:pt idx="290">
                  <c:v>2793.5472381378408</c:v>
                </c:pt>
                <c:pt idx="291">
                  <c:v>2801.1549905550473</c:v>
                </c:pt>
                <c:pt idx="292">
                  <c:v>2809.9871403535099</c:v>
                </c:pt>
                <c:pt idx="293">
                  <c:v>2820.0436875332175</c:v>
                </c:pt>
                <c:pt idx="294">
                  <c:v>2831.4530189782149</c:v>
                </c:pt>
                <c:pt idx="295">
                  <c:v>2844.2151346885039</c:v>
                </c:pt>
                <c:pt idx="296">
                  <c:v>2854.3995582676389</c:v>
                </c:pt>
                <c:pt idx="297">
                  <c:v>2862.006289715599</c:v>
                </c:pt>
                <c:pt idx="298">
                  <c:v>2872.1907132947231</c:v>
                </c:pt>
                <c:pt idx="299">
                  <c:v>2884.9528290050121</c:v>
                </c:pt>
                <c:pt idx="300">
                  <c:v>2897.7149447153006</c:v>
                </c:pt>
                <c:pt idx="301">
                  <c:v>2910.4770604255896</c:v>
                </c:pt>
                <c:pt idx="302">
                  <c:v>2923.2391761358772</c:v>
                </c:pt>
                <c:pt idx="303">
                  <c:v>2936.0012918461662</c:v>
                </c:pt>
                <c:pt idx="304">
                  <c:v>2948.7634075564551</c:v>
                </c:pt>
                <c:pt idx="305">
                  <c:v>2961.5255232667441</c:v>
                </c:pt>
                <c:pt idx="306">
                  <c:v>2974.2876389770331</c:v>
                </c:pt>
                <c:pt idx="307">
                  <c:v>2987.0497546873207</c:v>
                </c:pt>
                <c:pt idx="308">
                  <c:v>2999.8118703976093</c:v>
                </c:pt>
                <c:pt idx="309">
                  <c:v>3012.5739861078982</c:v>
                </c:pt>
                <c:pt idx="310">
                  <c:v>3025.3361018181868</c:v>
                </c:pt>
                <c:pt idx="311">
                  <c:v>3038.0982175284748</c:v>
                </c:pt>
                <c:pt idx="312">
                  <c:v>3050.8603332387638</c:v>
                </c:pt>
                <c:pt idx="313">
                  <c:v>3063.6224489490528</c:v>
                </c:pt>
                <c:pt idx="314">
                  <c:v>3076.3845646593409</c:v>
                </c:pt>
                <c:pt idx="315">
                  <c:v>3089.1466803696294</c:v>
                </c:pt>
                <c:pt idx="316">
                  <c:v>3101.9087960799179</c:v>
                </c:pt>
                <c:pt idx="317">
                  <c:v>3114.6709117902064</c:v>
                </c:pt>
                <c:pt idx="318">
                  <c:v>3124.8550801270171</c:v>
                </c:pt>
                <c:pt idx="319">
                  <c:v>3132.4613010903486</c:v>
                </c:pt>
                <c:pt idx="320">
                  <c:v>3142.6454694271592</c:v>
                </c:pt>
                <c:pt idx="321">
                  <c:v>3155.4075851374478</c:v>
                </c:pt>
                <c:pt idx="322">
                  <c:v>3168.1697008477367</c:v>
                </c:pt>
                <c:pt idx="323">
                  <c:v>3180.9318165580253</c:v>
                </c:pt>
                <c:pt idx="324">
                  <c:v>3193.6939322683143</c:v>
                </c:pt>
                <c:pt idx="325">
                  <c:v>3206.4560479786019</c:v>
                </c:pt>
                <c:pt idx="326">
                  <c:v>3219.2181636888909</c:v>
                </c:pt>
                <c:pt idx="327">
                  <c:v>3231.9802793991798</c:v>
                </c:pt>
                <c:pt idx="328">
                  <c:v>3244.7423951094679</c:v>
                </c:pt>
                <c:pt idx="329">
                  <c:v>3257.5045108197569</c:v>
                </c:pt>
                <c:pt idx="330">
                  <c:v>3270.2666265300454</c:v>
                </c:pt>
                <c:pt idx="331">
                  <c:v>3283.0287422403339</c:v>
                </c:pt>
                <c:pt idx="332">
                  <c:v>3293.2136763040876</c:v>
                </c:pt>
                <c:pt idx="333">
                  <c:v>3300.8214287213045</c:v>
                </c:pt>
                <c:pt idx="334">
                  <c:v>3308.4291811385219</c:v>
                </c:pt>
                <c:pt idx="335">
                  <c:v>3316.0369335557489</c:v>
                </c:pt>
                <c:pt idx="336">
                  <c:v>3326.2218676195021</c:v>
                </c:pt>
                <c:pt idx="337">
                  <c:v>3338.9839833297915</c:v>
                </c:pt>
                <c:pt idx="338">
                  <c:v>3351.7460990400796</c:v>
                </c:pt>
                <c:pt idx="339">
                  <c:v>3364.5082147503681</c:v>
                </c:pt>
                <c:pt idx="340">
                  <c:v>3376.3609020951308</c:v>
                </c:pt>
                <c:pt idx="341">
                  <c:v>3387.3041610743785</c:v>
                </c:pt>
                <c:pt idx="342">
                  <c:v>3396.5791562879886</c:v>
                </c:pt>
                <c:pt idx="343">
                  <c:v>3404.1858877359391</c:v>
                </c:pt>
                <c:pt idx="344">
                  <c:v>3411.7926191839092</c:v>
                </c:pt>
                <c:pt idx="345">
                  <c:v>3419.3993506318802</c:v>
                </c:pt>
                <c:pt idx="346">
                  <c:v>3429.5837742110043</c:v>
                </c:pt>
                <c:pt idx="347">
                  <c:v>3442.3458899212937</c:v>
                </c:pt>
                <c:pt idx="348">
                  <c:v>3455.1080056315814</c:v>
                </c:pt>
                <c:pt idx="349">
                  <c:v>3467.8701213418699</c:v>
                </c:pt>
                <c:pt idx="350">
                  <c:v>3480.6322370521593</c:v>
                </c:pt>
                <c:pt idx="351">
                  <c:v>3493.3943527624474</c:v>
                </c:pt>
                <c:pt idx="352">
                  <c:v>3506.1564684727373</c:v>
                </c:pt>
                <c:pt idx="353">
                  <c:v>3518.9185841830249</c:v>
                </c:pt>
                <c:pt idx="354">
                  <c:v>3529.1040287314063</c:v>
                </c:pt>
                <c:pt idx="355">
                  <c:v>3536.7128021178705</c:v>
                </c:pt>
                <c:pt idx="356">
                  <c:v>3544.3215755043348</c:v>
                </c:pt>
                <c:pt idx="357">
                  <c:v>3551.9303488908176</c:v>
                </c:pt>
                <c:pt idx="358">
                  <c:v>3560.7632644162131</c:v>
                </c:pt>
                <c:pt idx="359">
                  <c:v>3570.8203220805381</c:v>
                </c:pt>
                <c:pt idx="360">
                  <c:v>3582.2299087678512</c:v>
                </c:pt>
                <c:pt idx="361">
                  <c:v>3594.9920244781397</c:v>
                </c:pt>
                <c:pt idx="362">
                  <c:v>3607.7541401884282</c:v>
                </c:pt>
                <c:pt idx="363">
                  <c:v>3620.5162558987172</c:v>
                </c:pt>
                <c:pt idx="364">
                  <c:v>3633.2783716090053</c:v>
                </c:pt>
                <c:pt idx="365">
                  <c:v>3646.0404873192938</c:v>
                </c:pt>
                <c:pt idx="366">
                  <c:v>3658.8026030295832</c:v>
                </c:pt>
                <c:pt idx="367">
                  <c:v>3671.5647187398708</c:v>
                </c:pt>
                <c:pt idx="368">
                  <c:v>3684.3268344501589</c:v>
                </c:pt>
                <c:pt idx="369">
                  <c:v>3697.0889501604483</c:v>
                </c:pt>
                <c:pt idx="370">
                  <c:v>3709.8510658707369</c:v>
                </c:pt>
                <c:pt idx="371">
                  <c:v>3722.6131815810245</c:v>
                </c:pt>
                <c:pt idx="372">
                  <c:v>3735.3752972913139</c:v>
                </c:pt>
                <c:pt idx="373">
                  <c:v>3748.1374130016025</c:v>
                </c:pt>
                <c:pt idx="374">
                  <c:v>3760.899528711891</c:v>
                </c:pt>
                <c:pt idx="375">
                  <c:v>3773.6616444221795</c:v>
                </c:pt>
                <c:pt idx="376">
                  <c:v>3786.4237601324685</c:v>
                </c:pt>
                <c:pt idx="377">
                  <c:v>3799.185875842757</c:v>
                </c:pt>
                <c:pt idx="378">
                  <c:v>3811.9479915530455</c:v>
                </c:pt>
                <c:pt idx="379">
                  <c:v>3824.7101072633336</c:v>
                </c:pt>
                <c:pt idx="380">
                  <c:v>3837.4722229736226</c:v>
                </c:pt>
                <c:pt idx="381">
                  <c:v>3850.2343386839116</c:v>
                </c:pt>
                <c:pt idx="382">
                  <c:v>3862.9964543941996</c:v>
                </c:pt>
                <c:pt idx="383">
                  <c:v>3875.7585701044895</c:v>
                </c:pt>
                <c:pt idx="384">
                  <c:v>3887.167901549486</c:v>
                </c:pt>
                <c:pt idx="385">
                  <c:v>3897.2244487291937</c:v>
                </c:pt>
                <c:pt idx="386">
                  <c:v>3908.6337801741929</c:v>
                </c:pt>
                <c:pt idx="387">
                  <c:v>3921.395895884481</c:v>
                </c:pt>
                <c:pt idx="388">
                  <c:v>3934.15801159477</c:v>
                </c:pt>
                <c:pt idx="389">
                  <c:v>3946.920127305058</c:v>
                </c:pt>
                <c:pt idx="390">
                  <c:v>3959.6822430153466</c:v>
                </c:pt>
                <c:pt idx="391">
                  <c:v>3972.444358725636</c:v>
                </c:pt>
                <c:pt idx="392">
                  <c:v>3982.252810375935</c:v>
                </c:pt>
                <c:pt idx="393">
                  <c:v>3989.1075979662446</c:v>
                </c:pt>
                <c:pt idx="394">
                  <c:v>3998.9160496165437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35-4566-AFEC-F268283AFD90}"/>
            </c:ext>
          </c:extLst>
        </c:ser>
        <c:ser>
          <c:idx val="4"/>
          <c:order val="4"/>
          <c:tx>
            <c:strRef>
              <c:f>FL6_WD!$Z$1:$Z$2</c:f>
              <c:strCache>
                <c:ptCount val="2"/>
                <c:pt idx="0">
                  <c:v>Fill_Content</c:v>
                </c:pt>
                <c:pt idx="1">
                  <c:v>[bar]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FL6_WD!$M$3:$M$13073</c:f>
              <c:numCache>
                <c:formatCode>General</c:formatCode>
                <c:ptCount val="13071"/>
                <c:pt idx="0">
                  <c:v>0</c:v>
                </c:pt>
                <c:pt idx="1">
                  <c:v>14.795924163033481</c:v>
                </c:pt>
                <c:pt idx="2">
                  <c:v>44.387772489100534</c:v>
                </c:pt>
                <c:pt idx="3">
                  <c:v>67.691848326067031</c:v>
                </c:pt>
                <c:pt idx="4">
                  <c:v>82.580988000000005</c:v>
                </c:pt>
                <c:pt idx="5">
                  <c:v>95.342964000000009</c:v>
                </c:pt>
                <c:pt idx="6">
                  <c:v>114.449352</c:v>
                </c:pt>
                <c:pt idx="7">
                  <c:v>152.549352</c:v>
                </c:pt>
                <c:pt idx="8">
                  <c:v>196.97395200000003</c:v>
                </c:pt>
                <c:pt idx="9">
                  <c:v>235.07395200000002</c:v>
                </c:pt>
                <c:pt idx="10">
                  <c:v>273.17395200000004</c:v>
                </c:pt>
                <c:pt idx="11">
                  <c:v>311.27395200000001</c:v>
                </c:pt>
                <c:pt idx="12">
                  <c:v>349.37395200000003</c:v>
                </c:pt>
                <c:pt idx="13">
                  <c:v>387.473952</c:v>
                </c:pt>
                <c:pt idx="14">
                  <c:v>425.57395200000002</c:v>
                </c:pt>
                <c:pt idx="15">
                  <c:v>463.67395200000004</c:v>
                </c:pt>
                <c:pt idx="16">
                  <c:v>497.73535200000003</c:v>
                </c:pt>
                <c:pt idx="17">
                  <c:v>527.758152</c:v>
                </c:pt>
                <c:pt idx="18">
                  <c:v>554.12563799999998</c:v>
                </c:pt>
                <c:pt idx="19">
                  <c:v>576.83780999999999</c:v>
                </c:pt>
                <c:pt idx="20">
                  <c:v>599.55074400000001</c:v>
                </c:pt>
                <c:pt idx="21">
                  <c:v>622.26444000000004</c:v>
                </c:pt>
                <c:pt idx="22">
                  <c:v>644.97813600000006</c:v>
                </c:pt>
                <c:pt idx="23">
                  <c:v>667.69183200000009</c:v>
                </c:pt>
                <c:pt idx="24">
                  <c:v>690.40857600000004</c:v>
                </c:pt>
                <c:pt idx="25">
                  <c:v>713.12836800000002</c:v>
                </c:pt>
                <c:pt idx="26">
                  <c:v>735.84358800000007</c:v>
                </c:pt>
                <c:pt idx="27">
                  <c:v>758.55423600000006</c:v>
                </c:pt>
                <c:pt idx="28">
                  <c:v>781.26640800000007</c:v>
                </c:pt>
                <c:pt idx="29">
                  <c:v>803.9801040000001</c:v>
                </c:pt>
                <c:pt idx="30">
                  <c:v>826.69151399999998</c:v>
                </c:pt>
                <c:pt idx="31">
                  <c:v>849.40063800000007</c:v>
                </c:pt>
                <c:pt idx="32">
                  <c:v>872.10976200000005</c:v>
                </c:pt>
                <c:pt idx="33">
                  <c:v>894.81888600000013</c:v>
                </c:pt>
                <c:pt idx="34">
                  <c:v>925.22344799999712</c:v>
                </c:pt>
                <c:pt idx="35">
                  <c:v>963.32344799999703</c:v>
                </c:pt>
                <c:pt idx="36">
                  <c:v>1001.4234479999971</c:v>
                </c:pt>
                <c:pt idx="37">
                  <c:v>1039.523447999997</c:v>
                </c:pt>
                <c:pt idx="38">
                  <c:v>1077.6234479999971</c:v>
                </c:pt>
                <c:pt idx="39">
                  <c:v>1115.723447999997</c:v>
                </c:pt>
                <c:pt idx="40">
                  <c:v>1153.8234479999971</c:v>
                </c:pt>
                <c:pt idx="41">
                  <c:v>1191.9234479999971</c:v>
                </c:pt>
                <c:pt idx="42">
                  <c:v>1222.3272479999971</c:v>
                </c:pt>
                <c:pt idx="43">
                  <c:v>1245.0348479999971</c:v>
                </c:pt>
                <c:pt idx="44">
                  <c:v>1275.4386479999971</c:v>
                </c:pt>
                <c:pt idx="45">
                  <c:v>1313.538647999997</c:v>
                </c:pt>
                <c:pt idx="46">
                  <c:v>1343.9454959999971</c:v>
                </c:pt>
                <c:pt idx="47">
                  <c:v>1366.6591919999971</c:v>
                </c:pt>
                <c:pt idx="48">
                  <c:v>1393.0274399999971</c:v>
                </c:pt>
                <c:pt idx="49">
                  <c:v>1423.0502399999971</c:v>
                </c:pt>
                <c:pt idx="50">
                  <c:v>1449.4215359999969</c:v>
                </c:pt>
                <c:pt idx="51">
                  <c:v>1472.141327999997</c:v>
                </c:pt>
                <c:pt idx="52">
                  <c:v>1494.8573100000001</c:v>
                </c:pt>
                <c:pt idx="53">
                  <c:v>1517.5694820000001</c:v>
                </c:pt>
                <c:pt idx="54">
                  <c:v>1540.280892</c:v>
                </c:pt>
                <c:pt idx="55">
                  <c:v>1562.9915400000002</c:v>
                </c:pt>
                <c:pt idx="56">
                  <c:v>1585.7044740000031</c:v>
                </c:pt>
                <c:pt idx="57">
                  <c:v>1608.4196940000061</c:v>
                </c:pt>
                <c:pt idx="58">
                  <c:v>1631.1364380000064</c:v>
                </c:pt>
                <c:pt idx="59">
                  <c:v>1653.8547060000033</c:v>
                </c:pt>
                <c:pt idx="60">
                  <c:v>1676.576784000003</c:v>
                </c:pt>
                <c:pt idx="61">
                  <c:v>1699.3026720000032</c:v>
                </c:pt>
                <c:pt idx="62">
                  <c:v>1722.0293220000033</c:v>
                </c:pt>
                <c:pt idx="63">
                  <c:v>1744.7567340000001</c:v>
                </c:pt>
                <c:pt idx="64">
                  <c:v>1767.4780500000002</c:v>
                </c:pt>
                <c:pt idx="65">
                  <c:v>1790.1932700000029</c:v>
                </c:pt>
                <c:pt idx="66">
                  <c:v>1812.9062040000031</c:v>
                </c:pt>
                <c:pt idx="67">
                  <c:v>1835.6168520000031</c:v>
                </c:pt>
                <c:pt idx="68">
                  <c:v>1858.3290240000031</c:v>
                </c:pt>
                <c:pt idx="69">
                  <c:v>1881.0427200000031</c:v>
                </c:pt>
                <c:pt idx="70">
                  <c:v>1903.7579400000031</c:v>
                </c:pt>
                <c:pt idx="71">
                  <c:v>1926.4746840000032</c:v>
                </c:pt>
                <c:pt idx="72">
                  <c:v>1949.189904000003</c:v>
                </c:pt>
                <c:pt idx="73">
                  <c:v>1971.9036000000031</c:v>
                </c:pt>
                <c:pt idx="74">
                  <c:v>1994.6150100000032</c:v>
                </c:pt>
                <c:pt idx="75">
                  <c:v>2017.3241340000031</c:v>
                </c:pt>
                <c:pt idx="76">
                  <c:v>2047.7286960000033</c:v>
                </c:pt>
                <c:pt idx="77">
                  <c:v>2085.8286960000032</c:v>
                </c:pt>
                <c:pt idx="78">
                  <c:v>2116.2431640000032</c:v>
                </c:pt>
                <c:pt idx="79">
                  <c:v>2138.9721000000031</c:v>
                </c:pt>
                <c:pt idx="80">
                  <c:v>2169.3865680000031</c:v>
                </c:pt>
                <c:pt idx="81">
                  <c:v>2207.486568000003</c:v>
                </c:pt>
                <c:pt idx="82">
                  <c:v>2237.9056080000032</c:v>
                </c:pt>
                <c:pt idx="83">
                  <c:v>2260.6436880000033</c:v>
                </c:pt>
                <c:pt idx="84">
                  <c:v>2287.0241280000032</c:v>
                </c:pt>
                <c:pt idx="85">
                  <c:v>2317.0469280000029</c:v>
                </c:pt>
                <c:pt idx="86">
                  <c:v>2351.108328000003</c:v>
                </c:pt>
                <c:pt idx="87">
                  <c:v>2389.2083280000029</c:v>
                </c:pt>
                <c:pt idx="88">
                  <c:v>2427.3083280000033</c:v>
                </c:pt>
                <c:pt idx="89">
                  <c:v>2465.4083280000032</c:v>
                </c:pt>
                <c:pt idx="90">
                  <c:v>2503.5083280000031</c:v>
                </c:pt>
                <c:pt idx="91">
                  <c:v>2541.608328000003</c:v>
                </c:pt>
                <c:pt idx="92">
                  <c:v>2572.015938</c:v>
                </c:pt>
                <c:pt idx="93">
                  <c:v>2594.7311580000001</c:v>
                </c:pt>
                <c:pt idx="94">
                  <c:v>2617.4509499999972</c:v>
                </c:pt>
                <c:pt idx="95">
                  <c:v>2640.1753140000028</c:v>
                </c:pt>
                <c:pt idx="96">
                  <c:v>2670.5874960000028</c:v>
                </c:pt>
                <c:pt idx="97">
                  <c:v>2708.6874960000032</c:v>
                </c:pt>
                <c:pt idx="98">
                  <c:v>2746.7874960000031</c:v>
                </c:pt>
                <c:pt idx="99">
                  <c:v>2784.887496000003</c:v>
                </c:pt>
                <c:pt idx="100">
                  <c:v>2815.2912960000031</c:v>
                </c:pt>
                <c:pt idx="101">
                  <c:v>2837.9988960000032</c:v>
                </c:pt>
                <c:pt idx="102">
                  <c:v>2860.720974000003</c:v>
                </c:pt>
                <c:pt idx="103">
                  <c:v>2883.4575300000065</c:v>
                </c:pt>
                <c:pt idx="104">
                  <c:v>2906.183418000006</c:v>
                </c:pt>
                <c:pt idx="105">
                  <c:v>2928.8986380000092</c:v>
                </c:pt>
                <c:pt idx="106">
                  <c:v>2959.3062480000126</c:v>
                </c:pt>
                <c:pt idx="107">
                  <c:v>2997.4062480000125</c:v>
                </c:pt>
                <c:pt idx="108">
                  <c:v>3035.5062480000124</c:v>
                </c:pt>
                <c:pt idx="109">
                  <c:v>3073.6062480000001</c:v>
                </c:pt>
                <c:pt idx="110">
                  <c:v>3111.7062480000004</c:v>
                </c:pt>
                <c:pt idx="111">
                  <c:v>3149.8062480000003</c:v>
                </c:pt>
                <c:pt idx="112">
                  <c:v>3187.9062480000002</c:v>
                </c:pt>
                <c:pt idx="113">
                  <c:v>3226.0062480000001</c:v>
                </c:pt>
                <c:pt idx="114">
                  <c:v>3256.4100480000002</c:v>
                </c:pt>
                <c:pt idx="115">
                  <c:v>3279.1176480000004</c:v>
                </c:pt>
                <c:pt idx="116">
                  <c:v>3307.5455820000002</c:v>
                </c:pt>
                <c:pt idx="117">
                  <c:v>3341.6938500000001</c:v>
                </c:pt>
                <c:pt idx="118">
                  <c:v>3377.8179840000003</c:v>
                </c:pt>
                <c:pt idx="119">
                  <c:v>3415.9179840000002</c:v>
                </c:pt>
                <c:pt idx="120">
                  <c:v>3454.0179840000001</c:v>
                </c:pt>
                <c:pt idx="121">
                  <c:v>3492.117984</c:v>
                </c:pt>
                <c:pt idx="122">
                  <c:v>3522.521784</c:v>
                </c:pt>
                <c:pt idx="123">
                  <c:v>3545.2293840000002</c:v>
                </c:pt>
                <c:pt idx="124">
                  <c:v>3575.6331840000003</c:v>
                </c:pt>
                <c:pt idx="125">
                  <c:v>3613.7331840000002</c:v>
                </c:pt>
                <c:pt idx="126">
                  <c:v>3651.8331840000001</c:v>
                </c:pt>
                <c:pt idx="127">
                  <c:v>3689.933184</c:v>
                </c:pt>
                <c:pt idx="128">
                  <c:v>3728.0331840000003</c:v>
                </c:pt>
                <c:pt idx="129">
                  <c:v>3766.1331840000003</c:v>
                </c:pt>
                <c:pt idx="130">
                  <c:v>3804.2331840000002</c:v>
                </c:pt>
                <c:pt idx="131">
                  <c:v>3842.3331840000001</c:v>
                </c:pt>
                <c:pt idx="132">
                  <c:v>3880.433184</c:v>
                </c:pt>
                <c:pt idx="133">
                  <c:v>3918.5331840000003</c:v>
                </c:pt>
                <c:pt idx="134">
                  <c:v>3956.6331840000003</c:v>
                </c:pt>
                <c:pt idx="135">
                  <c:v>3994.7331840000002</c:v>
                </c:pt>
                <c:pt idx="136">
                  <c:v>4032.8331840000001</c:v>
                </c:pt>
                <c:pt idx="137">
                  <c:v>4070.933184</c:v>
                </c:pt>
                <c:pt idx="138">
                  <c:v>4109.0331839999999</c:v>
                </c:pt>
                <c:pt idx="139">
                  <c:v>4147.1331840000003</c:v>
                </c:pt>
                <c:pt idx="140">
                  <c:v>4185.2331840000006</c:v>
                </c:pt>
                <c:pt idx="141">
                  <c:v>4223.3331840000001</c:v>
                </c:pt>
                <c:pt idx="142">
                  <c:v>4261.4331840000004</c:v>
                </c:pt>
                <c:pt idx="143">
                  <c:v>4299.5331839999999</c:v>
                </c:pt>
                <c:pt idx="144">
                  <c:v>4329.9423180000003</c:v>
                </c:pt>
                <c:pt idx="145">
                  <c:v>4352.660586</c:v>
                </c:pt>
                <c:pt idx="146">
                  <c:v>4375.3773300000003</c:v>
                </c:pt>
                <c:pt idx="147">
                  <c:v>4398.0925500000003</c:v>
                </c:pt>
                <c:pt idx="148">
                  <c:v>4420.8054840000304</c:v>
                </c:pt>
                <c:pt idx="149">
                  <c:v>4443.5161320000307</c:v>
                </c:pt>
                <c:pt idx="150">
                  <c:v>4466.2435440000309</c:v>
                </c:pt>
                <c:pt idx="151">
                  <c:v>4488.987720000031</c:v>
                </c:pt>
                <c:pt idx="152">
                  <c:v>4511.7158940000008</c:v>
                </c:pt>
                <c:pt idx="153">
                  <c:v>4534.4280660000004</c:v>
                </c:pt>
                <c:pt idx="154">
                  <c:v>4564.8341520000004</c:v>
                </c:pt>
                <c:pt idx="155">
                  <c:v>4602.9341519999998</c:v>
                </c:pt>
                <c:pt idx="156">
                  <c:v>4633.4118660000004</c:v>
                </c:pt>
                <c:pt idx="157">
                  <c:v>4656.2672940000002</c:v>
                </c:pt>
                <c:pt idx="158">
                  <c:v>4686.7450079999999</c:v>
                </c:pt>
                <c:pt idx="159">
                  <c:v>4724.8450080000002</c:v>
                </c:pt>
                <c:pt idx="160">
                  <c:v>4762.9450079999997</c:v>
                </c:pt>
                <c:pt idx="161">
                  <c:v>4801.0450080000001</c:v>
                </c:pt>
                <c:pt idx="162">
                  <c:v>4831.451094</c:v>
                </c:pt>
                <c:pt idx="163">
                  <c:v>4854.1632660000005</c:v>
                </c:pt>
                <c:pt idx="164">
                  <c:v>4884.5693520000004</c:v>
                </c:pt>
                <c:pt idx="165">
                  <c:v>4922.6693519999999</c:v>
                </c:pt>
                <c:pt idx="166">
                  <c:v>4953.0777239999998</c:v>
                </c:pt>
                <c:pt idx="167">
                  <c:v>4975.7944680000001</c:v>
                </c:pt>
                <c:pt idx="168">
                  <c:v>4998.5134979999993</c:v>
                </c:pt>
                <c:pt idx="169">
                  <c:v>5021.2348140000004</c:v>
                </c:pt>
                <c:pt idx="170">
                  <c:v>5043.9607020000003</c:v>
                </c:pt>
                <c:pt idx="171">
                  <c:v>5066.6911620000001</c:v>
                </c:pt>
                <c:pt idx="172">
                  <c:v>5089.4246700000303</c:v>
                </c:pt>
                <c:pt idx="173">
                  <c:v>5112.1612260000311</c:v>
                </c:pt>
                <c:pt idx="174">
                  <c:v>5142.5795040000312</c:v>
                </c:pt>
                <c:pt idx="175">
                  <c:v>5180.6795040000316</c:v>
                </c:pt>
                <c:pt idx="176">
                  <c:v>5211.0970200000311</c:v>
                </c:pt>
                <c:pt idx="177">
                  <c:v>5233.8320520000307</c:v>
                </c:pt>
                <c:pt idx="178">
                  <c:v>5256.5632740000301</c:v>
                </c:pt>
                <c:pt idx="179">
                  <c:v>5279.2906860000312</c:v>
                </c:pt>
                <c:pt idx="180">
                  <c:v>5302.01505000003</c:v>
                </c:pt>
                <c:pt idx="181">
                  <c:v>5324.736366000031</c:v>
                </c:pt>
                <c:pt idx="182">
                  <c:v>5347.453872000031</c:v>
                </c:pt>
                <c:pt idx="183">
                  <c:v>5370.1675680000317</c:v>
                </c:pt>
                <c:pt idx="184">
                  <c:v>5392.8957420000306</c:v>
                </c:pt>
                <c:pt idx="185">
                  <c:v>5415.6383940000305</c:v>
                </c:pt>
                <c:pt idx="186">
                  <c:v>5438.365044000031</c:v>
                </c:pt>
                <c:pt idx="187">
                  <c:v>5461.0756920000304</c:v>
                </c:pt>
                <c:pt idx="188">
                  <c:v>5483.7878640000299</c:v>
                </c:pt>
                <c:pt idx="189">
                  <c:v>5506.5015600000306</c:v>
                </c:pt>
                <c:pt idx="190">
                  <c:v>5529.2183040000309</c:v>
                </c:pt>
                <c:pt idx="191">
                  <c:v>5551.9380960000308</c:v>
                </c:pt>
                <c:pt idx="192">
                  <c:v>5574.6556020000307</c:v>
                </c:pt>
                <c:pt idx="193">
                  <c:v>5597.3708220000608</c:v>
                </c:pt>
                <c:pt idx="194">
                  <c:v>5620.1561460000612</c:v>
                </c:pt>
                <c:pt idx="195">
                  <c:v>5643.011574000062</c:v>
                </c:pt>
                <c:pt idx="196">
                  <c:v>5665.8014700000613</c:v>
                </c:pt>
                <c:pt idx="197">
                  <c:v>5688.525834000061</c:v>
                </c:pt>
                <c:pt idx="198">
                  <c:v>5711.2517220000609</c:v>
                </c:pt>
                <c:pt idx="199">
                  <c:v>5733.9791340000611</c:v>
                </c:pt>
                <c:pt idx="200">
                  <c:v>5756.7088320000303</c:v>
                </c:pt>
                <c:pt idx="201">
                  <c:v>5779.4408160000312</c:v>
                </c:pt>
                <c:pt idx="202">
                  <c:v>5802.1674660000608</c:v>
                </c:pt>
                <c:pt idx="203">
                  <c:v>5824.8887820000609</c:v>
                </c:pt>
                <c:pt idx="204">
                  <c:v>5847.6078120000611</c:v>
                </c:pt>
                <c:pt idx="205">
                  <c:v>5870.3245560000614</c:v>
                </c:pt>
                <c:pt idx="206">
                  <c:v>5893.0397760000606</c:v>
                </c:pt>
                <c:pt idx="207">
                  <c:v>5915.7534720000613</c:v>
                </c:pt>
                <c:pt idx="208">
                  <c:v>5938.4641200000615</c:v>
                </c:pt>
                <c:pt idx="209">
                  <c:v>5961.1717200000621</c:v>
                </c:pt>
                <c:pt idx="210">
                  <c:v>5987.5369200000614</c:v>
                </c:pt>
                <c:pt idx="211">
                  <c:v>6017.559720000062</c:v>
                </c:pt>
                <c:pt idx="212">
                  <c:v>6051.6211200000616</c:v>
                </c:pt>
                <c:pt idx="213">
                  <c:v>6089.721120000062</c:v>
                </c:pt>
                <c:pt idx="214">
                  <c:v>6120.124920000062</c:v>
                </c:pt>
                <c:pt idx="215">
                  <c:v>6142.8325200000618</c:v>
                </c:pt>
                <c:pt idx="216">
                  <c:v>6165.5408820000612</c:v>
                </c:pt>
                <c:pt idx="217">
                  <c:v>6188.2500060000302</c:v>
                </c:pt>
                <c:pt idx="218">
                  <c:v>6210.9598920000308</c:v>
                </c:pt>
                <c:pt idx="219">
                  <c:v>6233.670540000031</c:v>
                </c:pt>
                <c:pt idx="220">
                  <c:v>6256.38195000003</c:v>
                </c:pt>
                <c:pt idx="221">
                  <c:v>6279.0941220000313</c:v>
                </c:pt>
                <c:pt idx="222">
                  <c:v>6309.5002080000313</c:v>
                </c:pt>
                <c:pt idx="223">
                  <c:v>6347.6002080000308</c:v>
                </c:pt>
                <c:pt idx="224">
                  <c:v>6385.7002080000311</c:v>
                </c:pt>
                <c:pt idx="225">
                  <c:v>6423.8002080000315</c:v>
                </c:pt>
                <c:pt idx="226">
                  <c:v>6461.9002080000309</c:v>
                </c:pt>
                <c:pt idx="227">
                  <c:v>6500.0002080000313</c:v>
                </c:pt>
                <c:pt idx="228">
                  <c:v>6530.4070560000309</c:v>
                </c:pt>
                <c:pt idx="229">
                  <c:v>6553.1207520000307</c:v>
                </c:pt>
                <c:pt idx="230">
                  <c:v>6575.8420680000318</c:v>
                </c:pt>
                <c:pt idx="231">
                  <c:v>6598.5710040000313</c:v>
                </c:pt>
                <c:pt idx="232">
                  <c:v>6621.3075600000302</c:v>
                </c:pt>
                <c:pt idx="233">
                  <c:v>6644.0517360000313</c:v>
                </c:pt>
                <c:pt idx="234">
                  <c:v>6666.80124600003</c:v>
                </c:pt>
                <c:pt idx="235">
                  <c:v>6689.556090000031</c:v>
                </c:pt>
                <c:pt idx="236">
                  <c:v>6712.302552000031</c:v>
                </c:pt>
                <c:pt idx="237">
                  <c:v>6735.0406320000302</c:v>
                </c:pt>
                <c:pt idx="238">
                  <c:v>6761.5140360000314</c:v>
                </c:pt>
                <c:pt idx="239">
                  <c:v>6784.2384000000302</c:v>
                </c:pt>
                <c:pt idx="240">
                  <c:v>6798.4192200000307</c:v>
                </c:pt>
                <c:pt idx="241">
                  <c:v>6811.5408600000301</c:v>
                </c:pt>
                <c:pt idx="242">
                  <c:v>6830.8270800000309</c:v>
                </c:pt>
                <c:pt idx="243">
                  <c:v>6868.9270800000313</c:v>
                </c:pt>
                <c:pt idx="244">
                  <c:v>6909.3130800000308</c:v>
                </c:pt>
                <c:pt idx="245">
                  <c:v>6939.3358800000306</c:v>
                </c:pt>
                <c:pt idx="246">
                  <c:v>6973.3972800000311</c:v>
                </c:pt>
                <c:pt idx="247">
                  <c:v>7011.4972800000305</c:v>
                </c:pt>
                <c:pt idx="248">
                  <c:v>7049.5972800000309</c:v>
                </c:pt>
                <c:pt idx="249">
                  <c:v>7087.6972800000312</c:v>
                </c:pt>
                <c:pt idx="250">
                  <c:v>7119.4917300000307</c:v>
                </c:pt>
                <c:pt idx="251">
                  <c:v>7144.9806300000309</c:v>
                </c:pt>
                <c:pt idx="252">
                  <c:v>7176.7750800000313</c:v>
                </c:pt>
                <c:pt idx="253">
                  <c:v>7214.8750800000307</c:v>
                </c:pt>
                <c:pt idx="254">
                  <c:v>7252.9750800000311</c:v>
                </c:pt>
                <c:pt idx="255">
                  <c:v>7291.0750800000305</c:v>
                </c:pt>
                <c:pt idx="256">
                  <c:v>7329.1750800000309</c:v>
                </c:pt>
                <c:pt idx="257">
                  <c:v>7367.2750800000313</c:v>
                </c:pt>
                <c:pt idx="258">
                  <c:v>7405.3750800000307</c:v>
                </c:pt>
                <c:pt idx="259">
                  <c:v>7443.4750800000311</c:v>
                </c:pt>
                <c:pt idx="260">
                  <c:v>7481.5750800000305</c:v>
                </c:pt>
                <c:pt idx="261">
                  <c:v>7519.6750800000309</c:v>
                </c:pt>
                <c:pt idx="262">
                  <c:v>7557.7750800000313</c:v>
                </c:pt>
                <c:pt idx="263">
                  <c:v>7595.8750800000307</c:v>
                </c:pt>
                <c:pt idx="264">
                  <c:v>7633.9750800000311</c:v>
                </c:pt>
                <c:pt idx="265">
                  <c:v>7672.0750800000305</c:v>
                </c:pt>
                <c:pt idx="266">
                  <c:v>7702.4804040000317</c:v>
                </c:pt>
                <c:pt idx="267">
                  <c:v>7725.191052000031</c:v>
                </c:pt>
                <c:pt idx="268">
                  <c:v>7755.5963760000313</c:v>
                </c:pt>
                <c:pt idx="269">
                  <c:v>7793.6963760000308</c:v>
                </c:pt>
                <c:pt idx="270">
                  <c:v>7824.1001760000308</c:v>
                </c:pt>
                <c:pt idx="271">
                  <c:v>7846.8077760000315</c:v>
                </c:pt>
                <c:pt idx="272">
                  <c:v>7877.2115760000315</c:v>
                </c:pt>
                <c:pt idx="273">
                  <c:v>7915.311576000031</c:v>
                </c:pt>
                <c:pt idx="274">
                  <c:v>7945.7161380000307</c:v>
                </c:pt>
                <c:pt idx="275">
                  <c:v>7968.4252620000307</c:v>
                </c:pt>
                <c:pt idx="276">
                  <c:v>7991.133624000031</c:v>
                </c:pt>
                <c:pt idx="277">
                  <c:v>8013.8412240000307</c:v>
                </c:pt>
                <c:pt idx="278">
                  <c:v>8036.5488240000304</c:v>
                </c:pt>
                <c:pt idx="279">
                  <c:v>8059.2564240000311</c:v>
                </c:pt>
                <c:pt idx="280">
                  <c:v>8081.9647860000314</c:v>
                </c:pt>
                <c:pt idx="281">
                  <c:v>8104.6739100000304</c:v>
                </c:pt>
                <c:pt idx="282">
                  <c:v>8135.0784720000311</c:v>
                </c:pt>
                <c:pt idx="283">
                  <c:v>8173.1784720000314</c:v>
                </c:pt>
                <c:pt idx="284">
                  <c:v>8203.5830340000302</c:v>
                </c:pt>
                <c:pt idx="285">
                  <c:v>8226.2921580000311</c:v>
                </c:pt>
                <c:pt idx="286">
                  <c:v>8249.0028060000313</c:v>
                </c:pt>
                <c:pt idx="287">
                  <c:v>8271.7149780000309</c:v>
                </c:pt>
                <c:pt idx="288">
                  <c:v>8294.4271500000305</c:v>
                </c:pt>
                <c:pt idx="289">
                  <c:v>8317.1393220000318</c:v>
                </c:pt>
                <c:pt idx="290">
                  <c:v>8339.8514940000314</c:v>
                </c:pt>
                <c:pt idx="291">
                  <c:v>8362.563666</c:v>
                </c:pt>
                <c:pt idx="292">
                  <c:v>8388.931152000001</c:v>
                </c:pt>
                <c:pt idx="293">
                  <c:v>8418.9539520000017</c:v>
                </c:pt>
                <c:pt idx="294">
                  <c:v>8453.0153520000003</c:v>
                </c:pt>
                <c:pt idx="295">
                  <c:v>8491.1153520000007</c:v>
                </c:pt>
                <c:pt idx="296">
                  <c:v>8521.5199140000313</c:v>
                </c:pt>
                <c:pt idx="297">
                  <c:v>8544.2290380000304</c:v>
                </c:pt>
                <c:pt idx="298">
                  <c:v>8574.6336000000301</c:v>
                </c:pt>
                <c:pt idx="299">
                  <c:v>8612.7336000000305</c:v>
                </c:pt>
                <c:pt idx="300">
                  <c:v>8650.8336000000309</c:v>
                </c:pt>
                <c:pt idx="301">
                  <c:v>8688.9336000000312</c:v>
                </c:pt>
                <c:pt idx="302">
                  <c:v>8727.0336000000298</c:v>
                </c:pt>
                <c:pt idx="303">
                  <c:v>8765.1336000000301</c:v>
                </c:pt>
                <c:pt idx="304">
                  <c:v>8803.2336000000305</c:v>
                </c:pt>
                <c:pt idx="305">
                  <c:v>8841.3336000000309</c:v>
                </c:pt>
                <c:pt idx="306">
                  <c:v>8879.4336000000312</c:v>
                </c:pt>
                <c:pt idx="307">
                  <c:v>8917.5336000000298</c:v>
                </c:pt>
                <c:pt idx="308">
                  <c:v>8955.6336000000301</c:v>
                </c:pt>
                <c:pt idx="309">
                  <c:v>8993.7336000000305</c:v>
                </c:pt>
                <c:pt idx="310">
                  <c:v>9031.8336000000309</c:v>
                </c:pt>
                <c:pt idx="311">
                  <c:v>9069.9336000000312</c:v>
                </c:pt>
                <c:pt idx="312">
                  <c:v>9108.0336000000298</c:v>
                </c:pt>
                <c:pt idx="313">
                  <c:v>9146.1336000000301</c:v>
                </c:pt>
                <c:pt idx="314">
                  <c:v>9184.2336000000305</c:v>
                </c:pt>
                <c:pt idx="315">
                  <c:v>9222.3336000000309</c:v>
                </c:pt>
                <c:pt idx="316">
                  <c:v>9260.4336000000312</c:v>
                </c:pt>
                <c:pt idx="317">
                  <c:v>9298.5336000000298</c:v>
                </c:pt>
                <c:pt idx="318">
                  <c:v>9328.9374000000298</c:v>
                </c:pt>
                <c:pt idx="319">
                  <c:v>9351.6450000000295</c:v>
                </c:pt>
                <c:pt idx="320">
                  <c:v>9382.0488000000296</c:v>
                </c:pt>
                <c:pt idx="321">
                  <c:v>9420.14880000003</c:v>
                </c:pt>
                <c:pt idx="322">
                  <c:v>9458.2488000000303</c:v>
                </c:pt>
                <c:pt idx="323">
                  <c:v>9496.3488000000307</c:v>
                </c:pt>
                <c:pt idx="324">
                  <c:v>9534.448800000031</c:v>
                </c:pt>
                <c:pt idx="325">
                  <c:v>9572.5488000000296</c:v>
                </c:pt>
                <c:pt idx="326">
                  <c:v>9610.64880000003</c:v>
                </c:pt>
                <c:pt idx="327">
                  <c:v>9648.7488000000303</c:v>
                </c:pt>
                <c:pt idx="328">
                  <c:v>9686.8488000000307</c:v>
                </c:pt>
                <c:pt idx="329">
                  <c:v>9724.948800000031</c:v>
                </c:pt>
                <c:pt idx="330">
                  <c:v>9763.0488000000296</c:v>
                </c:pt>
                <c:pt idx="331">
                  <c:v>9801.14880000003</c:v>
                </c:pt>
                <c:pt idx="332">
                  <c:v>9831.5548860000308</c:v>
                </c:pt>
                <c:pt idx="333">
                  <c:v>9854.2670580000304</c:v>
                </c:pt>
                <c:pt idx="334">
                  <c:v>9876.9792300000317</c:v>
                </c:pt>
                <c:pt idx="335">
                  <c:v>9899.6914020000622</c:v>
                </c:pt>
                <c:pt idx="336">
                  <c:v>9930.0974880000613</c:v>
                </c:pt>
                <c:pt idx="337">
                  <c:v>9968.1974880000616</c:v>
                </c:pt>
                <c:pt idx="338">
                  <c:v>10006.297488000062</c:v>
                </c:pt>
                <c:pt idx="339">
                  <c:v>10044.397488000062</c:v>
                </c:pt>
                <c:pt idx="340">
                  <c:v>10079.78248200003</c:v>
                </c:pt>
                <c:pt idx="341">
                  <c:v>10112.45247</c:v>
                </c:pt>
                <c:pt idx="342">
                  <c:v>10140.142026000001</c:v>
                </c:pt>
                <c:pt idx="343">
                  <c:v>10162.851149999969</c:v>
                </c:pt>
                <c:pt idx="344">
                  <c:v>10185.560273999999</c:v>
                </c:pt>
                <c:pt idx="345">
                  <c:v>10208.269398000029</c:v>
                </c:pt>
                <c:pt idx="346">
                  <c:v>10238.673960000031</c:v>
                </c:pt>
                <c:pt idx="347">
                  <c:v>10276.773960000031</c:v>
                </c:pt>
                <c:pt idx="348">
                  <c:v>10314.87396000003</c:v>
                </c:pt>
                <c:pt idx="349">
                  <c:v>10352.97396000003</c:v>
                </c:pt>
                <c:pt idx="350">
                  <c:v>10391.073960000031</c:v>
                </c:pt>
                <c:pt idx="351">
                  <c:v>10429.173960000031</c:v>
                </c:pt>
                <c:pt idx="352">
                  <c:v>10467.273960000031</c:v>
                </c:pt>
                <c:pt idx="353">
                  <c:v>10505.37396000003</c:v>
                </c:pt>
                <c:pt idx="354">
                  <c:v>10535.781570000032</c:v>
                </c:pt>
                <c:pt idx="355">
                  <c:v>10558.496790000001</c:v>
                </c:pt>
                <c:pt idx="356">
                  <c:v>10581.21200999997</c:v>
                </c:pt>
                <c:pt idx="357">
                  <c:v>10603.927229999999</c:v>
                </c:pt>
                <c:pt idx="358">
                  <c:v>10630.29700199997</c:v>
                </c:pt>
                <c:pt idx="359">
                  <c:v>10660.321325999939</c:v>
                </c:pt>
                <c:pt idx="360">
                  <c:v>10694.383487999939</c:v>
                </c:pt>
                <c:pt idx="361">
                  <c:v>10732.48348799994</c:v>
                </c:pt>
                <c:pt idx="362">
                  <c:v>10770.58348799994</c:v>
                </c:pt>
                <c:pt idx="363">
                  <c:v>10808.683487999941</c:v>
                </c:pt>
                <c:pt idx="364">
                  <c:v>10846.783487999939</c:v>
                </c:pt>
                <c:pt idx="365">
                  <c:v>10884.883487999939</c:v>
                </c:pt>
                <c:pt idx="366">
                  <c:v>10922.98348799994</c:v>
                </c:pt>
                <c:pt idx="367">
                  <c:v>10961.08348799994</c:v>
                </c:pt>
                <c:pt idx="368">
                  <c:v>10999.183487999941</c:v>
                </c:pt>
                <c:pt idx="369">
                  <c:v>11037.283487999939</c:v>
                </c:pt>
                <c:pt idx="370">
                  <c:v>11075.383487999939</c:v>
                </c:pt>
                <c:pt idx="371">
                  <c:v>11113.48348799994</c:v>
                </c:pt>
                <c:pt idx="372">
                  <c:v>11151.58348799994</c:v>
                </c:pt>
                <c:pt idx="373">
                  <c:v>11189.683487999941</c:v>
                </c:pt>
                <c:pt idx="374">
                  <c:v>11227.783487999939</c:v>
                </c:pt>
                <c:pt idx="375">
                  <c:v>11265.883487999939</c:v>
                </c:pt>
                <c:pt idx="376">
                  <c:v>11303.98348799994</c:v>
                </c:pt>
                <c:pt idx="377">
                  <c:v>11342.08348799994</c:v>
                </c:pt>
                <c:pt idx="378">
                  <c:v>11380.183487999941</c:v>
                </c:pt>
                <c:pt idx="379">
                  <c:v>11418.283487999939</c:v>
                </c:pt>
                <c:pt idx="380">
                  <c:v>11456.383487999939</c:v>
                </c:pt>
                <c:pt idx="381">
                  <c:v>11494.48348799994</c:v>
                </c:pt>
                <c:pt idx="382">
                  <c:v>11532.58348799994</c:v>
                </c:pt>
                <c:pt idx="383">
                  <c:v>11570.683487999941</c:v>
                </c:pt>
                <c:pt idx="384">
                  <c:v>11604.744887999939</c:v>
                </c:pt>
                <c:pt idx="385">
                  <c:v>11634.76768799994</c:v>
                </c:pt>
                <c:pt idx="386">
                  <c:v>11668.82908799994</c:v>
                </c:pt>
                <c:pt idx="387">
                  <c:v>11706.929087999941</c:v>
                </c:pt>
                <c:pt idx="388">
                  <c:v>11745.029087999939</c:v>
                </c:pt>
                <c:pt idx="389">
                  <c:v>11783.12908799994</c:v>
                </c:pt>
                <c:pt idx="390">
                  <c:v>11821.22908799994</c:v>
                </c:pt>
                <c:pt idx="391">
                  <c:v>11859.32908799994</c:v>
                </c:pt>
                <c:pt idx="392">
                  <c:v>11888.61122399994</c:v>
                </c:pt>
                <c:pt idx="393">
                  <c:v>11909.075495999939</c:v>
                </c:pt>
                <c:pt idx="394">
                  <c:v>11938.357631999939</c:v>
                </c:pt>
              </c:numCache>
            </c:numRef>
          </c:xVal>
          <c:yVal>
            <c:numRef>
              <c:f>FL6_WD!$Z$3:$Z$13073</c:f>
              <c:numCache>
                <c:formatCode>General</c:formatCode>
                <c:ptCount val="13071"/>
                <c:pt idx="0">
                  <c:v>108.97369580339425</c:v>
                </c:pt>
                <c:pt idx="1">
                  <c:v>108.97474761558871</c:v>
                </c:pt>
                <c:pt idx="2">
                  <c:v>108.95992495311023</c:v>
                </c:pt>
                <c:pt idx="3">
                  <c:v>108.96573242819333</c:v>
                </c:pt>
                <c:pt idx="4">
                  <c:v>108.97064831422638</c:v>
                </c:pt>
                <c:pt idx="5">
                  <c:v>108.98267715194946</c:v>
                </c:pt>
                <c:pt idx="6">
                  <c:v>109.00128248873985</c:v>
                </c:pt>
                <c:pt idx="7">
                  <c:v>108.99985491059375</c:v>
                </c:pt>
                <c:pt idx="8">
                  <c:v>109.06917002646992</c:v>
                </c:pt>
                <c:pt idx="9">
                  <c:v>109.13437408450795</c:v>
                </c:pt>
                <c:pt idx="10">
                  <c:v>109.17977382372426</c:v>
                </c:pt>
                <c:pt idx="11">
                  <c:v>109.20857877029164</c:v>
                </c:pt>
                <c:pt idx="12">
                  <c:v>109.24530103771565</c:v>
                </c:pt>
                <c:pt idx="13">
                  <c:v>117.20518510334595</c:v>
                </c:pt>
                <c:pt idx="14">
                  <c:v>128.72987606486248</c:v>
                </c:pt>
                <c:pt idx="15">
                  <c:v>140.25456702637899</c:v>
                </c:pt>
                <c:pt idx="16">
                  <c:v>150.55764074597474</c:v>
                </c:pt>
                <c:pt idx="17">
                  <c:v>159.63909722364974</c:v>
                </c:pt>
                <c:pt idx="18">
                  <c:v>167.61487485047687</c:v>
                </c:pt>
                <c:pt idx="19">
                  <c:v>174.48497362645608</c:v>
                </c:pt>
                <c:pt idx="20">
                  <c:v>181.3553028962545</c:v>
                </c:pt>
                <c:pt idx="21">
                  <c:v>188.22586265987221</c:v>
                </c:pt>
                <c:pt idx="22">
                  <c:v>195.09642242348991</c:v>
                </c:pt>
                <c:pt idx="23">
                  <c:v>201.96698218710759</c:v>
                </c:pt>
                <c:pt idx="24">
                  <c:v>208.83846392600216</c:v>
                </c:pt>
                <c:pt idx="25">
                  <c:v>215.71086764017369</c:v>
                </c:pt>
                <c:pt idx="26">
                  <c:v>222.58188839142986</c:v>
                </c:pt>
                <c:pt idx="27">
                  <c:v>229.45152617977061</c:v>
                </c:pt>
                <c:pt idx="28">
                  <c:v>236.32162495574988</c:v>
                </c:pt>
                <c:pt idx="29">
                  <c:v>243.1921847193675</c:v>
                </c:pt>
                <c:pt idx="30">
                  <c:v>250.06205300152749</c:v>
                </c:pt>
                <c:pt idx="31">
                  <c:v>256.93122980222984</c:v>
                </c:pt>
                <c:pt idx="32">
                  <c:v>263.80040660293213</c:v>
                </c:pt>
                <c:pt idx="33">
                  <c:v>270.66958340363442</c:v>
                </c:pt>
                <c:pt idx="34">
                  <c:v>279.86651728474294</c:v>
                </c:pt>
                <c:pt idx="35">
                  <c:v>291.3912082462594</c:v>
                </c:pt>
                <c:pt idx="36">
                  <c:v>302.91589920777591</c:v>
                </c:pt>
                <c:pt idx="37">
                  <c:v>314.44059016929236</c:v>
                </c:pt>
                <c:pt idx="38">
                  <c:v>325.96528113080899</c:v>
                </c:pt>
                <c:pt idx="39">
                  <c:v>337.48997209232539</c:v>
                </c:pt>
                <c:pt idx="40">
                  <c:v>349.01466305384196</c:v>
                </c:pt>
                <c:pt idx="41">
                  <c:v>360.53935401535847</c:v>
                </c:pt>
                <c:pt idx="42">
                  <c:v>369.73605740264861</c:v>
                </c:pt>
                <c:pt idx="43">
                  <c:v>376.60477321571244</c:v>
                </c:pt>
                <c:pt idx="44">
                  <c:v>385.80147660300264</c:v>
                </c:pt>
                <c:pt idx="45">
                  <c:v>397.3261675645191</c:v>
                </c:pt>
                <c:pt idx="46">
                  <c:v>406.52379292708622</c:v>
                </c:pt>
                <c:pt idx="47">
                  <c:v>413.3943526907039</c:v>
                </c:pt>
                <c:pt idx="48">
                  <c:v>421.37036081135028</c:v>
                </c:pt>
                <c:pt idx="49">
                  <c:v>430.45181728902531</c:v>
                </c:pt>
                <c:pt idx="50">
                  <c:v>438.42874738494851</c:v>
                </c:pt>
                <c:pt idx="51">
                  <c:v>445.30115109912003</c:v>
                </c:pt>
                <c:pt idx="52">
                  <c:v>452.17240234419631</c:v>
                </c:pt>
                <c:pt idx="53">
                  <c:v>459.04250112017559</c:v>
                </c:pt>
                <c:pt idx="54">
                  <c:v>465.91236940233551</c:v>
                </c:pt>
                <c:pt idx="55">
                  <c:v>472.78200719067638</c:v>
                </c:pt>
                <c:pt idx="56">
                  <c:v>479.65233646047568</c:v>
                </c:pt>
                <c:pt idx="57">
                  <c:v>486.52335721173273</c:v>
                </c:pt>
                <c:pt idx="58">
                  <c:v>493.39483895062739</c:v>
                </c:pt>
                <c:pt idx="59">
                  <c:v>500.26678167715943</c:v>
                </c:pt>
                <c:pt idx="60">
                  <c:v>507.13987687278865</c:v>
                </c:pt>
                <c:pt idx="61">
                  <c:v>514.01412453751402</c:v>
                </c:pt>
                <c:pt idx="62">
                  <c:v>520.88860269605868</c:v>
                </c:pt>
                <c:pt idx="63">
                  <c:v>527.76331134842167</c:v>
                </c:pt>
                <c:pt idx="64">
                  <c:v>534.6361760502316</c:v>
                </c:pt>
                <c:pt idx="65">
                  <c:v>541.50719680148859</c:v>
                </c:pt>
                <c:pt idx="66">
                  <c:v>548.37752607128698</c:v>
                </c:pt>
                <c:pt idx="67">
                  <c:v>555.24716385962779</c:v>
                </c:pt>
                <c:pt idx="68">
                  <c:v>562.11726263560706</c:v>
                </c:pt>
                <c:pt idx="69">
                  <c:v>568.98782239922468</c:v>
                </c:pt>
                <c:pt idx="70">
                  <c:v>575.85884315048088</c:v>
                </c:pt>
                <c:pt idx="71">
                  <c:v>582.73032488937554</c:v>
                </c:pt>
                <c:pt idx="72">
                  <c:v>589.60134564063151</c:v>
                </c:pt>
                <c:pt idx="73">
                  <c:v>596.47190540424924</c:v>
                </c:pt>
                <c:pt idx="74">
                  <c:v>603.34177368640928</c:v>
                </c:pt>
                <c:pt idx="75">
                  <c:v>610.21095048711163</c:v>
                </c:pt>
                <c:pt idx="76">
                  <c:v>619.40788436822106</c:v>
                </c:pt>
                <c:pt idx="77">
                  <c:v>630.93257532973746</c:v>
                </c:pt>
                <c:pt idx="78">
                  <c:v>640.13250563049689</c:v>
                </c:pt>
                <c:pt idx="79">
                  <c:v>647.00767527049913</c:v>
                </c:pt>
                <c:pt idx="80">
                  <c:v>656.20760557125857</c:v>
                </c:pt>
                <c:pt idx="81">
                  <c:v>667.73229653277508</c:v>
                </c:pt>
                <c:pt idx="82">
                  <c:v>676.93360979644979</c:v>
                </c:pt>
                <c:pt idx="83">
                  <c:v>683.81154536228303</c:v>
                </c:pt>
                <c:pt idx="84">
                  <c:v>691.79124138403699</c:v>
                </c:pt>
                <c:pt idx="85">
                  <c:v>700.8726978617118</c:v>
                </c:pt>
                <c:pt idx="86">
                  <c:v>711.17577158130769</c:v>
                </c:pt>
                <c:pt idx="87">
                  <c:v>722.7004625428242</c:v>
                </c:pt>
                <c:pt idx="88">
                  <c:v>734.22515350434082</c:v>
                </c:pt>
                <c:pt idx="89">
                  <c:v>745.74984446585711</c:v>
                </c:pt>
                <c:pt idx="90">
                  <c:v>757.27453542737362</c:v>
                </c:pt>
                <c:pt idx="91">
                  <c:v>768.79922638889013</c:v>
                </c:pt>
                <c:pt idx="92">
                  <c:v>777.99708224527558</c:v>
                </c:pt>
                <c:pt idx="93">
                  <c:v>784.86810299653189</c:v>
                </c:pt>
                <c:pt idx="94">
                  <c:v>791.74050671070245</c:v>
                </c:pt>
                <c:pt idx="95">
                  <c:v>798.61429338779112</c:v>
                </c:pt>
                <c:pt idx="96">
                  <c:v>807.81353220709275</c:v>
                </c:pt>
                <c:pt idx="97">
                  <c:v>819.33822316860926</c:v>
                </c:pt>
                <c:pt idx="98">
                  <c:v>830.86291413012577</c:v>
                </c:pt>
                <c:pt idx="99">
                  <c:v>842.38760509164229</c:v>
                </c:pt>
                <c:pt idx="100">
                  <c:v>851.58430847893237</c:v>
                </c:pt>
                <c:pt idx="101">
                  <c:v>858.45302429199626</c:v>
                </c:pt>
                <c:pt idx="102">
                  <c:v>865.32611948762553</c:v>
                </c:pt>
                <c:pt idx="103">
                  <c:v>872.20359406582122</c:v>
                </c:pt>
                <c:pt idx="104">
                  <c:v>879.07784173054631</c:v>
                </c:pt>
                <c:pt idx="105">
                  <c:v>885.94886248180342</c:v>
                </c:pt>
                <c:pt idx="106">
                  <c:v>895.14671833819079</c:v>
                </c:pt>
                <c:pt idx="107">
                  <c:v>906.67140929970731</c:v>
                </c:pt>
                <c:pt idx="108">
                  <c:v>918.19610026122382</c:v>
                </c:pt>
                <c:pt idx="109">
                  <c:v>929.72079122273669</c:v>
                </c:pt>
                <c:pt idx="110">
                  <c:v>941.24548218425321</c:v>
                </c:pt>
                <c:pt idx="111">
                  <c:v>952.77017314576972</c:v>
                </c:pt>
                <c:pt idx="112">
                  <c:v>964.29486410728623</c:v>
                </c:pt>
                <c:pt idx="113">
                  <c:v>975.81955506880263</c:v>
                </c:pt>
                <c:pt idx="114">
                  <c:v>985.01625845609294</c:v>
                </c:pt>
                <c:pt idx="115">
                  <c:v>991.88497426915671</c:v>
                </c:pt>
                <c:pt idx="116">
                  <c:v>1000.4840071831827</c:v>
                </c:pt>
                <c:pt idx="117">
                  <c:v>1010.8133571981706</c:v>
                </c:pt>
                <c:pt idx="118">
                  <c:v>1021.7403776864229</c:v>
                </c:pt>
                <c:pt idx="119">
                  <c:v>1033.2650686479394</c:v>
                </c:pt>
                <c:pt idx="120">
                  <c:v>1044.7897596094558</c:v>
                </c:pt>
                <c:pt idx="121">
                  <c:v>1056.3144505709724</c:v>
                </c:pt>
                <c:pt idx="122">
                  <c:v>1065.5111539582624</c:v>
                </c:pt>
                <c:pt idx="123">
                  <c:v>1072.3798697713264</c:v>
                </c:pt>
                <c:pt idx="124">
                  <c:v>1081.5765731586166</c:v>
                </c:pt>
                <c:pt idx="125">
                  <c:v>1093.101264120133</c:v>
                </c:pt>
                <c:pt idx="126">
                  <c:v>1104.6259550816496</c:v>
                </c:pt>
                <c:pt idx="127">
                  <c:v>1116.150646043166</c:v>
                </c:pt>
                <c:pt idx="128">
                  <c:v>1127.6753370046827</c:v>
                </c:pt>
                <c:pt idx="129">
                  <c:v>1139.2000279661991</c:v>
                </c:pt>
                <c:pt idx="130">
                  <c:v>1150.7247189277155</c:v>
                </c:pt>
                <c:pt idx="131">
                  <c:v>1162.2494098892321</c:v>
                </c:pt>
                <c:pt idx="132">
                  <c:v>1173.7741008507485</c:v>
                </c:pt>
                <c:pt idx="133">
                  <c:v>1185.2987918122651</c:v>
                </c:pt>
                <c:pt idx="134">
                  <c:v>1196.8234827737815</c:v>
                </c:pt>
                <c:pt idx="135">
                  <c:v>1208.3481737352981</c:v>
                </c:pt>
                <c:pt idx="136">
                  <c:v>1219.8728646968145</c:v>
                </c:pt>
                <c:pt idx="137">
                  <c:v>1231.3975556583312</c:v>
                </c:pt>
                <c:pt idx="138">
                  <c:v>1242.9222466198476</c:v>
                </c:pt>
                <c:pt idx="139">
                  <c:v>1254.4469375813644</c:v>
                </c:pt>
                <c:pt idx="140">
                  <c:v>1265.9716285428808</c:v>
                </c:pt>
                <c:pt idx="141">
                  <c:v>1277.496319504397</c:v>
                </c:pt>
                <c:pt idx="142">
                  <c:v>1289.0210104659138</c:v>
                </c:pt>
                <c:pt idx="143">
                  <c:v>1300.54570142743</c:v>
                </c:pt>
                <c:pt idx="144">
                  <c:v>1309.7440182714549</c:v>
                </c:pt>
                <c:pt idx="145">
                  <c:v>1316.6159609979879</c:v>
                </c:pt>
                <c:pt idx="146">
                  <c:v>1323.4874427368827</c:v>
                </c:pt>
                <c:pt idx="147">
                  <c:v>1330.358463488139</c:v>
                </c:pt>
                <c:pt idx="148">
                  <c:v>1337.2287927579464</c:v>
                </c:pt>
                <c:pt idx="149">
                  <c:v>1344.0984305462873</c:v>
                </c:pt>
                <c:pt idx="150">
                  <c:v>1350.9731391986511</c:v>
                </c:pt>
                <c:pt idx="151">
                  <c:v>1357.852918715038</c:v>
                </c:pt>
                <c:pt idx="152">
                  <c:v>1364.727857861212</c:v>
                </c:pt>
                <c:pt idx="153">
                  <c:v>1371.5979566371909</c:v>
                </c:pt>
                <c:pt idx="154">
                  <c:v>1380.7953515059392</c:v>
                </c:pt>
                <c:pt idx="155">
                  <c:v>1392.3200424674556</c:v>
                </c:pt>
                <c:pt idx="156">
                  <c:v>1401.539103755211</c:v>
                </c:pt>
                <c:pt idx="157">
                  <c:v>1408.4525353692054</c:v>
                </c:pt>
                <c:pt idx="158">
                  <c:v>1417.6715966569609</c:v>
                </c:pt>
                <c:pt idx="159">
                  <c:v>1429.1962876184778</c:v>
                </c:pt>
                <c:pt idx="160">
                  <c:v>1440.7209785799939</c:v>
                </c:pt>
                <c:pt idx="161">
                  <c:v>1452.2456695415103</c:v>
                </c:pt>
                <c:pt idx="162">
                  <c:v>1461.4430644102583</c:v>
                </c:pt>
                <c:pt idx="163">
                  <c:v>1468.3131631862377</c:v>
                </c:pt>
                <c:pt idx="164">
                  <c:v>1477.5105580549855</c:v>
                </c:pt>
                <c:pt idx="165">
                  <c:v>1489.0352490165019</c:v>
                </c:pt>
                <c:pt idx="166">
                  <c:v>1498.2333353667075</c:v>
                </c:pt>
                <c:pt idx="167">
                  <c:v>1505.104817105602</c:v>
                </c:pt>
                <c:pt idx="168">
                  <c:v>1511.9769903259539</c:v>
                </c:pt>
                <c:pt idx="169">
                  <c:v>1518.8498550277641</c:v>
                </c:pt>
                <c:pt idx="170">
                  <c:v>1525.7241026924899</c:v>
                </c:pt>
                <c:pt idx="171">
                  <c:v>1532.5997333201308</c:v>
                </c:pt>
                <c:pt idx="172">
                  <c:v>1539.4762859230573</c:v>
                </c:pt>
                <c:pt idx="173">
                  <c:v>1546.3537605012521</c:v>
                </c:pt>
                <c:pt idx="174">
                  <c:v>1555.5548432711078</c:v>
                </c:pt>
                <c:pt idx="175">
                  <c:v>1567.0795342326242</c:v>
                </c:pt>
                <c:pt idx="176">
                  <c:v>1576.2803865086605</c:v>
                </c:pt>
                <c:pt idx="177">
                  <c:v>1583.1574000992164</c:v>
                </c:pt>
                <c:pt idx="178">
                  <c:v>1590.0332612206762</c:v>
                </c:pt>
                <c:pt idx="179">
                  <c:v>1596.9079698730404</c:v>
                </c:pt>
                <c:pt idx="180">
                  <c:v>1603.7817565501271</c:v>
                </c:pt>
                <c:pt idx="181">
                  <c:v>1610.6546212519374</c:v>
                </c:pt>
                <c:pt idx="182">
                  <c:v>1617.5263334846511</c:v>
                </c:pt>
                <c:pt idx="183">
                  <c:v>1624.396893248269</c:v>
                </c:pt>
                <c:pt idx="184">
                  <c:v>1631.2718323944518</c:v>
                </c:pt>
                <c:pt idx="185">
                  <c:v>1638.1511509232</c:v>
                </c:pt>
                <c:pt idx="186">
                  <c:v>1645.0256290817449</c:v>
                </c:pt>
                <c:pt idx="187">
                  <c:v>1651.8952668700854</c:v>
                </c:pt>
                <c:pt idx="188">
                  <c:v>1658.7653656460645</c:v>
                </c:pt>
                <c:pt idx="189">
                  <c:v>1665.6359254096824</c:v>
                </c:pt>
                <c:pt idx="190">
                  <c:v>1672.5074071485769</c:v>
                </c:pt>
                <c:pt idx="191">
                  <c:v>1679.3798108627484</c:v>
                </c:pt>
                <c:pt idx="192">
                  <c:v>1686.2515230954623</c:v>
                </c:pt>
                <c:pt idx="193">
                  <c:v>1693.1225438467277</c:v>
                </c:pt>
                <c:pt idx="194">
                  <c:v>1700.0147700293533</c:v>
                </c:pt>
                <c:pt idx="195">
                  <c:v>1706.9282016433478</c:v>
                </c:pt>
                <c:pt idx="196">
                  <c:v>1713.8218107888881</c:v>
                </c:pt>
                <c:pt idx="197">
                  <c:v>1720.695597465975</c:v>
                </c:pt>
                <c:pt idx="198">
                  <c:v>1727.5698451307005</c:v>
                </c:pt>
                <c:pt idx="199">
                  <c:v>1734.4445537830643</c:v>
                </c:pt>
                <c:pt idx="200">
                  <c:v>1741.3199539168766</c:v>
                </c:pt>
                <c:pt idx="201">
                  <c:v>1748.1960455321562</c:v>
                </c:pt>
                <c:pt idx="202">
                  <c:v>1755.0705236907097</c:v>
                </c:pt>
                <c:pt idx="203">
                  <c:v>1761.9433883925194</c:v>
                </c:pt>
                <c:pt idx="204">
                  <c:v>1768.815561612872</c:v>
                </c:pt>
                <c:pt idx="205">
                  <c:v>1775.6870433517665</c:v>
                </c:pt>
                <c:pt idx="206">
                  <c:v>1782.5580641030226</c:v>
                </c:pt>
                <c:pt idx="207">
                  <c:v>1789.4286238666402</c:v>
                </c:pt>
                <c:pt idx="208">
                  <c:v>1796.2982616549814</c:v>
                </c:pt>
                <c:pt idx="209">
                  <c:v>1803.1669774680454</c:v>
                </c:pt>
                <c:pt idx="210">
                  <c:v>1811.1420636134144</c:v>
                </c:pt>
                <c:pt idx="211">
                  <c:v>1820.2235200910895</c:v>
                </c:pt>
                <c:pt idx="212">
                  <c:v>1830.5265938106857</c:v>
                </c:pt>
                <c:pt idx="213">
                  <c:v>1842.0512847722021</c:v>
                </c:pt>
                <c:pt idx="214">
                  <c:v>1851.2479881594923</c:v>
                </c:pt>
                <c:pt idx="215">
                  <c:v>1858.116703972556</c:v>
                </c:pt>
                <c:pt idx="216">
                  <c:v>1864.9856502794385</c:v>
                </c:pt>
                <c:pt idx="217">
                  <c:v>1871.8548270801318</c:v>
                </c:pt>
                <c:pt idx="218">
                  <c:v>1878.7242343746534</c:v>
                </c:pt>
                <c:pt idx="219">
                  <c:v>1885.5938721629946</c:v>
                </c:pt>
                <c:pt idx="220">
                  <c:v>1892.4637404451539</c:v>
                </c:pt>
                <c:pt idx="221">
                  <c:v>1899.3338392211333</c:v>
                </c:pt>
                <c:pt idx="222">
                  <c:v>1908.5312340898815</c:v>
                </c:pt>
                <c:pt idx="223">
                  <c:v>1920.0559250513977</c:v>
                </c:pt>
                <c:pt idx="224">
                  <c:v>1931.5806160129146</c:v>
                </c:pt>
                <c:pt idx="225">
                  <c:v>1943.105306974431</c:v>
                </c:pt>
                <c:pt idx="226">
                  <c:v>1954.6299979359476</c:v>
                </c:pt>
                <c:pt idx="227">
                  <c:v>1966.154688897464</c:v>
                </c:pt>
                <c:pt idx="228">
                  <c:v>1975.3523142600309</c:v>
                </c:pt>
                <c:pt idx="229">
                  <c:v>1982.2228740236483</c:v>
                </c:pt>
                <c:pt idx="230">
                  <c:v>1989.0957387254593</c:v>
                </c:pt>
                <c:pt idx="231">
                  <c:v>1995.9709083654607</c:v>
                </c:pt>
                <c:pt idx="232">
                  <c:v>2002.848382943655</c:v>
                </c:pt>
                <c:pt idx="233">
                  <c:v>2009.7281624600425</c:v>
                </c:pt>
                <c:pt idx="234">
                  <c:v>2016.6095554331637</c:v>
                </c:pt>
                <c:pt idx="235">
                  <c:v>2023.4925618630198</c:v>
                </c:pt>
                <c:pt idx="236">
                  <c:v>2030.3730328608644</c:v>
                </c:pt>
                <c:pt idx="237">
                  <c:v>2037.2509684266972</c:v>
                </c:pt>
                <c:pt idx="238">
                  <c:v>2045.2587846943977</c:v>
                </c:pt>
                <c:pt idx="239">
                  <c:v>2052.1325713714846</c:v>
                </c:pt>
                <c:pt idx="240">
                  <c:v>2056.4220613473608</c:v>
                </c:pt>
                <c:pt idx="241">
                  <c:v>2060.3911649145075</c:v>
                </c:pt>
                <c:pt idx="242">
                  <c:v>2066.2249634792274</c:v>
                </c:pt>
                <c:pt idx="243">
                  <c:v>2077.7496544407436</c:v>
                </c:pt>
                <c:pt idx="244">
                  <c:v>2089.965826859951</c:v>
                </c:pt>
                <c:pt idx="245">
                  <c:v>2099.0472833376261</c:v>
                </c:pt>
                <c:pt idx="246">
                  <c:v>2109.350357057222</c:v>
                </c:pt>
                <c:pt idx="247">
                  <c:v>2120.8750480187382</c:v>
                </c:pt>
                <c:pt idx="248">
                  <c:v>2132.3997389802544</c:v>
                </c:pt>
                <c:pt idx="249">
                  <c:v>2143.9244299417715</c:v>
                </c:pt>
                <c:pt idx="250">
                  <c:v>2153.5417845491565</c:v>
                </c:pt>
                <c:pt idx="251">
                  <c:v>2161.2518028024115</c:v>
                </c:pt>
                <c:pt idx="252">
                  <c:v>2170.869157409797</c:v>
                </c:pt>
                <c:pt idx="253">
                  <c:v>2182.3938483713132</c:v>
                </c:pt>
                <c:pt idx="254">
                  <c:v>2193.9185393328298</c:v>
                </c:pt>
                <c:pt idx="255">
                  <c:v>2205.443230294346</c:v>
                </c:pt>
                <c:pt idx="256">
                  <c:v>2216.9679212558631</c:v>
                </c:pt>
                <c:pt idx="257">
                  <c:v>2228.4926122173792</c:v>
                </c:pt>
                <c:pt idx="258">
                  <c:v>2240.0173031788959</c:v>
                </c:pt>
                <c:pt idx="259">
                  <c:v>2251.541994140412</c:v>
                </c:pt>
                <c:pt idx="260">
                  <c:v>2263.0666851019287</c:v>
                </c:pt>
                <c:pt idx="261">
                  <c:v>2274.5913760634453</c:v>
                </c:pt>
                <c:pt idx="262">
                  <c:v>2286.1160670249619</c:v>
                </c:pt>
                <c:pt idx="263">
                  <c:v>2297.6407579864781</c:v>
                </c:pt>
                <c:pt idx="264">
                  <c:v>2309.1654489479952</c:v>
                </c:pt>
                <c:pt idx="265">
                  <c:v>2320.6901399095113</c:v>
                </c:pt>
                <c:pt idx="266">
                  <c:v>2329.8873042844407</c:v>
                </c:pt>
                <c:pt idx="267">
                  <c:v>2336.7569420727809</c:v>
                </c:pt>
                <c:pt idx="268">
                  <c:v>2345.9541064477094</c:v>
                </c:pt>
                <c:pt idx="269">
                  <c:v>2357.478797409226</c:v>
                </c:pt>
                <c:pt idx="270">
                  <c:v>2366.6755007965162</c:v>
                </c:pt>
                <c:pt idx="271">
                  <c:v>2373.5442166095804</c:v>
                </c:pt>
                <c:pt idx="272">
                  <c:v>2382.7409199968706</c:v>
                </c:pt>
                <c:pt idx="273">
                  <c:v>2394.2656109583868</c:v>
                </c:pt>
                <c:pt idx="274">
                  <c:v>2403.4625448394963</c:v>
                </c:pt>
                <c:pt idx="275">
                  <c:v>2410.3317216401983</c:v>
                </c:pt>
                <c:pt idx="276">
                  <c:v>2417.2006679470815</c:v>
                </c:pt>
                <c:pt idx="277">
                  <c:v>2424.0693837601457</c:v>
                </c:pt>
                <c:pt idx="278">
                  <c:v>2430.9380995732095</c:v>
                </c:pt>
                <c:pt idx="279">
                  <c:v>2437.8068153862728</c:v>
                </c:pt>
                <c:pt idx="280">
                  <c:v>2444.6757616931563</c:v>
                </c:pt>
                <c:pt idx="281">
                  <c:v>2451.5449384938584</c:v>
                </c:pt>
                <c:pt idx="282">
                  <c:v>2460.7418723749674</c:v>
                </c:pt>
                <c:pt idx="283">
                  <c:v>2472.2665633364845</c:v>
                </c:pt>
                <c:pt idx="284">
                  <c:v>2481.4634972175936</c:v>
                </c:pt>
                <c:pt idx="285">
                  <c:v>2488.3326740182961</c:v>
                </c:pt>
                <c:pt idx="286">
                  <c:v>2495.2023118066368</c:v>
                </c:pt>
                <c:pt idx="287">
                  <c:v>2502.0724105826162</c:v>
                </c:pt>
                <c:pt idx="288">
                  <c:v>2508.9425093585951</c:v>
                </c:pt>
                <c:pt idx="289">
                  <c:v>2515.8126081345749</c:v>
                </c:pt>
                <c:pt idx="290">
                  <c:v>2522.6827069105534</c:v>
                </c:pt>
                <c:pt idx="291">
                  <c:v>2529.5528056865237</c:v>
                </c:pt>
                <c:pt idx="292">
                  <c:v>2537.5285833133507</c:v>
                </c:pt>
                <c:pt idx="293">
                  <c:v>2546.6100397910263</c:v>
                </c:pt>
                <c:pt idx="294">
                  <c:v>2556.9131135106218</c:v>
                </c:pt>
                <c:pt idx="295">
                  <c:v>2568.4378044721384</c:v>
                </c:pt>
                <c:pt idx="296">
                  <c:v>2577.634738353257</c:v>
                </c:pt>
                <c:pt idx="297">
                  <c:v>2584.503915153959</c:v>
                </c:pt>
                <c:pt idx="298">
                  <c:v>2593.7008490350681</c:v>
                </c:pt>
                <c:pt idx="299">
                  <c:v>2605.2255399965848</c:v>
                </c:pt>
                <c:pt idx="300">
                  <c:v>2616.7502309581014</c:v>
                </c:pt>
                <c:pt idx="301">
                  <c:v>2628.2749219196185</c:v>
                </c:pt>
                <c:pt idx="302">
                  <c:v>2639.7996128811342</c:v>
                </c:pt>
                <c:pt idx="303">
                  <c:v>2651.3243038426508</c:v>
                </c:pt>
                <c:pt idx="304">
                  <c:v>2662.8489948041674</c:v>
                </c:pt>
                <c:pt idx="305">
                  <c:v>2674.3736857656841</c:v>
                </c:pt>
                <c:pt idx="306">
                  <c:v>2685.8983767272007</c:v>
                </c:pt>
                <c:pt idx="307">
                  <c:v>2697.4230676887169</c:v>
                </c:pt>
                <c:pt idx="308">
                  <c:v>2708.947758650233</c:v>
                </c:pt>
                <c:pt idx="309">
                  <c:v>2720.4724496117497</c:v>
                </c:pt>
                <c:pt idx="310">
                  <c:v>2731.9971405732667</c:v>
                </c:pt>
                <c:pt idx="311">
                  <c:v>2743.5218315347825</c:v>
                </c:pt>
                <c:pt idx="312">
                  <c:v>2755.0465224962991</c:v>
                </c:pt>
                <c:pt idx="313">
                  <c:v>2766.5712134578157</c:v>
                </c:pt>
                <c:pt idx="314">
                  <c:v>2778.0959044193328</c:v>
                </c:pt>
                <c:pt idx="315">
                  <c:v>2789.6205953808485</c:v>
                </c:pt>
                <c:pt idx="316">
                  <c:v>2801.1452863423656</c:v>
                </c:pt>
                <c:pt idx="317">
                  <c:v>2812.6699773038818</c:v>
                </c:pt>
                <c:pt idx="318">
                  <c:v>2821.866680691172</c:v>
                </c:pt>
                <c:pt idx="319">
                  <c:v>2828.7353965042357</c:v>
                </c:pt>
                <c:pt idx="320">
                  <c:v>2837.9320998915259</c:v>
                </c:pt>
                <c:pt idx="321">
                  <c:v>2849.4567908530421</c:v>
                </c:pt>
                <c:pt idx="322">
                  <c:v>2860.9814818145592</c:v>
                </c:pt>
                <c:pt idx="323">
                  <c:v>2872.5061727760758</c:v>
                </c:pt>
                <c:pt idx="324">
                  <c:v>2884.030863737592</c:v>
                </c:pt>
                <c:pt idx="325">
                  <c:v>2895.5555546991086</c:v>
                </c:pt>
                <c:pt idx="326">
                  <c:v>2907.0802456606252</c:v>
                </c:pt>
                <c:pt idx="327">
                  <c:v>2918.6049366221414</c:v>
                </c:pt>
                <c:pt idx="328">
                  <c:v>2930.129627583658</c:v>
                </c:pt>
                <c:pt idx="329">
                  <c:v>2941.6543185451746</c:v>
                </c:pt>
                <c:pt idx="330">
                  <c:v>2953.1790095066904</c:v>
                </c:pt>
                <c:pt idx="331">
                  <c:v>2964.7037004682074</c:v>
                </c:pt>
                <c:pt idx="332">
                  <c:v>2973.9010953369557</c:v>
                </c:pt>
                <c:pt idx="333">
                  <c:v>2980.7711941129351</c:v>
                </c:pt>
                <c:pt idx="334">
                  <c:v>2987.6412928889144</c:v>
                </c:pt>
                <c:pt idx="335">
                  <c:v>2994.5113916649025</c:v>
                </c:pt>
                <c:pt idx="336">
                  <c:v>3003.7087865336507</c:v>
                </c:pt>
                <c:pt idx="337">
                  <c:v>3015.2334774951673</c:v>
                </c:pt>
                <c:pt idx="338">
                  <c:v>3026.758168456684</c:v>
                </c:pt>
                <c:pt idx="339">
                  <c:v>3038.282859418201</c:v>
                </c:pt>
                <c:pt idx="340">
                  <c:v>3048.986300901789</c:v>
                </c:pt>
                <c:pt idx="341">
                  <c:v>3058.8684929074611</c:v>
                </c:pt>
                <c:pt idx="342">
                  <c:v>3067.2441773106539</c:v>
                </c:pt>
                <c:pt idx="343">
                  <c:v>3074.1133541113459</c:v>
                </c:pt>
                <c:pt idx="344">
                  <c:v>3080.9825309120579</c:v>
                </c:pt>
                <c:pt idx="345">
                  <c:v>3087.851707712769</c:v>
                </c:pt>
                <c:pt idx="346">
                  <c:v>3097.048641593879</c:v>
                </c:pt>
                <c:pt idx="347">
                  <c:v>3108.5733325553961</c:v>
                </c:pt>
                <c:pt idx="348">
                  <c:v>3120.0980235169118</c:v>
                </c:pt>
                <c:pt idx="349">
                  <c:v>3131.6227144784284</c:v>
                </c:pt>
                <c:pt idx="350">
                  <c:v>3143.147405439945</c:v>
                </c:pt>
                <c:pt idx="351">
                  <c:v>3154.6720964014612</c:v>
                </c:pt>
                <c:pt idx="352">
                  <c:v>3166.1967873629778</c:v>
                </c:pt>
                <c:pt idx="353">
                  <c:v>3177.7214783244945</c:v>
                </c:pt>
                <c:pt idx="354">
                  <c:v>3186.9193341808809</c:v>
                </c:pt>
                <c:pt idx="355">
                  <c:v>3193.7903549321277</c:v>
                </c:pt>
                <c:pt idx="356">
                  <c:v>3200.6613756833749</c:v>
                </c:pt>
                <c:pt idx="357">
                  <c:v>3207.5323964346398</c:v>
                </c:pt>
                <c:pt idx="358">
                  <c:v>3215.5088655429154</c:v>
                </c:pt>
                <c:pt idx="359">
                  <c:v>3224.5907830082197</c:v>
                </c:pt>
                <c:pt idx="360">
                  <c:v>3234.8940872216349</c:v>
                </c:pt>
                <c:pt idx="361">
                  <c:v>3246.4187781831515</c:v>
                </c:pt>
                <c:pt idx="362">
                  <c:v>3257.9434691446681</c:v>
                </c:pt>
                <c:pt idx="363">
                  <c:v>3269.4681601061839</c:v>
                </c:pt>
                <c:pt idx="364">
                  <c:v>3280.9928510677009</c:v>
                </c:pt>
                <c:pt idx="365">
                  <c:v>3292.5175420292171</c:v>
                </c:pt>
                <c:pt idx="366">
                  <c:v>3304.0422329907342</c:v>
                </c:pt>
                <c:pt idx="367">
                  <c:v>3315.5669239522499</c:v>
                </c:pt>
                <c:pt idx="368">
                  <c:v>3327.0916149137665</c:v>
                </c:pt>
                <c:pt idx="369">
                  <c:v>3338.6163058752827</c:v>
                </c:pt>
                <c:pt idx="370">
                  <c:v>3350.1409968367998</c:v>
                </c:pt>
                <c:pt idx="371">
                  <c:v>3361.665687798316</c:v>
                </c:pt>
                <c:pt idx="372">
                  <c:v>3373.1903787598326</c:v>
                </c:pt>
                <c:pt idx="373">
                  <c:v>3384.7150697213488</c:v>
                </c:pt>
                <c:pt idx="374">
                  <c:v>3396.2397606828649</c:v>
                </c:pt>
                <c:pt idx="375">
                  <c:v>3407.764451644382</c:v>
                </c:pt>
                <c:pt idx="376">
                  <c:v>3419.2891426058982</c:v>
                </c:pt>
                <c:pt idx="377">
                  <c:v>3430.8138335674148</c:v>
                </c:pt>
                <c:pt idx="378">
                  <c:v>3442.3385245289319</c:v>
                </c:pt>
                <c:pt idx="379">
                  <c:v>3453.8632154904481</c:v>
                </c:pt>
                <c:pt idx="380">
                  <c:v>3465.3879064519642</c:v>
                </c:pt>
                <c:pt idx="381">
                  <c:v>3476.9125974134809</c:v>
                </c:pt>
                <c:pt idx="382">
                  <c:v>3488.4372883749979</c:v>
                </c:pt>
                <c:pt idx="383">
                  <c:v>3499.9619793365146</c:v>
                </c:pt>
                <c:pt idx="384">
                  <c:v>3510.26505305611</c:v>
                </c:pt>
                <c:pt idx="385">
                  <c:v>3519.3465095337856</c:v>
                </c:pt>
                <c:pt idx="386">
                  <c:v>3529.6495832533806</c:v>
                </c:pt>
                <c:pt idx="387">
                  <c:v>3541.1742742148977</c:v>
                </c:pt>
                <c:pt idx="388">
                  <c:v>3552.6989651764138</c:v>
                </c:pt>
                <c:pt idx="389">
                  <c:v>3564.22365613793</c:v>
                </c:pt>
                <c:pt idx="390">
                  <c:v>3575.7483470994466</c:v>
                </c:pt>
                <c:pt idx="391">
                  <c:v>3587.2730380609637</c:v>
                </c:pt>
                <c:pt idx="392">
                  <c:v>3596.1304545463472</c:v>
                </c:pt>
                <c:pt idx="393">
                  <c:v>3602.3205965555958</c:v>
                </c:pt>
                <c:pt idx="394">
                  <c:v>3611.1780130409788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35-4566-AFEC-F268283AF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444143"/>
        <c:axId val="30844270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FL6_WD!$X$1:$X$2</c15:sqref>
                        </c15:formulaRef>
                      </c:ext>
                    </c:extLst>
                    <c:strCache>
                      <c:ptCount val="2"/>
                      <c:pt idx="0">
                        <c:v>Hydrotest</c:v>
                      </c:pt>
                      <c:pt idx="1">
                        <c:v>[bar]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FL6_WD!$M$3:$M$13073</c15:sqref>
                        </c15:formulaRef>
                      </c:ext>
                    </c:extLst>
                    <c:numCache>
                      <c:formatCode>General</c:formatCode>
                      <c:ptCount val="13071"/>
                      <c:pt idx="0">
                        <c:v>0</c:v>
                      </c:pt>
                      <c:pt idx="1">
                        <c:v>14.795924163033481</c:v>
                      </c:pt>
                      <c:pt idx="2">
                        <c:v>44.387772489100534</c:v>
                      </c:pt>
                      <c:pt idx="3">
                        <c:v>67.691848326067031</c:v>
                      </c:pt>
                      <c:pt idx="4">
                        <c:v>82.580988000000005</c:v>
                      </c:pt>
                      <c:pt idx="5">
                        <c:v>95.342964000000009</c:v>
                      </c:pt>
                      <c:pt idx="6">
                        <c:v>114.449352</c:v>
                      </c:pt>
                      <c:pt idx="7">
                        <c:v>152.549352</c:v>
                      </c:pt>
                      <c:pt idx="8">
                        <c:v>196.97395200000003</c:v>
                      </c:pt>
                      <c:pt idx="9">
                        <c:v>235.07395200000002</c:v>
                      </c:pt>
                      <c:pt idx="10">
                        <c:v>273.17395200000004</c:v>
                      </c:pt>
                      <c:pt idx="11">
                        <c:v>311.27395200000001</c:v>
                      </c:pt>
                      <c:pt idx="12">
                        <c:v>349.37395200000003</c:v>
                      </c:pt>
                      <c:pt idx="13">
                        <c:v>387.473952</c:v>
                      </c:pt>
                      <c:pt idx="14">
                        <c:v>425.57395200000002</c:v>
                      </c:pt>
                      <c:pt idx="15">
                        <c:v>463.67395200000004</c:v>
                      </c:pt>
                      <c:pt idx="16">
                        <c:v>497.73535200000003</c:v>
                      </c:pt>
                      <c:pt idx="17">
                        <c:v>527.758152</c:v>
                      </c:pt>
                      <c:pt idx="18">
                        <c:v>554.12563799999998</c:v>
                      </c:pt>
                      <c:pt idx="19">
                        <c:v>576.83780999999999</c:v>
                      </c:pt>
                      <c:pt idx="20">
                        <c:v>599.55074400000001</c:v>
                      </c:pt>
                      <c:pt idx="21">
                        <c:v>622.26444000000004</c:v>
                      </c:pt>
                      <c:pt idx="22">
                        <c:v>644.97813600000006</c:v>
                      </c:pt>
                      <c:pt idx="23">
                        <c:v>667.69183200000009</c:v>
                      </c:pt>
                      <c:pt idx="24">
                        <c:v>690.40857600000004</c:v>
                      </c:pt>
                      <c:pt idx="25">
                        <c:v>713.12836800000002</c:v>
                      </c:pt>
                      <c:pt idx="26">
                        <c:v>735.84358800000007</c:v>
                      </c:pt>
                      <c:pt idx="27">
                        <c:v>758.55423600000006</c:v>
                      </c:pt>
                      <c:pt idx="28">
                        <c:v>781.26640800000007</c:v>
                      </c:pt>
                      <c:pt idx="29">
                        <c:v>803.9801040000001</c:v>
                      </c:pt>
                      <c:pt idx="30">
                        <c:v>826.69151399999998</c:v>
                      </c:pt>
                      <c:pt idx="31">
                        <c:v>849.40063800000007</c:v>
                      </c:pt>
                      <c:pt idx="32">
                        <c:v>872.10976200000005</c:v>
                      </c:pt>
                      <c:pt idx="33">
                        <c:v>894.81888600000013</c:v>
                      </c:pt>
                      <c:pt idx="34">
                        <c:v>925.22344799999712</c:v>
                      </c:pt>
                      <c:pt idx="35">
                        <c:v>963.32344799999703</c:v>
                      </c:pt>
                      <c:pt idx="36">
                        <c:v>1001.4234479999971</c:v>
                      </c:pt>
                      <c:pt idx="37">
                        <c:v>1039.523447999997</c:v>
                      </c:pt>
                      <c:pt idx="38">
                        <c:v>1077.6234479999971</c:v>
                      </c:pt>
                      <c:pt idx="39">
                        <c:v>1115.723447999997</c:v>
                      </c:pt>
                      <c:pt idx="40">
                        <c:v>1153.8234479999971</c:v>
                      </c:pt>
                      <c:pt idx="41">
                        <c:v>1191.9234479999971</c:v>
                      </c:pt>
                      <c:pt idx="42">
                        <c:v>1222.3272479999971</c:v>
                      </c:pt>
                      <c:pt idx="43">
                        <c:v>1245.0348479999971</c:v>
                      </c:pt>
                      <c:pt idx="44">
                        <c:v>1275.4386479999971</c:v>
                      </c:pt>
                      <c:pt idx="45">
                        <c:v>1313.538647999997</c:v>
                      </c:pt>
                      <c:pt idx="46">
                        <c:v>1343.9454959999971</c:v>
                      </c:pt>
                      <c:pt idx="47">
                        <c:v>1366.6591919999971</c:v>
                      </c:pt>
                      <c:pt idx="48">
                        <c:v>1393.0274399999971</c:v>
                      </c:pt>
                      <c:pt idx="49">
                        <c:v>1423.0502399999971</c:v>
                      </c:pt>
                      <c:pt idx="50">
                        <c:v>1449.4215359999969</c:v>
                      </c:pt>
                      <c:pt idx="51">
                        <c:v>1472.141327999997</c:v>
                      </c:pt>
                      <c:pt idx="52">
                        <c:v>1494.8573100000001</c:v>
                      </c:pt>
                      <c:pt idx="53">
                        <c:v>1517.5694820000001</c:v>
                      </c:pt>
                      <c:pt idx="54">
                        <c:v>1540.280892</c:v>
                      </c:pt>
                      <c:pt idx="55">
                        <c:v>1562.9915400000002</c:v>
                      </c:pt>
                      <c:pt idx="56">
                        <c:v>1585.7044740000031</c:v>
                      </c:pt>
                      <c:pt idx="57">
                        <c:v>1608.4196940000061</c:v>
                      </c:pt>
                      <c:pt idx="58">
                        <c:v>1631.1364380000064</c:v>
                      </c:pt>
                      <c:pt idx="59">
                        <c:v>1653.8547060000033</c:v>
                      </c:pt>
                      <c:pt idx="60">
                        <c:v>1676.576784000003</c:v>
                      </c:pt>
                      <c:pt idx="61">
                        <c:v>1699.3026720000032</c:v>
                      </c:pt>
                      <c:pt idx="62">
                        <c:v>1722.0293220000033</c:v>
                      </c:pt>
                      <c:pt idx="63">
                        <c:v>1744.7567340000001</c:v>
                      </c:pt>
                      <c:pt idx="64">
                        <c:v>1767.4780500000002</c:v>
                      </c:pt>
                      <c:pt idx="65">
                        <c:v>1790.1932700000029</c:v>
                      </c:pt>
                      <c:pt idx="66">
                        <c:v>1812.9062040000031</c:v>
                      </c:pt>
                      <c:pt idx="67">
                        <c:v>1835.6168520000031</c:v>
                      </c:pt>
                      <c:pt idx="68">
                        <c:v>1858.3290240000031</c:v>
                      </c:pt>
                      <c:pt idx="69">
                        <c:v>1881.0427200000031</c:v>
                      </c:pt>
                      <c:pt idx="70">
                        <c:v>1903.7579400000031</c:v>
                      </c:pt>
                      <c:pt idx="71">
                        <c:v>1926.4746840000032</c:v>
                      </c:pt>
                      <c:pt idx="72">
                        <c:v>1949.189904000003</c:v>
                      </c:pt>
                      <c:pt idx="73">
                        <c:v>1971.9036000000031</c:v>
                      </c:pt>
                      <c:pt idx="74">
                        <c:v>1994.6150100000032</c:v>
                      </c:pt>
                      <c:pt idx="75">
                        <c:v>2017.3241340000031</c:v>
                      </c:pt>
                      <c:pt idx="76">
                        <c:v>2047.7286960000033</c:v>
                      </c:pt>
                      <c:pt idx="77">
                        <c:v>2085.8286960000032</c:v>
                      </c:pt>
                      <c:pt idx="78">
                        <c:v>2116.2431640000032</c:v>
                      </c:pt>
                      <c:pt idx="79">
                        <c:v>2138.9721000000031</c:v>
                      </c:pt>
                      <c:pt idx="80">
                        <c:v>2169.3865680000031</c:v>
                      </c:pt>
                      <c:pt idx="81">
                        <c:v>2207.486568000003</c:v>
                      </c:pt>
                      <c:pt idx="82">
                        <c:v>2237.9056080000032</c:v>
                      </c:pt>
                      <c:pt idx="83">
                        <c:v>2260.6436880000033</c:v>
                      </c:pt>
                      <c:pt idx="84">
                        <c:v>2287.0241280000032</c:v>
                      </c:pt>
                      <c:pt idx="85">
                        <c:v>2317.0469280000029</c:v>
                      </c:pt>
                      <c:pt idx="86">
                        <c:v>2351.108328000003</c:v>
                      </c:pt>
                      <c:pt idx="87">
                        <c:v>2389.2083280000029</c:v>
                      </c:pt>
                      <c:pt idx="88">
                        <c:v>2427.3083280000033</c:v>
                      </c:pt>
                      <c:pt idx="89">
                        <c:v>2465.4083280000032</c:v>
                      </c:pt>
                      <c:pt idx="90">
                        <c:v>2503.5083280000031</c:v>
                      </c:pt>
                      <c:pt idx="91">
                        <c:v>2541.608328000003</c:v>
                      </c:pt>
                      <c:pt idx="92">
                        <c:v>2572.015938</c:v>
                      </c:pt>
                      <c:pt idx="93">
                        <c:v>2594.7311580000001</c:v>
                      </c:pt>
                      <c:pt idx="94">
                        <c:v>2617.4509499999972</c:v>
                      </c:pt>
                      <c:pt idx="95">
                        <c:v>2640.1753140000028</c:v>
                      </c:pt>
                      <c:pt idx="96">
                        <c:v>2670.5874960000028</c:v>
                      </c:pt>
                      <c:pt idx="97">
                        <c:v>2708.6874960000032</c:v>
                      </c:pt>
                      <c:pt idx="98">
                        <c:v>2746.7874960000031</c:v>
                      </c:pt>
                      <c:pt idx="99">
                        <c:v>2784.887496000003</c:v>
                      </c:pt>
                      <c:pt idx="100">
                        <c:v>2815.2912960000031</c:v>
                      </c:pt>
                      <c:pt idx="101">
                        <c:v>2837.9988960000032</c:v>
                      </c:pt>
                      <c:pt idx="102">
                        <c:v>2860.720974000003</c:v>
                      </c:pt>
                      <c:pt idx="103">
                        <c:v>2883.4575300000065</c:v>
                      </c:pt>
                      <c:pt idx="104">
                        <c:v>2906.183418000006</c:v>
                      </c:pt>
                      <c:pt idx="105">
                        <c:v>2928.8986380000092</c:v>
                      </c:pt>
                      <c:pt idx="106">
                        <c:v>2959.3062480000126</c:v>
                      </c:pt>
                      <c:pt idx="107">
                        <c:v>2997.4062480000125</c:v>
                      </c:pt>
                      <c:pt idx="108">
                        <c:v>3035.5062480000124</c:v>
                      </c:pt>
                      <c:pt idx="109">
                        <c:v>3073.6062480000001</c:v>
                      </c:pt>
                      <c:pt idx="110">
                        <c:v>3111.7062480000004</c:v>
                      </c:pt>
                      <c:pt idx="111">
                        <c:v>3149.8062480000003</c:v>
                      </c:pt>
                      <c:pt idx="112">
                        <c:v>3187.9062480000002</c:v>
                      </c:pt>
                      <c:pt idx="113">
                        <c:v>3226.0062480000001</c:v>
                      </c:pt>
                      <c:pt idx="114">
                        <c:v>3256.4100480000002</c:v>
                      </c:pt>
                      <c:pt idx="115">
                        <c:v>3279.1176480000004</c:v>
                      </c:pt>
                      <c:pt idx="116">
                        <c:v>3307.5455820000002</c:v>
                      </c:pt>
                      <c:pt idx="117">
                        <c:v>3341.6938500000001</c:v>
                      </c:pt>
                      <c:pt idx="118">
                        <c:v>3377.8179840000003</c:v>
                      </c:pt>
                      <c:pt idx="119">
                        <c:v>3415.9179840000002</c:v>
                      </c:pt>
                      <c:pt idx="120">
                        <c:v>3454.0179840000001</c:v>
                      </c:pt>
                      <c:pt idx="121">
                        <c:v>3492.117984</c:v>
                      </c:pt>
                      <c:pt idx="122">
                        <c:v>3522.521784</c:v>
                      </c:pt>
                      <c:pt idx="123">
                        <c:v>3545.2293840000002</c:v>
                      </c:pt>
                      <c:pt idx="124">
                        <c:v>3575.6331840000003</c:v>
                      </c:pt>
                      <c:pt idx="125">
                        <c:v>3613.7331840000002</c:v>
                      </c:pt>
                      <c:pt idx="126">
                        <c:v>3651.8331840000001</c:v>
                      </c:pt>
                      <c:pt idx="127">
                        <c:v>3689.933184</c:v>
                      </c:pt>
                      <c:pt idx="128">
                        <c:v>3728.0331840000003</c:v>
                      </c:pt>
                      <c:pt idx="129">
                        <c:v>3766.1331840000003</c:v>
                      </c:pt>
                      <c:pt idx="130">
                        <c:v>3804.2331840000002</c:v>
                      </c:pt>
                      <c:pt idx="131">
                        <c:v>3842.3331840000001</c:v>
                      </c:pt>
                      <c:pt idx="132">
                        <c:v>3880.433184</c:v>
                      </c:pt>
                      <c:pt idx="133">
                        <c:v>3918.5331840000003</c:v>
                      </c:pt>
                      <c:pt idx="134">
                        <c:v>3956.6331840000003</c:v>
                      </c:pt>
                      <c:pt idx="135">
                        <c:v>3994.7331840000002</c:v>
                      </c:pt>
                      <c:pt idx="136">
                        <c:v>4032.8331840000001</c:v>
                      </c:pt>
                      <c:pt idx="137">
                        <c:v>4070.933184</c:v>
                      </c:pt>
                      <c:pt idx="138">
                        <c:v>4109.0331839999999</c:v>
                      </c:pt>
                      <c:pt idx="139">
                        <c:v>4147.1331840000003</c:v>
                      </c:pt>
                      <c:pt idx="140">
                        <c:v>4185.2331840000006</c:v>
                      </c:pt>
                      <c:pt idx="141">
                        <c:v>4223.3331840000001</c:v>
                      </c:pt>
                      <c:pt idx="142">
                        <c:v>4261.4331840000004</c:v>
                      </c:pt>
                      <c:pt idx="143">
                        <c:v>4299.5331839999999</c:v>
                      </c:pt>
                      <c:pt idx="144">
                        <c:v>4329.9423180000003</c:v>
                      </c:pt>
                      <c:pt idx="145">
                        <c:v>4352.660586</c:v>
                      </c:pt>
                      <c:pt idx="146">
                        <c:v>4375.3773300000003</c:v>
                      </c:pt>
                      <c:pt idx="147">
                        <c:v>4398.0925500000003</c:v>
                      </c:pt>
                      <c:pt idx="148">
                        <c:v>4420.8054840000304</c:v>
                      </c:pt>
                      <c:pt idx="149">
                        <c:v>4443.5161320000307</c:v>
                      </c:pt>
                      <c:pt idx="150">
                        <c:v>4466.2435440000309</c:v>
                      </c:pt>
                      <c:pt idx="151">
                        <c:v>4488.987720000031</c:v>
                      </c:pt>
                      <c:pt idx="152">
                        <c:v>4511.7158940000008</c:v>
                      </c:pt>
                      <c:pt idx="153">
                        <c:v>4534.4280660000004</c:v>
                      </c:pt>
                      <c:pt idx="154">
                        <c:v>4564.8341520000004</c:v>
                      </c:pt>
                      <c:pt idx="155">
                        <c:v>4602.9341519999998</c:v>
                      </c:pt>
                      <c:pt idx="156">
                        <c:v>4633.4118660000004</c:v>
                      </c:pt>
                      <c:pt idx="157">
                        <c:v>4656.2672940000002</c:v>
                      </c:pt>
                      <c:pt idx="158">
                        <c:v>4686.7450079999999</c:v>
                      </c:pt>
                      <c:pt idx="159">
                        <c:v>4724.8450080000002</c:v>
                      </c:pt>
                      <c:pt idx="160">
                        <c:v>4762.9450079999997</c:v>
                      </c:pt>
                      <c:pt idx="161">
                        <c:v>4801.0450080000001</c:v>
                      </c:pt>
                      <c:pt idx="162">
                        <c:v>4831.451094</c:v>
                      </c:pt>
                      <c:pt idx="163">
                        <c:v>4854.1632660000005</c:v>
                      </c:pt>
                      <c:pt idx="164">
                        <c:v>4884.5693520000004</c:v>
                      </c:pt>
                      <c:pt idx="165">
                        <c:v>4922.6693519999999</c:v>
                      </c:pt>
                      <c:pt idx="166">
                        <c:v>4953.0777239999998</c:v>
                      </c:pt>
                      <c:pt idx="167">
                        <c:v>4975.7944680000001</c:v>
                      </c:pt>
                      <c:pt idx="168">
                        <c:v>4998.5134979999993</c:v>
                      </c:pt>
                      <c:pt idx="169">
                        <c:v>5021.2348140000004</c:v>
                      </c:pt>
                      <c:pt idx="170">
                        <c:v>5043.9607020000003</c:v>
                      </c:pt>
                      <c:pt idx="171">
                        <c:v>5066.6911620000001</c:v>
                      </c:pt>
                      <c:pt idx="172">
                        <c:v>5089.4246700000303</c:v>
                      </c:pt>
                      <c:pt idx="173">
                        <c:v>5112.1612260000311</c:v>
                      </c:pt>
                      <c:pt idx="174">
                        <c:v>5142.5795040000312</c:v>
                      </c:pt>
                      <c:pt idx="175">
                        <c:v>5180.6795040000316</c:v>
                      </c:pt>
                      <c:pt idx="176">
                        <c:v>5211.0970200000311</c:v>
                      </c:pt>
                      <c:pt idx="177">
                        <c:v>5233.8320520000307</c:v>
                      </c:pt>
                      <c:pt idx="178">
                        <c:v>5256.5632740000301</c:v>
                      </c:pt>
                      <c:pt idx="179">
                        <c:v>5279.2906860000312</c:v>
                      </c:pt>
                      <c:pt idx="180">
                        <c:v>5302.01505000003</c:v>
                      </c:pt>
                      <c:pt idx="181">
                        <c:v>5324.736366000031</c:v>
                      </c:pt>
                      <c:pt idx="182">
                        <c:v>5347.453872000031</c:v>
                      </c:pt>
                      <c:pt idx="183">
                        <c:v>5370.1675680000317</c:v>
                      </c:pt>
                      <c:pt idx="184">
                        <c:v>5392.8957420000306</c:v>
                      </c:pt>
                      <c:pt idx="185">
                        <c:v>5415.6383940000305</c:v>
                      </c:pt>
                      <c:pt idx="186">
                        <c:v>5438.365044000031</c:v>
                      </c:pt>
                      <c:pt idx="187">
                        <c:v>5461.0756920000304</c:v>
                      </c:pt>
                      <c:pt idx="188">
                        <c:v>5483.7878640000299</c:v>
                      </c:pt>
                      <c:pt idx="189">
                        <c:v>5506.5015600000306</c:v>
                      </c:pt>
                      <c:pt idx="190">
                        <c:v>5529.2183040000309</c:v>
                      </c:pt>
                      <c:pt idx="191">
                        <c:v>5551.9380960000308</c:v>
                      </c:pt>
                      <c:pt idx="192">
                        <c:v>5574.6556020000307</c:v>
                      </c:pt>
                      <c:pt idx="193">
                        <c:v>5597.3708220000608</c:v>
                      </c:pt>
                      <c:pt idx="194">
                        <c:v>5620.1561460000612</c:v>
                      </c:pt>
                      <c:pt idx="195">
                        <c:v>5643.011574000062</c:v>
                      </c:pt>
                      <c:pt idx="196">
                        <c:v>5665.8014700000613</c:v>
                      </c:pt>
                      <c:pt idx="197">
                        <c:v>5688.525834000061</c:v>
                      </c:pt>
                      <c:pt idx="198">
                        <c:v>5711.2517220000609</c:v>
                      </c:pt>
                      <c:pt idx="199">
                        <c:v>5733.9791340000611</c:v>
                      </c:pt>
                      <c:pt idx="200">
                        <c:v>5756.7088320000303</c:v>
                      </c:pt>
                      <c:pt idx="201">
                        <c:v>5779.4408160000312</c:v>
                      </c:pt>
                      <c:pt idx="202">
                        <c:v>5802.1674660000608</c:v>
                      </c:pt>
                      <c:pt idx="203">
                        <c:v>5824.8887820000609</c:v>
                      </c:pt>
                      <c:pt idx="204">
                        <c:v>5847.6078120000611</c:v>
                      </c:pt>
                      <c:pt idx="205">
                        <c:v>5870.3245560000614</c:v>
                      </c:pt>
                      <c:pt idx="206">
                        <c:v>5893.0397760000606</c:v>
                      </c:pt>
                      <c:pt idx="207">
                        <c:v>5915.7534720000613</c:v>
                      </c:pt>
                      <c:pt idx="208">
                        <c:v>5938.4641200000615</c:v>
                      </c:pt>
                      <c:pt idx="209">
                        <c:v>5961.1717200000621</c:v>
                      </c:pt>
                      <c:pt idx="210">
                        <c:v>5987.5369200000614</c:v>
                      </c:pt>
                      <c:pt idx="211">
                        <c:v>6017.559720000062</c:v>
                      </c:pt>
                      <c:pt idx="212">
                        <c:v>6051.6211200000616</c:v>
                      </c:pt>
                      <c:pt idx="213">
                        <c:v>6089.721120000062</c:v>
                      </c:pt>
                      <c:pt idx="214">
                        <c:v>6120.124920000062</c:v>
                      </c:pt>
                      <c:pt idx="215">
                        <c:v>6142.8325200000618</c:v>
                      </c:pt>
                      <c:pt idx="216">
                        <c:v>6165.5408820000612</c:v>
                      </c:pt>
                      <c:pt idx="217">
                        <c:v>6188.2500060000302</c:v>
                      </c:pt>
                      <c:pt idx="218">
                        <c:v>6210.9598920000308</c:v>
                      </c:pt>
                      <c:pt idx="219">
                        <c:v>6233.670540000031</c:v>
                      </c:pt>
                      <c:pt idx="220">
                        <c:v>6256.38195000003</c:v>
                      </c:pt>
                      <c:pt idx="221">
                        <c:v>6279.0941220000313</c:v>
                      </c:pt>
                      <c:pt idx="222">
                        <c:v>6309.5002080000313</c:v>
                      </c:pt>
                      <c:pt idx="223">
                        <c:v>6347.6002080000308</c:v>
                      </c:pt>
                      <c:pt idx="224">
                        <c:v>6385.7002080000311</c:v>
                      </c:pt>
                      <c:pt idx="225">
                        <c:v>6423.8002080000315</c:v>
                      </c:pt>
                      <c:pt idx="226">
                        <c:v>6461.9002080000309</c:v>
                      </c:pt>
                      <c:pt idx="227">
                        <c:v>6500.0002080000313</c:v>
                      </c:pt>
                      <c:pt idx="228">
                        <c:v>6530.4070560000309</c:v>
                      </c:pt>
                      <c:pt idx="229">
                        <c:v>6553.1207520000307</c:v>
                      </c:pt>
                      <c:pt idx="230">
                        <c:v>6575.8420680000318</c:v>
                      </c:pt>
                      <c:pt idx="231">
                        <c:v>6598.5710040000313</c:v>
                      </c:pt>
                      <c:pt idx="232">
                        <c:v>6621.3075600000302</c:v>
                      </c:pt>
                      <c:pt idx="233">
                        <c:v>6644.0517360000313</c:v>
                      </c:pt>
                      <c:pt idx="234">
                        <c:v>6666.80124600003</c:v>
                      </c:pt>
                      <c:pt idx="235">
                        <c:v>6689.556090000031</c:v>
                      </c:pt>
                      <c:pt idx="236">
                        <c:v>6712.302552000031</c:v>
                      </c:pt>
                      <c:pt idx="237">
                        <c:v>6735.0406320000302</c:v>
                      </c:pt>
                      <c:pt idx="238">
                        <c:v>6761.5140360000314</c:v>
                      </c:pt>
                      <c:pt idx="239">
                        <c:v>6784.2384000000302</c:v>
                      </c:pt>
                      <c:pt idx="240">
                        <c:v>6798.4192200000307</c:v>
                      </c:pt>
                      <c:pt idx="241">
                        <c:v>6811.5408600000301</c:v>
                      </c:pt>
                      <c:pt idx="242">
                        <c:v>6830.8270800000309</c:v>
                      </c:pt>
                      <c:pt idx="243">
                        <c:v>6868.9270800000313</c:v>
                      </c:pt>
                      <c:pt idx="244">
                        <c:v>6909.3130800000308</c:v>
                      </c:pt>
                      <c:pt idx="245">
                        <c:v>6939.3358800000306</c:v>
                      </c:pt>
                      <c:pt idx="246">
                        <c:v>6973.3972800000311</c:v>
                      </c:pt>
                      <c:pt idx="247">
                        <c:v>7011.4972800000305</c:v>
                      </c:pt>
                      <c:pt idx="248">
                        <c:v>7049.5972800000309</c:v>
                      </c:pt>
                      <c:pt idx="249">
                        <c:v>7087.6972800000312</c:v>
                      </c:pt>
                      <c:pt idx="250">
                        <c:v>7119.4917300000307</c:v>
                      </c:pt>
                      <c:pt idx="251">
                        <c:v>7144.9806300000309</c:v>
                      </c:pt>
                      <c:pt idx="252">
                        <c:v>7176.7750800000313</c:v>
                      </c:pt>
                      <c:pt idx="253">
                        <c:v>7214.8750800000307</c:v>
                      </c:pt>
                      <c:pt idx="254">
                        <c:v>7252.9750800000311</c:v>
                      </c:pt>
                      <c:pt idx="255">
                        <c:v>7291.0750800000305</c:v>
                      </c:pt>
                      <c:pt idx="256">
                        <c:v>7329.1750800000309</c:v>
                      </c:pt>
                      <c:pt idx="257">
                        <c:v>7367.2750800000313</c:v>
                      </c:pt>
                      <c:pt idx="258">
                        <c:v>7405.3750800000307</c:v>
                      </c:pt>
                      <c:pt idx="259">
                        <c:v>7443.4750800000311</c:v>
                      </c:pt>
                      <c:pt idx="260">
                        <c:v>7481.5750800000305</c:v>
                      </c:pt>
                      <c:pt idx="261">
                        <c:v>7519.6750800000309</c:v>
                      </c:pt>
                      <c:pt idx="262">
                        <c:v>7557.7750800000313</c:v>
                      </c:pt>
                      <c:pt idx="263">
                        <c:v>7595.8750800000307</c:v>
                      </c:pt>
                      <c:pt idx="264">
                        <c:v>7633.9750800000311</c:v>
                      </c:pt>
                      <c:pt idx="265">
                        <c:v>7672.0750800000305</c:v>
                      </c:pt>
                      <c:pt idx="266">
                        <c:v>7702.4804040000317</c:v>
                      </c:pt>
                      <c:pt idx="267">
                        <c:v>7725.191052000031</c:v>
                      </c:pt>
                      <c:pt idx="268">
                        <c:v>7755.5963760000313</c:v>
                      </c:pt>
                      <c:pt idx="269">
                        <c:v>7793.6963760000308</c:v>
                      </c:pt>
                      <c:pt idx="270">
                        <c:v>7824.1001760000308</c:v>
                      </c:pt>
                      <c:pt idx="271">
                        <c:v>7846.8077760000315</c:v>
                      </c:pt>
                      <c:pt idx="272">
                        <c:v>7877.2115760000315</c:v>
                      </c:pt>
                      <c:pt idx="273">
                        <c:v>7915.311576000031</c:v>
                      </c:pt>
                      <c:pt idx="274">
                        <c:v>7945.7161380000307</c:v>
                      </c:pt>
                      <c:pt idx="275">
                        <c:v>7968.4252620000307</c:v>
                      </c:pt>
                      <c:pt idx="276">
                        <c:v>7991.133624000031</c:v>
                      </c:pt>
                      <c:pt idx="277">
                        <c:v>8013.8412240000307</c:v>
                      </c:pt>
                      <c:pt idx="278">
                        <c:v>8036.5488240000304</c:v>
                      </c:pt>
                      <c:pt idx="279">
                        <c:v>8059.2564240000311</c:v>
                      </c:pt>
                      <c:pt idx="280">
                        <c:v>8081.9647860000314</c:v>
                      </c:pt>
                      <c:pt idx="281">
                        <c:v>8104.6739100000304</c:v>
                      </c:pt>
                      <c:pt idx="282">
                        <c:v>8135.0784720000311</c:v>
                      </c:pt>
                      <c:pt idx="283">
                        <c:v>8173.1784720000314</c:v>
                      </c:pt>
                      <c:pt idx="284">
                        <c:v>8203.5830340000302</c:v>
                      </c:pt>
                      <c:pt idx="285">
                        <c:v>8226.2921580000311</c:v>
                      </c:pt>
                      <c:pt idx="286">
                        <c:v>8249.0028060000313</c:v>
                      </c:pt>
                      <c:pt idx="287">
                        <c:v>8271.7149780000309</c:v>
                      </c:pt>
                      <c:pt idx="288">
                        <c:v>8294.4271500000305</c:v>
                      </c:pt>
                      <c:pt idx="289">
                        <c:v>8317.1393220000318</c:v>
                      </c:pt>
                      <c:pt idx="290">
                        <c:v>8339.8514940000314</c:v>
                      </c:pt>
                      <c:pt idx="291">
                        <c:v>8362.563666</c:v>
                      </c:pt>
                      <c:pt idx="292">
                        <c:v>8388.931152000001</c:v>
                      </c:pt>
                      <c:pt idx="293">
                        <c:v>8418.9539520000017</c:v>
                      </c:pt>
                      <c:pt idx="294">
                        <c:v>8453.0153520000003</c:v>
                      </c:pt>
                      <c:pt idx="295">
                        <c:v>8491.1153520000007</c:v>
                      </c:pt>
                      <c:pt idx="296">
                        <c:v>8521.5199140000313</c:v>
                      </c:pt>
                      <c:pt idx="297">
                        <c:v>8544.2290380000304</c:v>
                      </c:pt>
                      <c:pt idx="298">
                        <c:v>8574.6336000000301</c:v>
                      </c:pt>
                      <c:pt idx="299">
                        <c:v>8612.7336000000305</c:v>
                      </c:pt>
                      <c:pt idx="300">
                        <c:v>8650.8336000000309</c:v>
                      </c:pt>
                      <c:pt idx="301">
                        <c:v>8688.9336000000312</c:v>
                      </c:pt>
                      <c:pt idx="302">
                        <c:v>8727.0336000000298</c:v>
                      </c:pt>
                      <c:pt idx="303">
                        <c:v>8765.1336000000301</c:v>
                      </c:pt>
                      <c:pt idx="304">
                        <c:v>8803.2336000000305</c:v>
                      </c:pt>
                      <c:pt idx="305">
                        <c:v>8841.3336000000309</c:v>
                      </c:pt>
                      <c:pt idx="306">
                        <c:v>8879.4336000000312</c:v>
                      </c:pt>
                      <c:pt idx="307">
                        <c:v>8917.5336000000298</c:v>
                      </c:pt>
                      <c:pt idx="308">
                        <c:v>8955.6336000000301</c:v>
                      </c:pt>
                      <c:pt idx="309">
                        <c:v>8993.7336000000305</c:v>
                      </c:pt>
                      <c:pt idx="310">
                        <c:v>9031.8336000000309</c:v>
                      </c:pt>
                      <c:pt idx="311">
                        <c:v>9069.9336000000312</c:v>
                      </c:pt>
                      <c:pt idx="312">
                        <c:v>9108.0336000000298</c:v>
                      </c:pt>
                      <c:pt idx="313">
                        <c:v>9146.1336000000301</c:v>
                      </c:pt>
                      <c:pt idx="314">
                        <c:v>9184.2336000000305</c:v>
                      </c:pt>
                      <c:pt idx="315">
                        <c:v>9222.3336000000309</c:v>
                      </c:pt>
                      <c:pt idx="316">
                        <c:v>9260.4336000000312</c:v>
                      </c:pt>
                      <c:pt idx="317">
                        <c:v>9298.5336000000298</c:v>
                      </c:pt>
                      <c:pt idx="318">
                        <c:v>9328.9374000000298</c:v>
                      </c:pt>
                      <c:pt idx="319">
                        <c:v>9351.6450000000295</c:v>
                      </c:pt>
                      <c:pt idx="320">
                        <c:v>9382.0488000000296</c:v>
                      </c:pt>
                      <c:pt idx="321">
                        <c:v>9420.14880000003</c:v>
                      </c:pt>
                      <c:pt idx="322">
                        <c:v>9458.2488000000303</c:v>
                      </c:pt>
                      <c:pt idx="323">
                        <c:v>9496.3488000000307</c:v>
                      </c:pt>
                      <c:pt idx="324">
                        <c:v>9534.448800000031</c:v>
                      </c:pt>
                      <c:pt idx="325">
                        <c:v>9572.5488000000296</c:v>
                      </c:pt>
                      <c:pt idx="326">
                        <c:v>9610.64880000003</c:v>
                      </c:pt>
                      <c:pt idx="327">
                        <c:v>9648.7488000000303</c:v>
                      </c:pt>
                      <c:pt idx="328">
                        <c:v>9686.8488000000307</c:v>
                      </c:pt>
                      <c:pt idx="329">
                        <c:v>9724.948800000031</c:v>
                      </c:pt>
                      <c:pt idx="330">
                        <c:v>9763.0488000000296</c:v>
                      </c:pt>
                      <c:pt idx="331">
                        <c:v>9801.14880000003</c:v>
                      </c:pt>
                      <c:pt idx="332">
                        <c:v>9831.5548860000308</c:v>
                      </c:pt>
                      <c:pt idx="333">
                        <c:v>9854.2670580000304</c:v>
                      </c:pt>
                      <c:pt idx="334">
                        <c:v>9876.9792300000317</c:v>
                      </c:pt>
                      <c:pt idx="335">
                        <c:v>9899.6914020000622</c:v>
                      </c:pt>
                      <c:pt idx="336">
                        <c:v>9930.0974880000613</c:v>
                      </c:pt>
                      <c:pt idx="337">
                        <c:v>9968.1974880000616</c:v>
                      </c:pt>
                      <c:pt idx="338">
                        <c:v>10006.297488000062</c:v>
                      </c:pt>
                      <c:pt idx="339">
                        <c:v>10044.397488000062</c:v>
                      </c:pt>
                      <c:pt idx="340">
                        <c:v>10079.78248200003</c:v>
                      </c:pt>
                      <c:pt idx="341">
                        <c:v>10112.45247</c:v>
                      </c:pt>
                      <c:pt idx="342">
                        <c:v>10140.142026000001</c:v>
                      </c:pt>
                      <c:pt idx="343">
                        <c:v>10162.851149999969</c:v>
                      </c:pt>
                      <c:pt idx="344">
                        <c:v>10185.560273999999</c:v>
                      </c:pt>
                      <c:pt idx="345">
                        <c:v>10208.269398000029</c:v>
                      </c:pt>
                      <c:pt idx="346">
                        <c:v>10238.673960000031</c:v>
                      </c:pt>
                      <c:pt idx="347">
                        <c:v>10276.773960000031</c:v>
                      </c:pt>
                      <c:pt idx="348">
                        <c:v>10314.87396000003</c:v>
                      </c:pt>
                      <c:pt idx="349">
                        <c:v>10352.97396000003</c:v>
                      </c:pt>
                      <c:pt idx="350">
                        <c:v>10391.073960000031</c:v>
                      </c:pt>
                      <c:pt idx="351">
                        <c:v>10429.173960000031</c:v>
                      </c:pt>
                      <c:pt idx="352">
                        <c:v>10467.273960000031</c:v>
                      </c:pt>
                      <c:pt idx="353">
                        <c:v>10505.37396000003</c:v>
                      </c:pt>
                      <c:pt idx="354">
                        <c:v>10535.781570000032</c:v>
                      </c:pt>
                      <c:pt idx="355">
                        <c:v>10558.496790000001</c:v>
                      </c:pt>
                      <c:pt idx="356">
                        <c:v>10581.21200999997</c:v>
                      </c:pt>
                      <c:pt idx="357">
                        <c:v>10603.927229999999</c:v>
                      </c:pt>
                      <c:pt idx="358">
                        <c:v>10630.29700199997</c:v>
                      </c:pt>
                      <c:pt idx="359">
                        <c:v>10660.321325999939</c:v>
                      </c:pt>
                      <c:pt idx="360">
                        <c:v>10694.383487999939</c:v>
                      </c:pt>
                      <c:pt idx="361">
                        <c:v>10732.48348799994</c:v>
                      </c:pt>
                      <c:pt idx="362">
                        <c:v>10770.58348799994</c:v>
                      </c:pt>
                      <c:pt idx="363">
                        <c:v>10808.683487999941</c:v>
                      </c:pt>
                      <c:pt idx="364">
                        <c:v>10846.783487999939</c:v>
                      </c:pt>
                      <c:pt idx="365">
                        <c:v>10884.883487999939</c:v>
                      </c:pt>
                      <c:pt idx="366">
                        <c:v>10922.98348799994</c:v>
                      </c:pt>
                      <c:pt idx="367">
                        <c:v>10961.08348799994</c:v>
                      </c:pt>
                      <c:pt idx="368">
                        <c:v>10999.183487999941</c:v>
                      </c:pt>
                      <c:pt idx="369">
                        <c:v>11037.283487999939</c:v>
                      </c:pt>
                      <c:pt idx="370">
                        <c:v>11075.383487999939</c:v>
                      </c:pt>
                      <c:pt idx="371">
                        <c:v>11113.48348799994</c:v>
                      </c:pt>
                      <c:pt idx="372">
                        <c:v>11151.58348799994</c:v>
                      </c:pt>
                      <c:pt idx="373">
                        <c:v>11189.683487999941</c:v>
                      </c:pt>
                      <c:pt idx="374">
                        <c:v>11227.783487999939</c:v>
                      </c:pt>
                      <c:pt idx="375">
                        <c:v>11265.883487999939</c:v>
                      </c:pt>
                      <c:pt idx="376">
                        <c:v>11303.98348799994</c:v>
                      </c:pt>
                      <c:pt idx="377">
                        <c:v>11342.08348799994</c:v>
                      </c:pt>
                      <c:pt idx="378">
                        <c:v>11380.183487999941</c:v>
                      </c:pt>
                      <c:pt idx="379">
                        <c:v>11418.283487999939</c:v>
                      </c:pt>
                      <c:pt idx="380">
                        <c:v>11456.383487999939</c:v>
                      </c:pt>
                      <c:pt idx="381">
                        <c:v>11494.48348799994</c:v>
                      </c:pt>
                      <c:pt idx="382">
                        <c:v>11532.58348799994</c:v>
                      </c:pt>
                      <c:pt idx="383">
                        <c:v>11570.683487999941</c:v>
                      </c:pt>
                      <c:pt idx="384">
                        <c:v>11604.744887999939</c:v>
                      </c:pt>
                      <c:pt idx="385">
                        <c:v>11634.76768799994</c:v>
                      </c:pt>
                      <c:pt idx="386">
                        <c:v>11668.82908799994</c:v>
                      </c:pt>
                      <c:pt idx="387">
                        <c:v>11706.929087999941</c:v>
                      </c:pt>
                      <c:pt idx="388">
                        <c:v>11745.029087999939</c:v>
                      </c:pt>
                      <c:pt idx="389">
                        <c:v>11783.12908799994</c:v>
                      </c:pt>
                      <c:pt idx="390">
                        <c:v>11821.22908799994</c:v>
                      </c:pt>
                      <c:pt idx="391">
                        <c:v>11859.32908799994</c:v>
                      </c:pt>
                      <c:pt idx="392">
                        <c:v>11888.61122399994</c:v>
                      </c:pt>
                      <c:pt idx="393">
                        <c:v>11909.075495999939</c:v>
                      </c:pt>
                      <c:pt idx="394">
                        <c:v>11938.357631999939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FL6_WD!$X$3:$X$13073</c15:sqref>
                        </c15:formulaRef>
                      </c:ext>
                    </c:extLst>
                    <c:numCache>
                      <c:formatCode>General</c:formatCode>
                      <c:ptCount val="13071"/>
                      <c:pt idx="0">
                        <c:v>1519.00591922536</c:v>
                      </c:pt>
                      <c:pt idx="1">
                        <c:v>1519.0070896818786</c:v>
                      </c:pt>
                      <c:pt idx="2">
                        <c:v>1518.9905950243601</c:v>
                      </c:pt>
                      <c:pt idx="3">
                        <c:v>1518.997057582128</c:v>
                      </c:pt>
                      <c:pt idx="4">
                        <c:v>1519.0025279796787</c:v>
                      </c:pt>
                      <c:pt idx="5">
                        <c:v>1519.0159136692523</c:v>
                      </c:pt>
                      <c:pt idx="6">
                        <c:v>1519.0366176864165</c:v>
                      </c:pt>
                      <c:pt idx="7">
                        <c:v>1519.0350290775796</c:v>
                      </c:pt>
                      <c:pt idx="8">
                        <c:v>1519.1121629325064</c:v>
                      </c:pt>
                      <c:pt idx="9">
                        <c:v>1519.184722002628</c:v>
                      </c:pt>
                      <c:pt idx="10">
                        <c:v>1519.2352428284848</c:v>
                      </c:pt>
                      <c:pt idx="11">
                        <c:v>1519.2672969705231</c:v>
                      </c:pt>
                      <c:pt idx="12">
                        <c:v>1519.3081615065232</c:v>
                      </c:pt>
                      <c:pt idx="13">
                        <c:v>1528.1659198034195</c:v>
                      </c:pt>
                      <c:pt idx="14">
                        <c:v>1540.9905949044448</c:v>
                      </c:pt>
                      <c:pt idx="15">
                        <c:v>1553.81527000547</c:v>
                      </c:pt>
                      <c:pt idx="16">
                        <c:v>1565.2805295457867</c:v>
                      </c:pt>
                      <c:pt idx="17">
                        <c:v>1575.3863735253947</c:v>
                      </c:pt>
                      <c:pt idx="18">
                        <c:v>1584.2618181758103</c:v>
                      </c:pt>
                      <c:pt idx="19">
                        <c:v>1591.9068634970333</c:v>
                      </c:pt>
                      <c:pt idx="20">
                        <c:v>1599.5521653117587</c:v>
                      </c:pt>
                      <c:pt idx="21">
                        <c:v>1607.1977236199859</c:v>
                      </c:pt>
                      <c:pt idx="22">
                        <c:v>1614.8432819282132</c:v>
                      </c:pt>
                      <c:pt idx="23">
                        <c:v>1622.4888402364404</c:v>
                      </c:pt>
                      <c:pt idx="24">
                        <c:v>1630.1354245186758</c:v>
                      </c:pt>
                      <c:pt idx="25">
                        <c:v>1637.7830347749191</c:v>
                      </c:pt>
                      <c:pt idx="26">
                        <c:v>1645.4291060701505</c:v>
                      </c:pt>
                      <c:pt idx="27">
                        <c:v>1653.0736384043696</c:v>
                      </c:pt>
                      <c:pt idx="28">
                        <c:v>1660.7186837255929</c:v>
                      </c:pt>
                      <c:pt idx="29">
                        <c:v>1668.3642420338201</c:v>
                      </c:pt>
                      <c:pt idx="30">
                        <c:v>1676.0090308615413</c:v>
                      </c:pt>
                      <c:pt idx="31">
                        <c:v>1683.6530502087564</c:v>
                      </c:pt>
                      <c:pt idx="32">
                        <c:v>1691.2970695559716</c:v>
                      </c:pt>
                      <c:pt idx="33">
                        <c:v>1698.9410889031867</c:v>
                      </c:pt>
                      <c:pt idx="34">
                        <c:v>1709.1754361273061</c:v>
                      </c:pt>
                      <c:pt idx="35">
                        <c:v>1722.0001112283312</c:v>
                      </c:pt>
                      <c:pt idx="36">
                        <c:v>1734.8247863293566</c:v>
                      </c:pt>
                      <c:pt idx="37">
                        <c:v>1747.649461430382</c:v>
                      </c:pt>
                      <c:pt idx="38">
                        <c:v>1760.4741365314071</c:v>
                      </c:pt>
                      <c:pt idx="39">
                        <c:v>1773.2988116324325</c:v>
                      </c:pt>
                      <c:pt idx="40">
                        <c:v>1786.1234867334579</c:v>
                      </c:pt>
                      <c:pt idx="41">
                        <c:v>1798.948161834483</c:v>
                      </c:pt>
                      <c:pt idx="42">
                        <c:v>1809.1822525651014</c:v>
                      </c:pt>
                      <c:pt idx="43">
                        <c:v>1816.8257589253124</c:v>
                      </c:pt>
                      <c:pt idx="44">
                        <c:v>1827.0598496559305</c:v>
                      </c:pt>
                      <c:pt idx="45">
                        <c:v>1839.8845247569559</c:v>
                      </c:pt>
                      <c:pt idx="46">
                        <c:v>1850.119641461582</c:v>
                      </c:pt>
                      <c:pt idx="47">
                        <c:v>1857.7651997698094</c:v>
                      </c:pt>
                      <c:pt idx="48">
                        <c:v>1866.6409009137271</c:v>
                      </c:pt>
                      <c:pt idx="49">
                        <c:v>1876.7467448933351</c:v>
                      </c:pt>
                      <c:pt idx="50">
                        <c:v>1885.6234720112607</c:v>
                      </c:pt>
                      <c:pt idx="51">
                        <c:v>1893.271082267504</c:v>
                      </c:pt>
                      <c:pt idx="52">
                        <c:v>1900.9174100562386</c:v>
                      </c:pt>
                      <c:pt idx="53">
                        <c:v>1908.5624553774617</c:v>
                      </c:pt>
                      <c:pt idx="54">
                        <c:v>1916.2072442051829</c:v>
                      </c:pt>
                      <c:pt idx="55">
                        <c:v>1923.8517765394022</c:v>
                      </c:pt>
                      <c:pt idx="56">
                        <c:v>1931.4970783541282</c:v>
                      </c:pt>
                      <c:pt idx="57">
                        <c:v>1939.1431496493606</c:v>
                      </c:pt>
                      <c:pt idx="58">
                        <c:v>1946.7897339315959</c:v>
                      </c:pt>
                      <c:pt idx="59">
                        <c:v>1954.4368312008344</c:v>
                      </c:pt>
                      <c:pt idx="60">
                        <c:v>1962.0852109375837</c:v>
                      </c:pt>
                      <c:pt idx="61">
                        <c:v>1969.7348731418433</c:v>
                      </c:pt>
                      <c:pt idx="62">
                        <c:v>1977.384791839605</c:v>
                      </c:pt>
                      <c:pt idx="63">
                        <c:v>1985.0349670308676</c:v>
                      </c:pt>
                      <c:pt idx="64">
                        <c:v>1992.6830902741151</c:v>
                      </c:pt>
                      <c:pt idx="65">
                        <c:v>2000.3291615693472</c:v>
                      </c:pt>
                      <c:pt idx="66">
                        <c:v>2007.9744633840726</c:v>
                      </c:pt>
                      <c:pt idx="67">
                        <c:v>2015.6189957182917</c:v>
                      </c:pt>
                      <c:pt idx="68">
                        <c:v>2023.264041039515</c:v>
                      </c:pt>
                      <c:pt idx="69">
                        <c:v>2030.9095993477422</c:v>
                      </c:pt>
                      <c:pt idx="70">
                        <c:v>2038.5556706429734</c:v>
                      </c:pt>
                      <c:pt idx="71">
                        <c:v>2046.2022549252088</c:v>
                      </c:pt>
                      <c:pt idx="72">
                        <c:v>2053.84832622044</c:v>
                      </c:pt>
                      <c:pt idx="73">
                        <c:v>2061.4938845286674</c:v>
                      </c:pt>
                      <c:pt idx="74">
                        <c:v>2069.1386733563886</c:v>
                      </c:pt>
                      <c:pt idx="75">
                        <c:v>2076.7826927036035</c:v>
                      </c:pt>
                      <c:pt idx="76">
                        <c:v>2087.017039927724</c:v>
                      </c:pt>
                      <c:pt idx="77">
                        <c:v>2099.8417150287491</c:v>
                      </c:pt>
                      <c:pt idx="78">
                        <c:v>2110.0793966683959</c:v>
                      </c:pt>
                      <c:pt idx="79">
                        <c:v>2117.7300848466634</c:v>
                      </c:pt>
                      <c:pt idx="80">
                        <c:v>2127.9677664863098</c:v>
                      </c:pt>
                      <c:pt idx="81">
                        <c:v>2140.7924415873349</c:v>
                      </c:pt>
                      <c:pt idx="82">
                        <c:v>2151.0316621879938</c:v>
                      </c:pt>
                      <c:pt idx="83">
                        <c:v>2158.6854282882859</c:v>
                      </c:pt>
                      <c:pt idx="84">
                        <c:v>2167.5652333282355</c:v>
                      </c:pt>
                      <c:pt idx="85">
                        <c:v>2177.6710773078435</c:v>
                      </c:pt>
                      <c:pt idx="86">
                        <c:v>2189.1363368481602</c:v>
                      </c:pt>
                      <c:pt idx="87">
                        <c:v>2201.9610119491854</c:v>
                      </c:pt>
                      <c:pt idx="88">
                        <c:v>2214.785687050211</c:v>
                      </c:pt>
                      <c:pt idx="89">
                        <c:v>2227.6103621512361</c:v>
                      </c:pt>
                      <c:pt idx="90">
                        <c:v>2240.4350372522613</c:v>
                      </c:pt>
                      <c:pt idx="91">
                        <c:v>2253.2597123532869</c:v>
                      </c:pt>
                      <c:pt idx="92">
                        <c:v>2263.4950855514139</c:v>
                      </c:pt>
                      <c:pt idx="93">
                        <c:v>2271.1411568466456</c:v>
                      </c:pt>
                      <c:pt idx="94">
                        <c:v>2278.788767102888</c:v>
                      </c:pt>
                      <c:pt idx="95">
                        <c:v>2286.4379163201452</c:v>
                      </c:pt>
                      <c:pt idx="96">
                        <c:v>2296.6748284792857</c:v>
                      </c:pt>
                      <c:pt idx="97">
                        <c:v>2309.4995035803113</c:v>
                      </c:pt>
                      <c:pt idx="98">
                        <c:v>2322.3241786813364</c:v>
                      </c:pt>
                      <c:pt idx="99">
                        <c:v>2335.1488537823616</c:v>
                      </c:pt>
                      <c:pt idx="100">
                        <c:v>2345.38294451298</c:v>
                      </c:pt>
                      <c:pt idx="101">
                        <c:v>2353.0264508731912</c:v>
                      </c:pt>
                      <c:pt idx="102">
                        <c:v>2360.6748306099407</c:v>
                      </c:pt>
                      <c:pt idx="103">
                        <c:v>2368.3280837232296</c:v>
                      </c:pt>
                      <c:pt idx="104">
                        <c:v>2375.9777459274887</c:v>
                      </c:pt>
                      <c:pt idx="105">
                        <c:v>2383.6238172227213</c:v>
                      </c:pt>
                      <c:pt idx="106">
                        <c:v>2393.8591904208506</c:v>
                      </c:pt>
                      <c:pt idx="107">
                        <c:v>2406.6838655218758</c:v>
                      </c:pt>
                      <c:pt idx="108">
                        <c:v>2419.5085406229014</c:v>
                      </c:pt>
                      <c:pt idx="109">
                        <c:v>2432.3332157239224</c:v>
                      </c:pt>
                      <c:pt idx="110">
                        <c:v>2445.1578908249476</c:v>
                      </c:pt>
                      <c:pt idx="111">
                        <c:v>2457.9825659259732</c:v>
                      </c:pt>
                      <c:pt idx="112">
                        <c:v>2470.8072410269983</c:v>
                      </c:pt>
                      <c:pt idx="113">
                        <c:v>2483.6319161280235</c:v>
                      </c:pt>
                      <c:pt idx="114">
                        <c:v>2493.8660068586423</c:v>
                      </c:pt>
                      <c:pt idx="115">
                        <c:v>2501.5095132188535</c:v>
                      </c:pt>
                      <c:pt idx="116">
                        <c:v>2511.0785162987322</c:v>
                      </c:pt>
                      <c:pt idx="117">
                        <c:v>2522.5730160982794</c:v>
                      </c:pt>
                      <c:pt idx="118">
                        <c:v>2534.7326035485653</c:v>
                      </c:pt>
                      <c:pt idx="119">
                        <c:v>2547.5572786495904</c:v>
                      </c:pt>
                      <c:pt idx="120">
                        <c:v>2560.381953750616</c:v>
                      </c:pt>
                      <c:pt idx="121">
                        <c:v>2573.2066288516412</c:v>
                      </c:pt>
                      <c:pt idx="122">
                        <c:v>2583.4407195822591</c:v>
                      </c:pt>
                      <c:pt idx="123">
                        <c:v>2591.0842259424708</c:v>
                      </c:pt>
                      <c:pt idx="124">
                        <c:v>2601.3183166730887</c:v>
                      </c:pt>
                      <c:pt idx="125">
                        <c:v>2614.1429917741143</c:v>
                      </c:pt>
                      <c:pt idx="126">
                        <c:v>2626.967666875139</c:v>
                      </c:pt>
                      <c:pt idx="127">
                        <c:v>2639.7923419761646</c:v>
                      </c:pt>
                      <c:pt idx="128">
                        <c:v>2652.6170170771898</c:v>
                      </c:pt>
                      <c:pt idx="129">
                        <c:v>2665.4416921782149</c:v>
                      </c:pt>
                      <c:pt idx="130">
                        <c:v>2678.2663672792405</c:v>
                      </c:pt>
                      <c:pt idx="131">
                        <c:v>2691.0910423802657</c:v>
                      </c:pt>
                      <c:pt idx="132">
                        <c:v>2703.9157174812913</c:v>
                      </c:pt>
                      <c:pt idx="133">
                        <c:v>2716.7403925823164</c:v>
                      </c:pt>
                      <c:pt idx="134">
                        <c:v>2729.565067683342</c:v>
                      </c:pt>
                      <c:pt idx="135">
                        <c:v>2742.3897427843667</c:v>
                      </c:pt>
                      <c:pt idx="136">
                        <c:v>2755.2144178853923</c:v>
                      </c:pt>
                      <c:pt idx="137">
                        <c:v>2768.0390929864179</c:v>
                      </c:pt>
                      <c:pt idx="138">
                        <c:v>2780.8637680874426</c:v>
                      </c:pt>
                      <c:pt idx="139">
                        <c:v>2793.6884431884682</c:v>
                      </c:pt>
                      <c:pt idx="140">
                        <c:v>2806.5131182894938</c:v>
                      </c:pt>
                      <c:pt idx="141">
                        <c:v>2819.337793390519</c:v>
                      </c:pt>
                      <c:pt idx="142">
                        <c:v>2832.1624684915441</c:v>
                      </c:pt>
                      <c:pt idx="143">
                        <c:v>2844.9871435925697</c:v>
                      </c:pt>
                      <c:pt idx="144">
                        <c:v>2855.2230297777023</c:v>
                      </c:pt>
                      <c:pt idx="145">
                        <c:v>2862.8701270469414</c:v>
                      </c:pt>
                      <c:pt idx="146">
                        <c:v>2870.5167113291768</c:v>
                      </c:pt>
                      <c:pt idx="147">
                        <c:v>2878.1627826244085</c:v>
                      </c:pt>
                      <c:pt idx="148">
                        <c:v>2885.8080844391434</c:v>
                      </c:pt>
                      <c:pt idx="149">
                        <c:v>2893.4526167733629</c:v>
                      </c:pt>
                      <c:pt idx="150">
                        <c:v>2901.1027919646262</c:v>
                      </c:pt>
                      <c:pt idx="151">
                        <c:v>2908.7586100129347</c:v>
                      </c:pt>
                      <c:pt idx="152">
                        <c:v>2916.4090416976896</c:v>
                      </c:pt>
                      <c:pt idx="153">
                        <c:v>2924.0540870189134</c:v>
                      </c:pt>
                      <c:pt idx="154">
                        <c:v>2934.2889472300371</c:v>
                      </c:pt>
                      <c:pt idx="155">
                        <c:v>2947.1136223310623</c:v>
                      </c:pt>
                      <c:pt idx="156">
                        <c:v>2957.3725929313769</c:v>
                      </c:pt>
                      <c:pt idx="157">
                        <c:v>2965.0658590309795</c:v>
                      </c:pt>
                      <c:pt idx="158">
                        <c:v>2975.3248296312941</c:v>
                      </c:pt>
                      <c:pt idx="159">
                        <c:v>2988.1495047323197</c:v>
                      </c:pt>
                      <c:pt idx="160">
                        <c:v>3000.9741798333444</c:v>
                      </c:pt>
                      <c:pt idx="161">
                        <c:v>3013.79885493437</c:v>
                      </c:pt>
                      <c:pt idx="162">
                        <c:v>3024.0337151454942</c:v>
                      </c:pt>
                      <c:pt idx="163">
                        <c:v>3031.6787604667174</c:v>
                      </c:pt>
                      <c:pt idx="164">
                        <c:v>3041.9136206778417</c:v>
                      </c:pt>
                      <c:pt idx="165">
                        <c:v>3054.7382957788673</c:v>
                      </c:pt>
                      <c:pt idx="166">
                        <c:v>3064.9739254704973</c:v>
                      </c:pt>
                      <c:pt idx="167">
                        <c:v>3072.6205097527327</c:v>
                      </c:pt>
                      <c:pt idx="168">
                        <c:v>3080.2678635154734</c:v>
                      </c:pt>
                      <c:pt idx="169">
                        <c:v>3087.9159867587214</c:v>
                      </c:pt>
                      <c:pt idx="170">
                        <c:v>3095.5656489629814</c:v>
                      </c:pt>
                      <c:pt idx="171">
                        <c:v>3103.2168501282531</c:v>
                      </c:pt>
                      <c:pt idx="172">
                        <c:v>3110.8690772675427</c:v>
                      </c:pt>
                      <c:pt idx="173">
                        <c:v>3118.5223303808307</c:v>
                      </c:pt>
                      <c:pt idx="174">
                        <c:v>3128.7612944879875</c:v>
                      </c:pt>
                      <c:pt idx="175">
                        <c:v>3141.5859695890131</c:v>
                      </c:pt>
                      <c:pt idx="176">
                        <c:v>3151.8246772026678</c:v>
                      </c:pt>
                      <c:pt idx="177">
                        <c:v>3159.4774173289511</c:v>
                      </c:pt>
                      <c:pt idx="178">
                        <c:v>3167.1288749877244</c:v>
                      </c:pt>
                      <c:pt idx="179">
                        <c:v>3174.7790501789887</c:v>
                      </c:pt>
                      <c:pt idx="180">
                        <c:v>3182.4281993962441</c:v>
                      </c:pt>
                      <c:pt idx="181">
                        <c:v>3190.076322639492</c:v>
                      </c:pt>
                      <c:pt idx="182">
                        <c:v>3197.723163415229</c:v>
                      </c:pt>
                      <c:pt idx="183">
                        <c:v>3205.3687217234565</c:v>
                      </c:pt>
                      <c:pt idx="184">
                        <c:v>3213.0191534082219</c:v>
                      </c:pt>
                      <c:pt idx="185">
                        <c:v>3220.6744584695257</c:v>
                      </c:pt>
                      <c:pt idx="186">
                        <c:v>3228.3243771672874</c:v>
                      </c:pt>
                      <c:pt idx="187">
                        <c:v>3235.9689095015065</c:v>
                      </c:pt>
                      <c:pt idx="188">
                        <c:v>3243.6139548227293</c:v>
                      </c:pt>
                      <c:pt idx="189">
                        <c:v>3251.2595131309572</c:v>
                      </c:pt>
                      <c:pt idx="190">
                        <c:v>3258.9060974131921</c:v>
                      </c:pt>
                      <c:pt idx="191">
                        <c:v>3266.5537076694354</c:v>
                      </c:pt>
                      <c:pt idx="192">
                        <c:v>3274.2005484451729</c:v>
                      </c:pt>
                      <c:pt idx="193">
                        <c:v>3281.8466197404141</c:v>
                      </c:pt>
                      <c:pt idx="194">
                        <c:v>3289.5162884378319</c:v>
                      </c:pt>
                      <c:pt idx="195">
                        <c:v>3297.209554537435</c:v>
                      </c:pt>
                      <c:pt idx="196">
                        <c:v>3304.880762195864</c:v>
                      </c:pt>
                      <c:pt idx="197">
                        <c:v>3312.5299114131194</c:v>
                      </c:pt>
                      <c:pt idx="198">
                        <c:v>3320.1795736173794</c:v>
                      </c:pt>
                      <c:pt idx="199">
                        <c:v>3327.8297488086428</c:v>
                      </c:pt>
                      <c:pt idx="200">
                        <c:v>3335.4806934804028</c:v>
                      </c:pt>
                      <c:pt idx="201">
                        <c:v>3343.1324076326782</c:v>
                      </c:pt>
                      <c:pt idx="202">
                        <c:v>3350.7823263304499</c:v>
                      </c:pt>
                      <c:pt idx="203">
                        <c:v>3358.4304495736969</c:v>
                      </c:pt>
                      <c:pt idx="204">
                        <c:v>3366.0778033364386</c:v>
                      </c:pt>
                      <c:pt idx="205">
                        <c:v>3373.724387618674</c:v>
                      </c:pt>
                      <c:pt idx="206">
                        <c:v>3381.3704589139052</c:v>
                      </c:pt>
                      <c:pt idx="207">
                        <c:v>3389.0160172221326</c:v>
                      </c:pt>
                      <c:pt idx="208">
                        <c:v>3396.6605495563517</c:v>
                      </c:pt>
                      <c:pt idx="209">
                        <c:v>3404.3040559165634</c:v>
                      </c:pt>
                      <c:pt idx="210">
                        <c:v>3413.1787310864729</c:v>
                      </c:pt>
                      <c:pt idx="211">
                        <c:v>3423.2845750660804</c:v>
                      </c:pt>
                      <c:pt idx="212">
                        <c:v>3434.7498346063976</c:v>
                      </c:pt>
                      <c:pt idx="213">
                        <c:v>3447.5745097074223</c:v>
                      </c:pt>
                      <c:pt idx="214">
                        <c:v>3457.8086004380411</c:v>
                      </c:pt>
                      <c:pt idx="215">
                        <c:v>3465.4521067982523</c:v>
                      </c:pt>
                      <c:pt idx="216">
                        <c:v>3473.0958696519647</c:v>
                      </c:pt>
                      <c:pt idx="217">
                        <c:v>3480.7398889991691</c:v>
                      </c:pt>
                      <c:pt idx="218">
                        <c:v>3488.3841648398866</c:v>
                      </c:pt>
                      <c:pt idx="219">
                        <c:v>3496.0286971741061</c:v>
                      </c:pt>
                      <c:pt idx="220">
                        <c:v>3503.6734860018269</c:v>
                      </c:pt>
                      <c:pt idx="221">
                        <c:v>3511.3185313230506</c:v>
                      </c:pt>
                      <c:pt idx="222">
                        <c:v>3521.5533915341748</c:v>
                      </c:pt>
                      <c:pt idx="223">
                        <c:v>3534.3780666351995</c:v>
                      </c:pt>
                      <c:pt idx="224">
                        <c:v>3547.2027417362251</c:v>
                      </c:pt>
                      <c:pt idx="225">
                        <c:v>3560.0274168372507</c:v>
                      </c:pt>
                      <c:pt idx="226">
                        <c:v>3572.8520919382763</c:v>
                      </c:pt>
                      <c:pt idx="227">
                        <c:v>3585.6767670393019</c:v>
                      </c:pt>
                      <c:pt idx="228">
                        <c:v>3595.9118837439273</c:v>
                      </c:pt>
                      <c:pt idx="229">
                        <c:v>3603.5574420521552</c:v>
                      </c:pt>
                      <c:pt idx="230">
                        <c:v>3611.2055652954023</c:v>
                      </c:pt>
                      <c:pt idx="231">
                        <c:v>3618.8562534736702</c:v>
                      </c:pt>
                      <c:pt idx="232">
                        <c:v>3626.5095065869573</c:v>
                      </c:pt>
                      <c:pt idx="233">
                        <c:v>3634.1653246352662</c:v>
                      </c:pt>
                      <c:pt idx="234">
                        <c:v>3641.8229381380879</c:v>
                      </c:pt>
                      <c:pt idx="235">
                        <c:v>3649.4823470954243</c:v>
                      </c:pt>
                      <c:pt idx="236">
                        <c:v>3657.1389346242386</c:v>
                      </c:pt>
                      <c:pt idx="237">
                        <c:v>3664.7927007245298</c:v>
                      </c:pt>
                      <c:pt idx="238">
                        <c:v>3673.703797971727</c:v>
                      </c:pt>
                      <c:pt idx="239">
                        <c:v>3681.3529471889824</c:v>
                      </c:pt>
                      <c:pt idx="240">
                        <c:v>3686.1262912615839</c:v>
                      </c:pt>
                      <c:pt idx="241">
                        <c:v>3690.5431093663774</c:v>
                      </c:pt>
                      <c:pt idx="242">
                        <c:v>3697.0349599025167</c:v>
                      </c:pt>
                      <c:pt idx="243">
                        <c:v>3709.8596350035414</c:v>
                      </c:pt>
                      <c:pt idx="244">
                        <c:v>3723.4537906106289</c:v>
                      </c:pt>
                      <c:pt idx="245">
                        <c:v>3733.5596345902368</c:v>
                      </c:pt>
                      <c:pt idx="246">
                        <c:v>3745.0248941305526</c:v>
                      </c:pt>
                      <c:pt idx="247">
                        <c:v>3757.8495692315782</c:v>
                      </c:pt>
                      <c:pt idx="248">
                        <c:v>3770.6742443326029</c:v>
                      </c:pt>
                      <c:pt idx="249">
                        <c:v>3783.4989194336285</c:v>
                      </c:pt>
                      <c:pt idx="250">
                        <c:v>3794.2011108054339</c:v>
                      </c:pt>
                      <c:pt idx="251">
                        <c:v>3802.78081844802</c:v>
                      </c:pt>
                      <c:pt idx="252">
                        <c:v>3813.4830098198263</c:v>
                      </c:pt>
                      <c:pt idx="253">
                        <c:v>3826.307684920851</c:v>
                      </c:pt>
                      <c:pt idx="254">
                        <c:v>3839.1323600218766</c:v>
                      </c:pt>
                      <c:pt idx="255">
                        <c:v>3851.9570351229022</c:v>
                      </c:pt>
                      <c:pt idx="256">
                        <c:v>3864.7817102239278</c:v>
                      </c:pt>
                      <c:pt idx="257">
                        <c:v>3877.6063853249525</c:v>
                      </c:pt>
                      <c:pt idx="258">
                        <c:v>3890.4310604259781</c:v>
                      </c:pt>
                      <c:pt idx="259">
                        <c:v>3903.2557355270037</c:v>
                      </c:pt>
                      <c:pt idx="260">
                        <c:v>3916.0804106280284</c:v>
                      </c:pt>
                      <c:pt idx="261">
                        <c:v>3928.905085729054</c:v>
                      </c:pt>
                      <c:pt idx="262">
                        <c:v>3941.7297608300787</c:v>
                      </c:pt>
                      <c:pt idx="263">
                        <c:v>3954.5544359311043</c:v>
                      </c:pt>
                      <c:pt idx="264">
                        <c:v>3967.3791110321299</c:v>
                      </c:pt>
                      <c:pt idx="265">
                        <c:v>3980.2037861331546</c:v>
                      </c:pt>
                      <c:pt idx="266">
                        <c:v>3990.4383898507776</c:v>
                      </c:pt>
                      <c:pt idx="267">
                        <c:v>3998.0829221849972</c:v>
                      </c:pt>
                      <c:pt idx="268">
                        <c:v>4008.3175259026193</c:v>
                      </c:pt>
                      <c:pt idx="269">
                        <c:v>4021.142201003644</c:v>
                      </c:pt>
                      <c:pt idx="270">
                        <c:v>4031.3762917342628</c:v>
                      </c:pt>
                      <c:pt idx="271">
                        <c:v>4039.019798094474</c:v>
                      </c:pt>
                      <c:pt idx="272">
                        <c:v>4049.253888825092</c:v>
                      </c:pt>
                      <c:pt idx="273">
                        <c:v>4062.0785639261167</c:v>
                      </c:pt>
                      <c:pt idx="274">
                        <c:v>4072.3129111502376</c:v>
                      </c:pt>
                      <c:pt idx="275">
                        <c:v>4079.956930497452</c:v>
                      </c:pt>
                      <c:pt idx="276">
                        <c:v>4087.6006933511653</c:v>
                      </c:pt>
                      <c:pt idx="277">
                        <c:v>4095.2441997113765</c:v>
                      </c:pt>
                      <c:pt idx="278">
                        <c:v>4102.8877060715877</c:v>
                      </c:pt>
                      <c:pt idx="279">
                        <c:v>4110.5312124317988</c:v>
                      </c:pt>
                      <c:pt idx="280">
                        <c:v>4118.1749752855121</c:v>
                      </c:pt>
                      <c:pt idx="281">
                        <c:v>4125.8189946327266</c:v>
                      </c:pt>
                      <c:pt idx="282">
                        <c:v>4136.0533418568475</c:v>
                      </c:pt>
                      <c:pt idx="283">
                        <c:v>4148.8780169578722</c:v>
                      </c:pt>
                      <c:pt idx="284">
                        <c:v>4159.1123641819922</c:v>
                      </c:pt>
                      <c:pt idx="285">
                        <c:v>4166.7563835292076</c:v>
                      </c:pt>
                      <c:pt idx="286">
                        <c:v>4174.4009158634271</c:v>
                      </c:pt>
                      <c:pt idx="287">
                        <c:v>4182.0459611846509</c:v>
                      </c:pt>
                      <c:pt idx="288">
                        <c:v>4189.6910065058728</c:v>
                      </c:pt>
                      <c:pt idx="289">
                        <c:v>4197.3360518270965</c:v>
                      </c:pt>
                      <c:pt idx="290">
                        <c:v>4204.9810971483203</c:v>
                      </c:pt>
                      <c:pt idx="291">
                        <c:v>4212.6261424695322</c:v>
                      </c:pt>
                      <c:pt idx="292">
                        <c:v>4221.5015871199485</c:v>
                      </c:pt>
                      <c:pt idx="293">
                        <c:v>4231.6074310995564</c:v>
                      </c:pt>
                      <c:pt idx="294">
                        <c:v>4243.0726906398731</c:v>
                      </c:pt>
                      <c:pt idx="295">
                        <c:v>4255.8973657408978</c:v>
                      </c:pt>
                      <c:pt idx="296">
                        <c:v>4266.1317129650297</c:v>
                      </c:pt>
                      <c:pt idx="297">
                        <c:v>4273.7757323122432</c:v>
                      </c:pt>
                      <c:pt idx="298">
                        <c:v>4284.0100795363642</c:v>
                      </c:pt>
                      <c:pt idx="299">
                        <c:v>4296.8347546373898</c:v>
                      </c:pt>
                      <c:pt idx="300">
                        <c:v>4309.6594297384145</c:v>
                      </c:pt>
                      <c:pt idx="301">
                        <c:v>4322.4841048394401</c:v>
                      </c:pt>
                      <c:pt idx="302">
                        <c:v>4335.3087799404648</c:v>
                      </c:pt>
                      <c:pt idx="303">
                        <c:v>4348.1334550414904</c:v>
                      </c:pt>
                      <c:pt idx="304">
                        <c:v>4360.958130142516</c:v>
                      </c:pt>
                      <c:pt idx="305">
                        <c:v>4373.7828052435416</c:v>
                      </c:pt>
                      <c:pt idx="306">
                        <c:v>4386.6074803445663</c:v>
                      </c:pt>
                      <c:pt idx="307">
                        <c:v>4399.4321554455919</c:v>
                      </c:pt>
                      <c:pt idx="308">
                        <c:v>4412.2568305466166</c:v>
                      </c:pt>
                      <c:pt idx="309">
                        <c:v>4425.0815056476422</c:v>
                      </c:pt>
                      <c:pt idx="310">
                        <c:v>4437.9061807486687</c:v>
                      </c:pt>
                      <c:pt idx="311">
                        <c:v>4450.7308558496925</c:v>
                      </c:pt>
                      <c:pt idx="312">
                        <c:v>4463.5555309507181</c:v>
                      </c:pt>
                      <c:pt idx="313">
                        <c:v>4476.3802060517437</c:v>
                      </c:pt>
                      <c:pt idx="314">
                        <c:v>4489.2048811527693</c:v>
                      </c:pt>
                      <c:pt idx="315">
                        <c:v>4502.029556253794</c:v>
                      </c:pt>
                      <c:pt idx="316">
                        <c:v>4514.8542313548205</c:v>
                      </c:pt>
                      <c:pt idx="317">
                        <c:v>4527.6789064558443</c:v>
                      </c:pt>
                      <c:pt idx="318">
                        <c:v>4537.9129971864631</c:v>
                      </c:pt>
                      <c:pt idx="319">
                        <c:v>4545.5565035466734</c:v>
                      </c:pt>
                      <c:pt idx="320">
                        <c:v>4555.7905942772923</c:v>
                      </c:pt>
                      <c:pt idx="321">
                        <c:v>4568.6152693783179</c:v>
                      </c:pt>
                      <c:pt idx="322">
                        <c:v>4581.4399444793426</c:v>
                      </c:pt>
                      <c:pt idx="323">
                        <c:v>4594.2646195803682</c:v>
                      </c:pt>
                      <c:pt idx="324">
                        <c:v>4607.0892946813938</c:v>
                      </c:pt>
                      <c:pt idx="325">
                        <c:v>4619.9139697824185</c:v>
                      </c:pt>
                      <c:pt idx="326">
                        <c:v>4632.7386448834441</c:v>
                      </c:pt>
                      <c:pt idx="327">
                        <c:v>4645.5633199844697</c:v>
                      </c:pt>
                      <c:pt idx="328">
                        <c:v>4658.3879950854953</c:v>
                      </c:pt>
                      <c:pt idx="329">
                        <c:v>4671.21267018652</c:v>
                      </c:pt>
                      <c:pt idx="330">
                        <c:v>4684.0373452875456</c:v>
                      </c:pt>
                      <c:pt idx="331">
                        <c:v>4696.8620203885712</c:v>
                      </c:pt>
                      <c:pt idx="332">
                        <c:v>4707.0968805996954</c:v>
                      </c:pt>
                      <c:pt idx="333">
                        <c:v>4714.7419259209182</c:v>
                      </c:pt>
                      <c:pt idx="334">
                        <c:v>4722.386971242142</c:v>
                      </c:pt>
                      <c:pt idx="335">
                        <c:v>4730.0320165633748</c:v>
                      </c:pt>
                      <c:pt idx="336">
                        <c:v>4740.266876774499</c:v>
                      </c:pt>
                      <c:pt idx="337">
                        <c:v>4753.0915518755255</c:v>
                      </c:pt>
                      <c:pt idx="338">
                        <c:v>4765.9162269765511</c:v>
                      </c:pt>
                      <c:pt idx="339">
                        <c:v>4778.7409020775758</c:v>
                      </c:pt>
                      <c:pt idx="340">
                        <c:v>4790.6516908308913</c:v>
                      </c:pt>
                      <c:pt idx="341">
                        <c:v>4801.6485932365076</c:v>
                      </c:pt>
                      <c:pt idx="342">
                        <c:v>4810.9690541129294</c:v>
                      </c:pt>
                      <c:pt idx="343">
                        <c:v>4818.6130734601347</c:v>
                      </c:pt>
                      <c:pt idx="344">
                        <c:v>4826.2570928073601</c:v>
                      </c:pt>
                      <c:pt idx="345">
                        <c:v>4833.9011121545855</c:v>
                      </c:pt>
                      <c:pt idx="346">
                        <c:v>4844.1354593787055</c:v>
                      </c:pt>
                      <c:pt idx="347">
                        <c:v>4856.9601344797311</c:v>
                      </c:pt>
                      <c:pt idx="348">
                        <c:v>4869.7848095807558</c:v>
                      </c:pt>
                      <c:pt idx="349">
                        <c:v>4882.6094846817814</c:v>
                      </c:pt>
                      <c:pt idx="350">
                        <c:v>4895.434159782807</c:v>
                      </c:pt>
                      <c:pt idx="351">
                        <c:v>4908.2588348838326</c:v>
                      </c:pt>
                      <c:pt idx="352">
                        <c:v>4921.0835099848582</c:v>
                      </c:pt>
                      <c:pt idx="353">
                        <c:v>4933.9081850858829</c:v>
                      </c:pt>
                      <c:pt idx="354">
                        <c:v>4944.1435582840113</c:v>
                      </c:pt>
                      <c:pt idx="355">
                        <c:v>4951.7896295792325</c:v>
                      </c:pt>
                      <c:pt idx="356">
                        <c:v>4959.4357008744528</c:v>
                      </c:pt>
                      <c:pt idx="357">
                        <c:v>4967.081772169694</c:v>
                      </c:pt>
                      <c:pt idx="358">
                        <c:v>4975.9579863006065</c:v>
                      </c:pt>
                      <c:pt idx="359">
                        <c:v>4986.0643432672077</c:v>
                      </c:pt>
                      <c:pt idx="360">
                        <c:v>4997.5298593010275</c:v>
                      </c:pt>
                      <c:pt idx="361">
                        <c:v>5010.3545344020522</c:v>
                      </c:pt>
                      <c:pt idx="362">
                        <c:v>5023.1792095030778</c:v>
                      </c:pt>
                      <c:pt idx="363">
                        <c:v>5036.0038846041025</c:v>
                      </c:pt>
                      <c:pt idx="364">
                        <c:v>5048.8285597051281</c:v>
                      </c:pt>
                      <c:pt idx="365">
                        <c:v>5061.6532348061528</c:v>
                      </c:pt>
                      <c:pt idx="366">
                        <c:v>5074.4779099071784</c:v>
                      </c:pt>
                      <c:pt idx="367">
                        <c:v>5087.3025850082031</c:v>
                      </c:pt>
                      <c:pt idx="368">
                        <c:v>5100.1272601092287</c:v>
                      </c:pt>
                      <c:pt idx="369">
                        <c:v>5112.9519352102543</c:v>
                      </c:pt>
                      <c:pt idx="370">
                        <c:v>5125.7766103112799</c:v>
                      </c:pt>
                      <c:pt idx="371">
                        <c:v>5138.6012854123046</c:v>
                      </c:pt>
                      <c:pt idx="372">
                        <c:v>5151.4259605133302</c:v>
                      </c:pt>
                      <c:pt idx="373">
                        <c:v>5164.2506356143558</c:v>
                      </c:pt>
                      <c:pt idx="374">
                        <c:v>5177.0753107153805</c:v>
                      </c:pt>
                      <c:pt idx="375">
                        <c:v>5189.8999858164061</c:v>
                      </c:pt>
                      <c:pt idx="376">
                        <c:v>5202.7246609174308</c:v>
                      </c:pt>
                      <c:pt idx="377">
                        <c:v>5215.5493360184564</c:v>
                      </c:pt>
                      <c:pt idx="378">
                        <c:v>5228.374011119482</c:v>
                      </c:pt>
                      <c:pt idx="379">
                        <c:v>5241.1986862205067</c:v>
                      </c:pt>
                      <c:pt idx="380">
                        <c:v>5254.0233613215323</c:v>
                      </c:pt>
                      <c:pt idx="381">
                        <c:v>5266.8480364225579</c:v>
                      </c:pt>
                      <c:pt idx="382">
                        <c:v>5279.6727115235835</c:v>
                      </c:pt>
                      <c:pt idx="383">
                        <c:v>5292.4973866246091</c:v>
                      </c:pt>
                      <c:pt idx="384">
                        <c:v>5303.962646164925</c:v>
                      </c:pt>
                      <c:pt idx="385">
                        <c:v>5314.0684901445338</c:v>
                      </c:pt>
                      <c:pt idx="386">
                        <c:v>5325.5337496848497</c:v>
                      </c:pt>
                      <c:pt idx="387">
                        <c:v>5338.3584247858753</c:v>
                      </c:pt>
                      <c:pt idx="388">
                        <c:v>5351.1830998869009</c:v>
                      </c:pt>
                      <c:pt idx="389">
                        <c:v>5364.0077749879256</c:v>
                      </c:pt>
                      <c:pt idx="390">
                        <c:v>5376.8324500889512</c:v>
                      </c:pt>
                      <c:pt idx="391">
                        <c:v>5389.6571251899777</c:v>
                      </c:pt>
                      <c:pt idx="392">
                        <c:v>5399.5136574856206</c:v>
                      </c:pt>
                      <c:pt idx="393">
                        <c:v>5406.4020469758825</c:v>
                      </c:pt>
                      <c:pt idx="394">
                        <c:v>5416.2585792715272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5135-4566-AFEC-F268283AFD9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FL6_WD!$AA$1:$AA$2</c15:sqref>
                        </c15:formulaRef>
                      </c:ext>
                    </c:extLst>
                    <c:strCache>
                      <c:ptCount val="2"/>
                      <c:pt idx="0">
                        <c:v>Design</c:v>
                      </c:pt>
                      <c:pt idx="1">
                        <c:v>[bar]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FL6_WD!$M$3:$M$13073</c15:sqref>
                        </c15:formulaRef>
                      </c:ext>
                    </c:extLst>
                    <c:numCache>
                      <c:formatCode>General</c:formatCode>
                      <c:ptCount val="13071"/>
                      <c:pt idx="0">
                        <c:v>0</c:v>
                      </c:pt>
                      <c:pt idx="1">
                        <c:v>14.795924163033481</c:v>
                      </c:pt>
                      <c:pt idx="2">
                        <c:v>44.387772489100534</c:v>
                      </c:pt>
                      <c:pt idx="3">
                        <c:v>67.691848326067031</c:v>
                      </c:pt>
                      <c:pt idx="4">
                        <c:v>82.580988000000005</c:v>
                      </c:pt>
                      <c:pt idx="5">
                        <c:v>95.342964000000009</c:v>
                      </c:pt>
                      <c:pt idx="6">
                        <c:v>114.449352</c:v>
                      </c:pt>
                      <c:pt idx="7">
                        <c:v>152.549352</c:v>
                      </c:pt>
                      <c:pt idx="8">
                        <c:v>196.97395200000003</c:v>
                      </c:pt>
                      <c:pt idx="9">
                        <c:v>235.07395200000002</c:v>
                      </c:pt>
                      <c:pt idx="10">
                        <c:v>273.17395200000004</c:v>
                      </c:pt>
                      <c:pt idx="11">
                        <c:v>311.27395200000001</c:v>
                      </c:pt>
                      <c:pt idx="12">
                        <c:v>349.37395200000003</c:v>
                      </c:pt>
                      <c:pt idx="13">
                        <c:v>387.473952</c:v>
                      </c:pt>
                      <c:pt idx="14">
                        <c:v>425.57395200000002</c:v>
                      </c:pt>
                      <c:pt idx="15">
                        <c:v>463.67395200000004</c:v>
                      </c:pt>
                      <c:pt idx="16">
                        <c:v>497.73535200000003</c:v>
                      </c:pt>
                      <c:pt idx="17">
                        <c:v>527.758152</c:v>
                      </c:pt>
                      <c:pt idx="18">
                        <c:v>554.12563799999998</c:v>
                      </c:pt>
                      <c:pt idx="19">
                        <c:v>576.83780999999999</c:v>
                      </c:pt>
                      <c:pt idx="20">
                        <c:v>599.55074400000001</c:v>
                      </c:pt>
                      <c:pt idx="21">
                        <c:v>622.26444000000004</c:v>
                      </c:pt>
                      <c:pt idx="22">
                        <c:v>644.97813600000006</c:v>
                      </c:pt>
                      <c:pt idx="23">
                        <c:v>667.69183200000009</c:v>
                      </c:pt>
                      <c:pt idx="24">
                        <c:v>690.40857600000004</c:v>
                      </c:pt>
                      <c:pt idx="25">
                        <c:v>713.12836800000002</c:v>
                      </c:pt>
                      <c:pt idx="26">
                        <c:v>735.84358800000007</c:v>
                      </c:pt>
                      <c:pt idx="27">
                        <c:v>758.55423600000006</c:v>
                      </c:pt>
                      <c:pt idx="28">
                        <c:v>781.26640800000007</c:v>
                      </c:pt>
                      <c:pt idx="29">
                        <c:v>803.9801040000001</c:v>
                      </c:pt>
                      <c:pt idx="30">
                        <c:v>826.69151399999998</c:v>
                      </c:pt>
                      <c:pt idx="31">
                        <c:v>849.40063800000007</c:v>
                      </c:pt>
                      <c:pt idx="32">
                        <c:v>872.10976200000005</c:v>
                      </c:pt>
                      <c:pt idx="33">
                        <c:v>894.81888600000013</c:v>
                      </c:pt>
                      <c:pt idx="34">
                        <c:v>925.22344799999712</c:v>
                      </c:pt>
                      <c:pt idx="35">
                        <c:v>963.32344799999703</c:v>
                      </c:pt>
                      <c:pt idx="36">
                        <c:v>1001.4234479999971</c:v>
                      </c:pt>
                      <c:pt idx="37">
                        <c:v>1039.523447999997</c:v>
                      </c:pt>
                      <c:pt idx="38">
                        <c:v>1077.6234479999971</c:v>
                      </c:pt>
                      <c:pt idx="39">
                        <c:v>1115.723447999997</c:v>
                      </c:pt>
                      <c:pt idx="40">
                        <c:v>1153.8234479999971</c:v>
                      </c:pt>
                      <c:pt idx="41">
                        <c:v>1191.9234479999971</c:v>
                      </c:pt>
                      <c:pt idx="42">
                        <c:v>1222.3272479999971</c:v>
                      </c:pt>
                      <c:pt idx="43">
                        <c:v>1245.0348479999971</c:v>
                      </c:pt>
                      <c:pt idx="44">
                        <c:v>1275.4386479999971</c:v>
                      </c:pt>
                      <c:pt idx="45">
                        <c:v>1313.538647999997</c:v>
                      </c:pt>
                      <c:pt idx="46">
                        <c:v>1343.9454959999971</c:v>
                      </c:pt>
                      <c:pt idx="47">
                        <c:v>1366.6591919999971</c:v>
                      </c:pt>
                      <c:pt idx="48">
                        <c:v>1393.0274399999971</c:v>
                      </c:pt>
                      <c:pt idx="49">
                        <c:v>1423.0502399999971</c:v>
                      </c:pt>
                      <c:pt idx="50">
                        <c:v>1449.4215359999969</c:v>
                      </c:pt>
                      <c:pt idx="51">
                        <c:v>1472.141327999997</c:v>
                      </c:pt>
                      <c:pt idx="52">
                        <c:v>1494.8573100000001</c:v>
                      </c:pt>
                      <c:pt idx="53">
                        <c:v>1517.5694820000001</c:v>
                      </c:pt>
                      <c:pt idx="54">
                        <c:v>1540.280892</c:v>
                      </c:pt>
                      <c:pt idx="55">
                        <c:v>1562.9915400000002</c:v>
                      </c:pt>
                      <c:pt idx="56">
                        <c:v>1585.7044740000031</c:v>
                      </c:pt>
                      <c:pt idx="57">
                        <c:v>1608.4196940000061</c:v>
                      </c:pt>
                      <c:pt idx="58">
                        <c:v>1631.1364380000064</c:v>
                      </c:pt>
                      <c:pt idx="59">
                        <c:v>1653.8547060000033</c:v>
                      </c:pt>
                      <c:pt idx="60">
                        <c:v>1676.576784000003</c:v>
                      </c:pt>
                      <c:pt idx="61">
                        <c:v>1699.3026720000032</c:v>
                      </c:pt>
                      <c:pt idx="62">
                        <c:v>1722.0293220000033</c:v>
                      </c:pt>
                      <c:pt idx="63">
                        <c:v>1744.7567340000001</c:v>
                      </c:pt>
                      <c:pt idx="64">
                        <c:v>1767.4780500000002</c:v>
                      </c:pt>
                      <c:pt idx="65">
                        <c:v>1790.1932700000029</c:v>
                      </c:pt>
                      <c:pt idx="66">
                        <c:v>1812.9062040000031</c:v>
                      </c:pt>
                      <c:pt idx="67">
                        <c:v>1835.6168520000031</c:v>
                      </c:pt>
                      <c:pt idx="68">
                        <c:v>1858.3290240000031</c:v>
                      </c:pt>
                      <c:pt idx="69">
                        <c:v>1881.0427200000031</c:v>
                      </c:pt>
                      <c:pt idx="70">
                        <c:v>1903.7579400000031</c:v>
                      </c:pt>
                      <c:pt idx="71">
                        <c:v>1926.4746840000032</c:v>
                      </c:pt>
                      <c:pt idx="72">
                        <c:v>1949.189904000003</c:v>
                      </c:pt>
                      <c:pt idx="73">
                        <c:v>1971.9036000000031</c:v>
                      </c:pt>
                      <c:pt idx="74">
                        <c:v>1994.6150100000032</c:v>
                      </c:pt>
                      <c:pt idx="75">
                        <c:v>2017.3241340000031</c:v>
                      </c:pt>
                      <c:pt idx="76">
                        <c:v>2047.7286960000033</c:v>
                      </c:pt>
                      <c:pt idx="77">
                        <c:v>2085.8286960000032</c:v>
                      </c:pt>
                      <c:pt idx="78">
                        <c:v>2116.2431640000032</c:v>
                      </c:pt>
                      <c:pt idx="79">
                        <c:v>2138.9721000000031</c:v>
                      </c:pt>
                      <c:pt idx="80">
                        <c:v>2169.3865680000031</c:v>
                      </c:pt>
                      <c:pt idx="81">
                        <c:v>2207.486568000003</c:v>
                      </c:pt>
                      <c:pt idx="82">
                        <c:v>2237.9056080000032</c:v>
                      </c:pt>
                      <c:pt idx="83">
                        <c:v>2260.6436880000033</c:v>
                      </c:pt>
                      <c:pt idx="84">
                        <c:v>2287.0241280000032</c:v>
                      </c:pt>
                      <c:pt idx="85">
                        <c:v>2317.0469280000029</c:v>
                      </c:pt>
                      <c:pt idx="86">
                        <c:v>2351.108328000003</c:v>
                      </c:pt>
                      <c:pt idx="87">
                        <c:v>2389.2083280000029</c:v>
                      </c:pt>
                      <c:pt idx="88">
                        <c:v>2427.3083280000033</c:v>
                      </c:pt>
                      <c:pt idx="89">
                        <c:v>2465.4083280000032</c:v>
                      </c:pt>
                      <c:pt idx="90">
                        <c:v>2503.5083280000031</c:v>
                      </c:pt>
                      <c:pt idx="91">
                        <c:v>2541.608328000003</c:v>
                      </c:pt>
                      <c:pt idx="92">
                        <c:v>2572.015938</c:v>
                      </c:pt>
                      <c:pt idx="93">
                        <c:v>2594.7311580000001</c:v>
                      </c:pt>
                      <c:pt idx="94">
                        <c:v>2617.4509499999972</c:v>
                      </c:pt>
                      <c:pt idx="95">
                        <c:v>2640.1753140000028</c:v>
                      </c:pt>
                      <c:pt idx="96">
                        <c:v>2670.5874960000028</c:v>
                      </c:pt>
                      <c:pt idx="97">
                        <c:v>2708.6874960000032</c:v>
                      </c:pt>
                      <c:pt idx="98">
                        <c:v>2746.7874960000031</c:v>
                      </c:pt>
                      <c:pt idx="99">
                        <c:v>2784.887496000003</c:v>
                      </c:pt>
                      <c:pt idx="100">
                        <c:v>2815.2912960000031</c:v>
                      </c:pt>
                      <c:pt idx="101">
                        <c:v>2837.9988960000032</c:v>
                      </c:pt>
                      <c:pt idx="102">
                        <c:v>2860.720974000003</c:v>
                      </c:pt>
                      <c:pt idx="103">
                        <c:v>2883.4575300000065</c:v>
                      </c:pt>
                      <c:pt idx="104">
                        <c:v>2906.183418000006</c:v>
                      </c:pt>
                      <c:pt idx="105">
                        <c:v>2928.8986380000092</c:v>
                      </c:pt>
                      <c:pt idx="106">
                        <c:v>2959.3062480000126</c:v>
                      </c:pt>
                      <c:pt idx="107">
                        <c:v>2997.4062480000125</c:v>
                      </c:pt>
                      <c:pt idx="108">
                        <c:v>3035.5062480000124</c:v>
                      </c:pt>
                      <c:pt idx="109">
                        <c:v>3073.6062480000001</c:v>
                      </c:pt>
                      <c:pt idx="110">
                        <c:v>3111.7062480000004</c:v>
                      </c:pt>
                      <c:pt idx="111">
                        <c:v>3149.8062480000003</c:v>
                      </c:pt>
                      <c:pt idx="112">
                        <c:v>3187.9062480000002</c:v>
                      </c:pt>
                      <c:pt idx="113">
                        <c:v>3226.0062480000001</c:v>
                      </c:pt>
                      <c:pt idx="114">
                        <c:v>3256.4100480000002</c:v>
                      </c:pt>
                      <c:pt idx="115">
                        <c:v>3279.1176480000004</c:v>
                      </c:pt>
                      <c:pt idx="116">
                        <c:v>3307.5455820000002</c:v>
                      </c:pt>
                      <c:pt idx="117">
                        <c:v>3341.6938500000001</c:v>
                      </c:pt>
                      <c:pt idx="118">
                        <c:v>3377.8179840000003</c:v>
                      </c:pt>
                      <c:pt idx="119">
                        <c:v>3415.9179840000002</c:v>
                      </c:pt>
                      <c:pt idx="120">
                        <c:v>3454.0179840000001</c:v>
                      </c:pt>
                      <c:pt idx="121">
                        <c:v>3492.117984</c:v>
                      </c:pt>
                      <c:pt idx="122">
                        <c:v>3522.521784</c:v>
                      </c:pt>
                      <c:pt idx="123">
                        <c:v>3545.2293840000002</c:v>
                      </c:pt>
                      <c:pt idx="124">
                        <c:v>3575.6331840000003</c:v>
                      </c:pt>
                      <c:pt idx="125">
                        <c:v>3613.7331840000002</c:v>
                      </c:pt>
                      <c:pt idx="126">
                        <c:v>3651.8331840000001</c:v>
                      </c:pt>
                      <c:pt idx="127">
                        <c:v>3689.933184</c:v>
                      </c:pt>
                      <c:pt idx="128">
                        <c:v>3728.0331840000003</c:v>
                      </c:pt>
                      <c:pt idx="129">
                        <c:v>3766.1331840000003</c:v>
                      </c:pt>
                      <c:pt idx="130">
                        <c:v>3804.2331840000002</c:v>
                      </c:pt>
                      <c:pt idx="131">
                        <c:v>3842.3331840000001</c:v>
                      </c:pt>
                      <c:pt idx="132">
                        <c:v>3880.433184</c:v>
                      </c:pt>
                      <c:pt idx="133">
                        <c:v>3918.5331840000003</c:v>
                      </c:pt>
                      <c:pt idx="134">
                        <c:v>3956.6331840000003</c:v>
                      </c:pt>
                      <c:pt idx="135">
                        <c:v>3994.7331840000002</c:v>
                      </c:pt>
                      <c:pt idx="136">
                        <c:v>4032.8331840000001</c:v>
                      </c:pt>
                      <c:pt idx="137">
                        <c:v>4070.933184</c:v>
                      </c:pt>
                      <c:pt idx="138">
                        <c:v>4109.0331839999999</c:v>
                      </c:pt>
                      <c:pt idx="139">
                        <c:v>4147.1331840000003</c:v>
                      </c:pt>
                      <c:pt idx="140">
                        <c:v>4185.2331840000006</c:v>
                      </c:pt>
                      <c:pt idx="141">
                        <c:v>4223.3331840000001</c:v>
                      </c:pt>
                      <c:pt idx="142">
                        <c:v>4261.4331840000004</c:v>
                      </c:pt>
                      <c:pt idx="143">
                        <c:v>4299.5331839999999</c:v>
                      </c:pt>
                      <c:pt idx="144">
                        <c:v>4329.9423180000003</c:v>
                      </c:pt>
                      <c:pt idx="145">
                        <c:v>4352.660586</c:v>
                      </c:pt>
                      <c:pt idx="146">
                        <c:v>4375.3773300000003</c:v>
                      </c:pt>
                      <c:pt idx="147">
                        <c:v>4398.0925500000003</c:v>
                      </c:pt>
                      <c:pt idx="148">
                        <c:v>4420.8054840000304</c:v>
                      </c:pt>
                      <c:pt idx="149">
                        <c:v>4443.5161320000307</c:v>
                      </c:pt>
                      <c:pt idx="150">
                        <c:v>4466.2435440000309</c:v>
                      </c:pt>
                      <c:pt idx="151">
                        <c:v>4488.987720000031</c:v>
                      </c:pt>
                      <c:pt idx="152">
                        <c:v>4511.7158940000008</c:v>
                      </c:pt>
                      <c:pt idx="153">
                        <c:v>4534.4280660000004</c:v>
                      </c:pt>
                      <c:pt idx="154">
                        <c:v>4564.8341520000004</c:v>
                      </c:pt>
                      <c:pt idx="155">
                        <c:v>4602.9341519999998</c:v>
                      </c:pt>
                      <c:pt idx="156">
                        <c:v>4633.4118660000004</c:v>
                      </c:pt>
                      <c:pt idx="157">
                        <c:v>4656.2672940000002</c:v>
                      </c:pt>
                      <c:pt idx="158">
                        <c:v>4686.7450079999999</c:v>
                      </c:pt>
                      <c:pt idx="159">
                        <c:v>4724.8450080000002</c:v>
                      </c:pt>
                      <c:pt idx="160">
                        <c:v>4762.9450079999997</c:v>
                      </c:pt>
                      <c:pt idx="161">
                        <c:v>4801.0450080000001</c:v>
                      </c:pt>
                      <c:pt idx="162">
                        <c:v>4831.451094</c:v>
                      </c:pt>
                      <c:pt idx="163">
                        <c:v>4854.1632660000005</c:v>
                      </c:pt>
                      <c:pt idx="164">
                        <c:v>4884.5693520000004</c:v>
                      </c:pt>
                      <c:pt idx="165">
                        <c:v>4922.6693519999999</c:v>
                      </c:pt>
                      <c:pt idx="166">
                        <c:v>4953.0777239999998</c:v>
                      </c:pt>
                      <c:pt idx="167">
                        <c:v>4975.7944680000001</c:v>
                      </c:pt>
                      <c:pt idx="168">
                        <c:v>4998.5134979999993</c:v>
                      </c:pt>
                      <c:pt idx="169">
                        <c:v>5021.2348140000004</c:v>
                      </c:pt>
                      <c:pt idx="170">
                        <c:v>5043.9607020000003</c:v>
                      </c:pt>
                      <c:pt idx="171">
                        <c:v>5066.6911620000001</c:v>
                      </c:pt>
                      <c:pt idx="172">
                        <c:v>5089.4246700000303</c:v>
                      </c:pt>
                      <c:pt idx="173">
                        <c:v>5112.1612260000311</c:v>
                      </c:pt>
                      <c:pt idx="174">
                        <c:v>5142.5795040000312</c:v>
                      </c:pt>
                      <c:pt idx="175">
                        <c:v>5180.6795040000316</c:v>
                      </c:pt>
                      <c:pt idx="176">
                        <c:v>5211.0970200000311</c:v>
                      </c:pt>
                      <c:pt idx="177">
                        <c:v>5233.8320520000307</c:v>
                      </c:pt>
                      <c:pt idx="178">
                        <c:v>5256.5632740000301</c:v>
                      </c:pt>
                      <c:pt idx="179">
                        <c:v>5279.2906860000312</c:v>
                      </c:pt>
                      <c:pt idx="180">
                        <c:v>5302.01505000003</c:v>
                      </c:pt>
                      <c:pt idx="181">
                        <c:v>5324.736366000031</c:v>
                      </c:pt>
                      <c:pt idx="182">
                        <c:v>5347.453872000031</c:v>
                      </c:pt>
                      <c:pt idx="183">
                        <c:v>5370.1675680000317</c:v>
                      </c:pt>
                      <c:pt idx="184">
                        <c:v>5392.8957420000306</c:v>
                      </c:pt>
                      <c:pt idx="185">
                        <c:v>5415.6383940000305</c:v>
                      </c:pt>
                      <c:pt idx="186">
                        <c:v>5438.365044000031</c:v>
                      </c:pt>
                      <c:pt idx="187">
                        <c:v>5461.0756920000304</c:v>
                      </c:pt>
                      <c:pt idx="188">
                        <c:v>5483.7878640000299</c:v>
                      </c:pt>
                      <c:pt idx="189">
                        <c:v>5506.5015600000306</c:v>
                      </c:pt>
                      <c:pt idx="190">
                        <c:v>5529.2183040000309</c:v>
                      </c:pt>
                      <c:pt idx="191">
                        <c:v>5551.9380960000308</c:v>
                      </c:pt>
                      <c:pt idx="192">
                        <c:v>5574.6556020000307</c:v>
                      </c:pt>
                      <c:pt idx="193">
                        <c:v>5597.3708220000608</c:v>
                      </c:pt>
                      <c:pt idx="194">
                        <c:v>5620.1561460000612</c:v>
                      </c:pt>
                      <c:pt idx="195">
                        <c:v>5643.011574000062</c:v>
                      </c:pt>
                      <c:pt idx="196">
                        <c:v>5665.8014700000613</c:v>
                      </c:pt>
                      <c:pt idx="197">
                        <c:v>5688.525834000061</c:v>
                      </c:pt>
                      <c:pt idx="198">
                        <c:v>5711.2517220000609</c:v>
                      </c:pt>
                      <c:pt idx="199">
                        <c:v>5733.9791340000611</c:v>
                      </c:pt>
                      <c:pt idx="200">
                        <c:v>5756.7088320000303</c:v>
                      </c:pt>
                      <c:pt idx="201">
                        <c:v>5779.4408160000312</c:v>
                      </c:pt>
                      <c:pt idx="202">
                        <c:v>5802.1674660000608</c:v>
                      </c:pt>
                      <c:pt idx="203">
                        <c:v>5824.8887820000609</c:v>
                      </c:pt>
                      <c:pt idx="204">
                        <c:v>5847.6078120000611</c:v>
                      </c:pt>
                      <c:pt idx="205">
                        <c:v>5870.3245560000614</c:v>
                      </c:pt>
                      <c:pt idx="206">
                        <c:v>5893.0397760000606</c:v>
                      </c:pt>
                      <c:pt idx="207">
                        <c:v>5915.7534720000613</c:v>
                      </c:pt>
                      <c:pt idx="208">
                        <c:v>5938.4641200000615</c:v>
                      </c:pt>
                      <c:pt idx="209">
                        <c:v>5961.1717200000621</c:v>
                      </c:pt>
                      <c:pt idx="210">
                        <c:v>5987.5369200000614</c:v>
                      </c:pt>
                      <c:pt idx="211">
                        <c:v>6017.559720000062</c:v>
                      </c:pt>
                      <c:pt idx="212">
                        <c:v>6051.6211200000616</c:v>
                      </c:pt>
                      <c:pt idx="213">
                        <c:v>6089.721120000062</c:v>
                      </c:pt>
                      <c:pt idx="214">
                        <c:v>6120.124920000062</c:v>
                      </c:pt>
                      <c:pt idx="215">
                        <c:v>6142.8325200000618</c:v>
                      </c:pt>
                      <c:pt idx="216">
                        <c:v>6165.5408820000612</c:v>
                      </c:pt>
                      <c:pt idx="217">
                        <c:v>6188.2500060000302</c:v>
                      </c:pt>
                      <c:pt idx="218">
                        <c:v>6210.9598920000308</c:v>
                      </c:pt>
                      <c:pt idx="219">
                        <c:v>6233.670540000031</c:v>
                      </c:pt>
                      <c:pt idx="220">
                        <c:v>6256.38195000003</c:v>
                      </c:pt>
                      <c:pt idx="221">
                        <c:v>6279.0941220000313</c:v>
                      </c:pt>
                      <c:pt idx="222">
                        <c:v>6309.5002080000313</c:v>
                      </c:pt>
                      <c:pt idx="223">
                        <c:v>6347.6002080000308</c:v>
                      </c:pt>
                      <c:pt idx="224">
                        <c:v>6385.7002080000311</c:v>
                      </c:pt>
                      <c:pt idx="225">
                        <c:v>6423.8002080000315</c:v>
                      </c:pt>
                      <c:pt idx="226">
                        <c:v>6461.9002080000309</c:v>
                      </c:pt>
                      <c:pt idx="227">
                        <c:v>6500.0002080000313</c:v>
                      </c:pt>
                      <c:pt idx="228">
                        <c:v>6530.4070560000309</c:v>
                      </c:pt>
                      <c:pt idx="229">
                        <c:v>6553.1207520000307</c:v>
                      </c:pt>
                      <c:pt idx="230">
                        <c:v>6575.8420680000318</c:v>
                      </c:pt>
                      <c:pt idx="231">
                        <c:v>6598.5710040000313</c:v>
                      </c:pt>
                      <c:pt idx="232">
                        <c:v>6621.3075600000302</c:v>
                      </c:pt>
                      <c:pt idx="233">
                        <c:v>6644.0517360000313</c:v>
                      </c:pt>
                      <c:pt idx="234">
                        <c:v>6666.80124600003</c:v>
                      </c:pt>
                      <c:pt idx="235">
                        <c:v>6689.556090000031</c:v>
                      </c:pt>
                      <c:pt idx="236">
                        <c:v>6712.302552000031</c:v>
                      </c:pt>
                      <c:pt idx="237">
                        <c:v>6735.0406320000302</c:v>
                      </c:pt>
                      <c:pt idx="238">
                        <c:v>6761.5140360000314</c:v>
                      </c:pt>
                      <c:pt idx="239">
                        <c:v>6784.2384000000302</c:v>
                      </c:pt>
                      <c:pt idx="240">
                        <c:v>6798.4192200000307</c:v>
                      </c:pt>
                      <c:pt idx="241">
                        <c:v>6811.5408600000301</c:v>
                      </c:pt>
                      <c:pt idx="242">
                        <c:v>6830.8270800000309</c:v>
                      </c:pt>
                      <c:pt idx="243">
                        <c:v>6868.9270800000313</c:v>
                      </c:pt>
                      <c:pt idx="244">
                        <c:v>6909.3130800000308</c:v>
                      </c:pt>
                      <c:pt idx="245">
                        <c:v>6939.3358800000306</c:v>
                      </c:pt>
                      <c:pt idx="246">
                        <c:v>6973.3972800000311</c:v>
                      </c:pt>
                      <c:pt idx="247">
                        <c:v>7011.4972800000305</c:v>
                      </c:pt>
                      <c:pt idx="248">
                        <c:v>7049.5972800000309</c:v>
                      </c:pt>
                      <c:pt idx="249">
                        <c:v>7087.6972800000312</c:v>
                      </c:pt>
                      <c:pt idx="250">
                        <c:v>7119.4917300000307</c:v>
                      </c:pt>
                      <c:pt idx="251">
                        <c:v>7144.9806300000309</c:v>
                      </c:pt>
                      <c:pt idx="252">
                        <c:v>7176.7750800000313</c:v>
                      </c:pt>
                      <c:pt idx="253">
                        <c:v>7214.8750800000307</c:v>
                      </c:pt>
                      <c:pt idx="254">
                        <c:v>7252.9750800000311</c:v>
                      </c:pt>
                      <c:pt idx="255">
                        <c:v>7291.0750800000305</c:v>
                      </c:pt>
                      <c:pt idx="256">
                        <c:v>7329.1750800000309</c:v>
                      </c:pt>
                      <c:pt idx="257">
                        <c:v>7367.2750800000313</c:v>
                      </c:pt>
                      <c:pt idx="258">
                        <c:v>7405.3750800000307</c:v>
                      </c:pt>
                      <c:pt idx="259">
                        <c:v>7443.4750800000311</c:v>
                      </c:pt>
                      <c:pt idx="260">
                        <c:v>7481.5750800000305</c:v>
                      </c:pt>
                      <c:pt idx="261">
                        <c:v>7519.6750800000309</c:v>
                      </c:pt>
                      <c:pt idx="262">
                        <c:v>7557.7750800000313</c:v>
                      </c:pt>
                      <c:pt idx="263">
                        <c:v>7595.8750800000307</c:v>
                      </c:pt>
                      <c:pt idx="264">
                        <c:v>7633.9750800000311</c:v>
                      </c:pt>
                      <c:pt idx="265">
                        <c:v>7672.0750800000305</c:v>
                      </c:pt>
                      <c:pt idx="266">
                        <c:v>7702.4804040000317</c:v>
                      </c:pt>
                      <c:pt idx="267">
                        <c:v>7725.191052000031</c:v>
                      </c:pt>
                      <c:pt idx="268">
                        <c:v>7755.5963760000313</c:v>
                      </c:pt>
                      <c:pt idx="269">
                        <c:v>7793.6963760000308</c:v>
                      </c:pt>
                      <c:pt idx="270">
                        <c:v>7824.1001760000308</c:v>
                      </c:pt>
                      <c:pt idx="271">
                        <c:v>7846.8077760000315</c:v>
                      </c:pt>
                      <c:pt idx="272">
                        <c:v>7877.2115760000315</c:v>
                      </c:pt>
                      <c:pt idx="273">
                        <c:v>7915.311576000031</c:v>
                      </c:pt>
                      <c:pt idx="274">
                        <c:v>7945.7161380000307</c:v>
                      </c:pt>
                      <c:pt idx="275">
                        <c:v>7968.4252620000307</c:v>
                      </c:pt>
                      <c:pt idx="276">
                        <c:v>7991.133624000031</c:v>
                      </c:pt>
                      <c:pt idx="277">
                        <c:v>8013.8412240000307</c:v>
                      </c:pt>
                      <c:pt idx="278">
                        <c:v>8036.5488240000304</c:v>
                      </c:pt>
                      <c:pt idx="279">
                        <c:v>8059.2564240000311</c:v>
                      </c:pt>
                      <c:pt idx="280">
                        <c:v>8081.9647860000314</c:v>
                      </c:pt>
                      <c:pt idx="281">
                        <c:v>8104.6739100000304</c:v>
                      </c:pt>
                      <c:pt idx="282">
                        <c:v>8135.0784720000311</c:v>
                      </c:pt>
                      <c:pt idx="283">
                        <c:v>8173.1784720000314</c:v>
                      </c:pt>
                      <c:pt idx="284">
                        <c:v>8203.5830340000302</c:v>
                      </c:pt>
                      <c:pt idx="285">
                        <c:v>8226.2921580000311</c:v>
                      </c:pt>
                      <c:pt idx="286">
                        <c:v>8249.0028060000313</c:v>
                      </c:pt>
                      <c:pt idx="287">
                        <c:v>8271.7149780000309</c:v>
                      </c:pt>
                      <c:pt idx="288">
                        <c:v>8294.4271500000305</c:v>
                      </c:pt>
                      <c:pt idx="289">
                        <c:v>8317.1393220000318</c:v>
                      </c:pt>
                      <c:pt idx="290">
                        <c:v>8339.8514940000314</c:v>
                      </c:pt>
                      <c:pt idx="291">
                        <c:v>8362.563666</c:v>
                      </c:pt>
                      <c:pt idx="292">
                        <c:v>8388.931152000001</c:v>
                      </c:pt>
                      <c:pt idx="293">
                        <c:v>8418.9539520000017</c:v>
                      </c:pt>
                      <c:pt idx="294">
                        <c:v>8453.0153520000003</c:v>
                      </c:pt>
                      <c:pt idx="295">
                        <c:v>8491.1153520000007</c:v>
                      </c:pt>
                      <c:pt idx="296">
                        <c:v>8521.5199140000313</c:v>
                      </c:pt>
                      <c:pt idx="297">
                        <c:v>8544.2290380000304</c:v>
                      </c:pt>
                      <c:pt idx="298">
                        <c:v>8574.6336000000301</c:v>
                      </c:pt>
                      <c:pt idx="299">
                        <c:v>8612.7336000000305</c:v>
                      </c:pt>
                      <c:pt idx="300">
                        <c:v>8650.8336000000309</c:v>
                      </c:pt>
                      <c:pt idx="301">
                        <c:v>8688.9336000000312</c:v>
                      </c:pt>
                      <c:pt idx="302">
                        <c:v>8727.0336000000298</c:v>
                      </c:pt>
                      <c:pt idx="303">
                        <c:v>8765.1336000000301</c:v>
                      </c:pt>
                      <c:pt idx="304">
                        <c:v>8803.2336000000305</c:v>
                      </c:pt>
                      <c:pt idx="305">
                        <c:v>8841.3336000000309</c:v>
                      </c:pt>
                      <c:pt idx="306">
                        <c:v>8879.4336000000312</c:v>
                      </c:pt>
                      <c:pt idx="307">
                        <c:v>8917.5336000000298</c:v>
                      </c:pt>
                      <c:pt idx="308">
                        <c:v>8955.6336000000301</c:v>
                      </c:pt>
                      <c:pt idx="309">
                        <c:v>8993.7336000000305</c:v>
                      </c:pt>
                      <c:pt idx="310">
                        <c:v>9031.8336000000309</c:v>
                      </c:pt>
                      <c:pt idx="311">
                        <c:v>9069.9336000000312</c:v>
                      </c:pt>
                      <c:pt idx="312">
                        <c:v>9108.0336000000298</c:v>
                      </c:pt>
                      <c:pt idx="313">
                        <c:v>9146.1336000000301</c:v>
                      </c:pt>
                      <c:pt idx="314">
                        <c:v>9184.2336000000305</c:v>
                      </c:pt>
                      <c:pt idx="315">
                        <c:v>9222.3336000000309</c:v>
                      </c:pt>
                      <c:pt idx="316">
                        <c:v>9260.4336000000312</c:v>
                      </c:pt>
                      <c:pt idx="317">
                        <c:v>9298.5336000000298</c:v>
                      </c:pt>
                      <c:pt idx="318">
                        <c:v>9328.9374000000298</c:v>
                      </c:pt>
                      <c:pt idx="319">
                        <c:v>9351.6450000000295</c:v>
                      </c:pt>
                      <c:pt idx="320">
                        <c:v>9382.0488000000296</c:v>
                      </c:pt>
                      <c:pt idx="321">
                        <c:v>9420.14880000003</c:v>
                      </c:pt>
                      <c:pt idx="322">
                        <c:v>9458.2488000000303</c:v>
                      </c:pt>
                      <c:pt idx="323">
                        <c:v>9496.3488000000307</c:v>
                      </c:pt>
                      <c:pt idx="324">
                        <c:v>9534.448800000031</c:v>
                      </c:pt>
                      <c:pt idx="325">
                        <c:v>9572.5488000000296</c:v>
                      </c:pt>
                      <c:pt idx="326">
                        <c:v>9610.64880000003</c:v>
                      </c:pt>
                      <c:pt idx="327">
                        <c:v>9648.7488000000303</c:v>
                      </c:pt>
                      <c:pt idx="328">
                        <c:v>9686.8488000000307</c:v>
                      </c:pt>
                      <c:pt idx="329">
                        <c:v>9724.948800000031</c:v>
                      </c:pt>
                      <c:pt idx="330">
                        <c:v>9763.0488000000296</c:v>
                      </c:pt>
                      <c:pt idx="331">
                        <c:v>9801.14880000003</c:v>
                      </c:pt>
                      <c:pt idx="332">
                        <c:v>9831.5548860000308</c:v>
                      </c:pt>
                      <c:pt idx="333">
                        <c:v>9854.2670580000304</c:v>
                      </c:pt>
                      <c:pt idx="334">
                        <c:v>9876.9792300000317</c:v>
                      </c:pt>
                      <c:pt idx="335">
                        <c:v>9899.6914020000622</c:v>
                      </c:pt>
                      <c:pt idx="336">
                        <c:v>9930.0974880000613</c:v>
                      </c:pt>
                      <c:pt idx="337">
                        <c:v>9968.1974880000616</c:v>
                      </c:pt>
                      <c:pt idx="338">
                        <c:v>10006.297488000062</c:v>
                      </c:pt>
                      <c:pt idx="339">
                        <c:v>10044.397488000062</c:v>
                      </c:pt>
                      <c:pt idx="340">
                        <c:v>10079.78248200003</c:v>
                      </c:pt>
                      <c:pt idx="341">
                        <c:v>10112.45247</c:v>
                      </c:pt>
                      <c:pt idx="342">
                        <c:v>10140.142026000001</c:v>
                      </c:pt>
                      <c:pt idx="343">
                        <c:v>10162.851149999969</c:v>
                      </c:pt>
                      <c:pt idx="344">
                        <c:v>10185.560273999999</c:v>
                      </c:pt>
                      <c:pt idx="345">
                        <c:v>10208.269398000029</c:v>
                      </c:pt>
                      <c:pt idx="346">
                        <c:v>10238.673960000031</c:v>
                      </c:pt>
                      <c:pt idx="347">
                        <c:v>10276.773960000031</c:v>
                      </c:pt>
                      <c:pt idx="348">
                        <c:v>10314.87396000003</c:v>
                      </c:pt>
                      <c:pt idx="349">
                        <c:v>10352.97396000003</c:v>
                      </c:pt>
                      <c:pt idx="350">
                        <c:v>10391.073960000031</c:v>
                      </c:pt>
                      <c:pt idx="351">
                        <c:v>10429.173960000031</c:v>
                      </c:pt>
                      <c:pt idx="352">
                        <c:v>10467.273960000031</c:v>
                      </c:pt>
                      <c:pt idx="353">
                        <c:v>10505.37396000003</c:v>
                      </c:pt>
                      <c:pt idx="354">
                        <c:v>10535.781570000032</c:v>
                      </c:pt>
                      <c:pt idx="355">
                        <c:v>10558.496790000001</c:v>
                      </c:pt>
                      <c:pt idx="356">
                        <c:v>10581.21200999997</c:v>
                      </c:pt>
                      <c:pt idx="357">
                        <c:v>10603.927229999999</c:v>
                      </c:pt>
                      <c:pt idx="358">
                        <c:v>10630.29700199997</c:v>
                      </c:pt>
                      <c:pt idx="359">
                        <c:v>10660.321325999939</c:v>
                      </c:pt>
                      <c:pt idx="360">
                        <c:v>10694.383487999939</c:v>
                      </c:pt>
                      <c:pt idx="361">
                        <c:v>10732.48348799994</c:v>
                      </c:pt>
                      <c:pt idx="362">
                        <c:v>10770.58348799994</c:v>
                      </c:pt>
                      <c:pt idx="363">
                        <c:v>10808.683487999941</c:v>
                      </c:pt>
                      <c:pt idx="364">
                        <c:v>10846.783487999939</c:v>
                      </c:pt>
                      <c:pt idx="365">
                        <c:v>10884.883487999939</c:v>
                      </c:pt>
                      <c:pt idx="366">
                        <c:v>10922.98348799994</c:v>
                      </c:pt>
                      <c:pt idx="367">
                        <c:v>10961.08348799994</c:v>
                      </c:pt>
                      <c:pt idx="368">
                        <c:v>10999.183487999941</c:v>
                      </c:pt>
                      <c:pt idx="369">
                        <c:v>11037.283487999939</c:v>
                      </c:pt>
                      <c:pt idx="370">
                        <c:v>11075.383487999939</c:v>
                      </c:pt>
                      <c:pt idx="371">
                        <c:v>11113.48348799994</c:v>
                      </c:pt>
                      <c:pt idx="372">
                        <c:v>11151.58348799994</c:v>
                      </c:pt>
                      <c:pt idx="373">
                        <c:v>11189.683487999941</c:v>
                      </c:pt>
                      <c:pt idx="374">
                        <c:v>11227.783487999939</c:v>
                      </c:pt>
                      <c:pt idx="375">
                        <c:v>11265.883487999939</c:v>
                      </c:pt>
                      <c:pt idx="376">
                        <c:v>11303.98348799994</c:v>
                      </c:pt>
                      <c:pt idx="377">
                        <c:v>11342.08348799994</c:v>
                      </c:pt>
                      <c:pt idx="378">
                        <c:v>11380.183487999941</c:v>
                      </c:pt>
                      <c:pt idx="379">
                        <c:v>11418.283487999939</c:v>
                      </c:pt>
                      <c:pt idx="380">
                        <c:v>11456.383487999939</c:v>
                      </c:pt>
                      <c:pt idx="381">
                        <c:v>11494.48348799994</c:v>
                      </c:pt>
                      <c:pt idx="382">
                        <c:v>11532.58348799994</c:v>
                      </c:pt>
                      <c:pt idx="383">
                        <c:v>11570.683487999941</c:v>
                      </c:pt>
                      <c:pt idx="384">
                        <c:v>11604.744887999939</c:v>
                      </c:pt>
                      <c:pt idx="385">
                        <c:v>11634.76768799994</c:v>
                      </c:pt>
                      <c:pt idx="386">
                        <c:v>11668.82908799994</c:v>
                      </c:pt>
                      <c:pt idx="387">
                        <c:v>11706.929087999941</c:v>
                      </c:pt>
                      <c:pt idx="388">
                        <c:v>11745.029087999939</c:v>
                      </c:pt>
                      <c:pt idx="389">
                        <c:v>11783.12908799994</c:v>
                      </c:pt>
                      <c:pt idx="390">
                        <c:v>11821.22908799994</c:v>
                      </c:pt>
                      <c:pt idx="391">
                        <c:v>11859.32908799994</c:v>
                      </c:pt>
                      <c:pt idx="392">
                        <c:v>11888.61122399994</c:v>
                      </c:pt>
                      <c:pt idx="393">
                        <c:v>11909.075495999939</c:v>
                      </c:pt>
                      <c:pt idx="394">
                        <c:v>11938.357631999939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FL6_WD!$AA$3:$AA$13073</c15:sqref>
                        </c15:formulaRef>
                      </c:ext>
                    </c:extLst>
                    <c:numCache>
                      <c:formatCode>General</c:formatCode>
                      <c:ptCount val="13071"/>
                      <c:pt idx="0">
                        <c:v>1217.53591922536</c:v>
                      </c:pt>
                      <c:pt idx="1">
                        <c:v>1217.5370896818786</c:v>
                      </c:pt>
                      <c:pt idx="2">
                        <c:v>1217.5205950243601</c:v>
                      </c:pt>
                      <c:pt idx="3">
                        <c:v>1217.527057582128</c:v>
                      </c:pt>
                      <c:pt idx="4">
                        <c:v>1217.5325279796787</c:v>
                      </c:pt>
                      <c:pt idx="5">
                        <c:v>1217.5459136692523</c:v>
                      </c:pt>
                      <c:pt idx="6">
                        <c:v>1217.5666176864165</c:v>
                      </c:pt>
                      <c:pt idx="7">
                        <c:v>1217.5650290775795</c:v>
                      </c:pt>
                      <c:pt idx="8">
                        <c:v>1217.6421629325064</c:v>
                      </c:pt>
                      <c:pt idx="9">
                        <c:v>1217.7147220026279</c:v>
                      </c:pt>
                      <c:pt idx="10">
                        <c:v>1217.7652428284848</c:v>
                      </c:pt>
                      <c:pt idx="11">
                        <c:v>1217.7972969705231</c:v>
                      </c:pt>
                      <c:pt idx="12">
                        <c:v>1217.8381615065232</c:v>
                      </c:pt>
                      <c:pt idx="13">
                        <c:v>1226.6959198034194</c:v>
                      </c:pt>
                      <c:pt idx="14">
                        <c:v>1239.5205949044448</c:v>
                      </c:pt>
                      <c:pt idx="15">
                        <c:v>1252.34527000547</c:v>
                      </c:pt>
                      <c:pt idx="16">
                        <c:v>1263.8105295457867</c:v>
                      </c:pt>
                      <c:pt idx="17">
                        <c:v>1273.9163735253946</c:v>
                      </c:pt>
                      <c:pt idx="18">
                        <c:v>1282.7918181758102</c:v>
                      </c:pt>
                      <c:pt idx="19">
                        <c:v>1290.4368634970333</c:v>
                      </c:pt>
                      <c:pt idx="20">
                        <c:v>1298.0821653117587</c:v>
                      </c:pt>
                      <c:pt idx="21">
                        <c:v>1305.7277236199859</c:v>
                      </c:pt>
                      <c:pt idx="22">
                        <c:v>1313.3732819282131</c:v>
                      </c:pt>
                      <c:pt idx="23">
                        <c:v>1321.0188402364404</c:v>
                      </c:pt>
                      <c:pt idx="24">
                        <c:v>1328.6654245186758</c:v>
                      </c:pt>
                      <c:pt idx="25">
                        <c:v>1336.3130347749191</c:v>
                      </c:pt>
                      <c:pt idx="26">
                        <c:v>1343.9591060701505</c:v>
                      </c:pt>
                      <c:pt idx="27">
                        <c:v>1351.6036384043696</c:v>
                      </c:pt>
                      <c:pt idx="28">
                        <c:v>1359.2486837255929</c:v>
                      </c:pt>
                      <c:pt idx="29">
                        <c:v>1366.8942420338201</c:v>
                      </c:pt>
                      <c:pt idx="30">
                        <c:v>1374.5390308615413</c:v>
                      </c:pt>
                      <c:pt idx="31">
                        <c:v>1382.1830502087564</c:v>
                      </c:pt>
                      <c:pt idx="32">
                        <c:v>1389.8270695559715</c:v>
                      </c:pt>
                      <c:pt idx="33">
                        <c:v>1397.4710889031867</c:v>
                      </c:pt>
                      <c:pt idx="34">
                        <c:v>1407.7054361273058</c:v>
                      </c:pt>
                      <c:pt idx="35">
                        <c:v>1420.5301112283312</c:v>
                      </c:pt>
                      <c:pt idx="36">
                        <c:v>1433.3547863293566</c:v>
                      </c:pt>
                      <c:pt idx="37">
                        <c:v>1446.1794614303817</c:v>
                      </c:pt>
                      <c:pt idx="38">
                        <c:v>1459.0041365314071</c:v>
                      </c:pt>
                      <c:pt idx="39">
                        <c:v>1471.8288116324325</c:v>
                      </c:pt>
                      <c:pt idx="40">
                        <c:v>1484.6534867334578</c:v>
                      </c:pt>
                      <c:pt idx="41">
                        <c:v>1497.4781618344832</c:v>
                      </c:pt>
                      <c:pt idx="42">
                        <c:v>1507.7122525651012</c:v>
                      </c:pt>
                      <c:pt idx="43">
                        <c:v>1515.3557589253123</c:v>
                      </c:pt>
                      <c:pt idx="44">
                        <c:v>1525.5898496559307</c:v>
                      </c:pt>
                      <c:pt idx="45">
                        <c:v>1538.4145247569559</c:v>
                      </c:pt>
                      <c:pt idx="46">
                        <c:v>1548.6496414615822</c:v>
                      </c:pt>
                      <c:pt idx="47">
                        <c:v>1556.2951997698094</c:v>
                      </c:pt>
                      <c:pt idx="48">
                        <c:v>1565.1709009137271</c:v>
                      </c:pt>
                      <c:pt idx="49">
                        <c:v>1575.276744893335</c:v>
                      </c:pt>
                      <c:pt idx="50">
                        <c:v>1584.1534720112606</c:v>
                      </c:pt>
                      <c:pt idx="51">
                        <c:v>1591.8010822675039</c:v>
                      </c:pt>
                      <c:pt idx="52">
                        <c:v>1599.4474100562384</c:v>
                      </c:pt>
                      <c:pt idx="53">
                        <c:v>1607.0924553774616</c:v>
                      </c:pt>
                      <c:pt idx="54">
                        <c:v>1614.7372442051828</c:v>
                      </c:pt>
                      <c:pt idx="55">
                        <c:v>1622.3817765394019</c:v>
                      </c:pt>
                      <c:pt idx="56">
                        <c:v>1630.0270783541282</c:v>
                      </c:pt>
                      <c:pt idx="57">
                        <c:v>1637.6731496493605</c:v>
                      </c:pt>
                      <c:pt idx="58">
                        <c:v>1645.3197339315959</c:v>
                      </c:pt>
                      <c:pt idx="59">
                        <c:v>1652.9668312008343</c:v>
                      </c:pt>
                      <c:pt idx="60">
                        <c:v>1660.6152109375837</c:v>
                      </c:pt>
                      <c:pt idx="61">
                        <c:v>1668.2648731418435</c:v>
                      </c:pt>
                      <c:pt idx="62">
                        <c:v>1675.914791839605</c:v>
                      </c:pt>
                      <c:pt idx="63">
                        <c:v>1683.5649670308676</c:v>
                      </c:pt>
                      <c:pt idx="64">
                        <c:v>1691.2130902741151</c:v>
                      </c:pt>
                      <c:pt idx="65">
                        <c:v>1698.8591615693472</c:v>
                      </c:pt>
                      <c:pt idx="66">
                        <c:v>1706.5044633840726</c:v>
                      </c:pt>
                      <c:pt idx="67">
                        <c:v>1714.1489957182916</c:v>
                      </c:pt>
                      <c:pt idx="68">
                        <c:v>1721.7940410395149</c:v>
                      </c:pt>
                      <c:pt idx="69">
                        <c:v>1729.4395993477422</c:v>
                      </c:pt>
                      <c:pt idx="70">
                        <c:v>1737.0856706429736</c:v>
                      </c:pt>
                      <c:pt idx="71">
                        <c:v>1744.732254925209</c:v>
                      </c:pt>
                      <c:pt idx="72">
                        <c:v>1752.3783262204402</c:v>
                      </c:pt>
                      <c:pt idx="73">
                        <c:v>1760.0238845286672</c:v>
                      </c:pt>
                      <c:pt idx="74">
                        <c:v>1767.6686733563884</c:v>
                      </c:pt>
                      <c:pt idx="75">
                        <c:v>1775.3126927036037</c:v>
                      </c:pt>
                      <c:pt idx="76">
                        <c:v>1785.547039927724</c:v>
                      </c:pt>
                      <c:pt idx="77">
                        <c:v>1798.3717150287493</c:v>
                      </c:pt>
                      <c:pt idx="78">
                        <c:v>1808.6093966683957</c:v>
                      </c:pt>
                      <c:pt idx="79">
                        <c:v>1816.2600848466632</c:v>
                      </c:pt>
                      <c:pt idx="80">
                        <c:v>1826.4977664863097</c:v>
                      </c:pt>
                      <c:pt idx="81">
                        <c:v>1839.3224415873351</c:v>
                      </c:pt>
                      <c:pt idx="82">
                        <c:v>1849.5616621879938</c:v>
                      </c:pt>
                      <c:pt idx="83">
                        <c:v>1857.2154282882857</c:v>
                      </c:pt>
                      <c:pt idx="84">
                        <c:v>1866.0952333282357</c:v>
                      </c:pt>
                      <c:pt idx="85">
                        <c:v>1876.2010773078434</c:v>
                      </c:pt>
                      <c:pt idx="86">
                        <c:v>1887.6663368481602</c:v>
                      </c:pt>
                      <c:pt idx="87">
                        <c:v>1900.4910119491856</c:v>
                      </c:pt>
                      <c:pt idx="88">
                        <c:v>1913.315687050211</c:v>
                      </c:pt>
                      <c:pt idx="89">
                        <c:v>1926.1403621512363</c:v>
                      </c:pt>
                      <c:pt idx="90">
                        <c:v>1938.9650372522615</c:v>
                      </c:pt>
                      <c:pt idx="91">
                        <c:v>1951.7897123532866</c:v>
                      </c:pt>
                      <c:pt idx="92">
                        <c:v>1962.0250855514141</c:v>
                      </c:pt>
                      <c:pt idx="93">
                        <c:v>1969.6711568466453</c:v>
                      </c:pt>
                      <c:pt idx="94">
                        <c:v>1977.3187671028879</c:v>
                      </c:pt>
                      <c:pt idx="95">
                        <c:v>1984.9679163201454</c:v>
                      </c:pt>
                      <c:pt idx="96">
                        <c:v>1995.2048284792854</c:v>
                      </c:pt>
                      <c:pt idx="97">
                        <c:v>2008.029503580311</c:v>
                      </c:pt>
                      <c:pt idx="98">
                        <c:v>2020.8541786813366</c:v>
                      </c:pt>
                      <c:pt idx="99">
                        <c:v>2033.6788537823616</c:v>
                      </c:pt>
                      <c:pt idx="100">
                        <c:v>2043.9129445129797</c:v>
                      </c:pt>
                      <c:pt idx="101">
                        <c:v>2051.5564508731909</c:v>
                      </c:pt>
                      <c:pt idx="102">
                        <c:v>2059.2048306099405</c:v>
                      </c:pt>
                      <c:pt idx="103">
                        <c:v>2066.8580837232294</c:v>
                      </c:pt>
                      <c:pt idx="104">
                        <c:v>2074.5077459274889</c:v>
                      </c:pt>
                      <c:pt idx="105">
                        <c:v>2082.153817222721</c:v>
                      </c:pt>
                      <c:pt idx="106">
                        <c:v>2092.3891904208508</c:v>
                      </c:pt>
                      <c:pt idx="107">
                        <c:v>2105.213865521876</c:v>
                      </c:pt>
                      <c:pt idx="108">
                        <c:v>2118.0385406229016</c:v>
                      </c:pt>
                      <c:pt idx="109">
                        <c:v>2130.8632157239226</c:v>
                      </c:pt>
                      <c:pt idx="110">
                        <c:v>2143.6878908249478</c:v>
                      </c:pt>
                      <c:pt idx="111">
                        <c:v>2156.5125659259729</c:v>
                      </c:pt>
                      <c:pt idx="112">
                        <c:v>2169.3372410269985</c:v>
                      </c:pt>
                      <c:pt idx="113">
                        <c:v>2182.1619161280237</c:v>
                      </c:pt>
                      <c:pt idx="114">
                        <c:v>2192.3960068586421</c:v>
                      </c:pt>
                      <c:pt idx="115">
                        <c:v>2200.0395132188532</c:v>
                      </c:pt>
                      <c:pt idx="116">
                        <c:v>2209.608516298732</c:v>
                      </c:pt>
                      <c:pt idx="117">
                        <c:v>2221.1030160982791</c:v>
                      </c:pt>
                      <c:pt idx="118">
                        <c:v>2233.2626035485655</c:v>
                      </c:pt>
                      <c:pt idx="119">
                        <c:v>2246.0872786495902</c:v>
                      </c:pt>
                      <c:pt idx="120">
                        <c:v>2258.9119537506158</c:v>
                      </c:pt>
                      <c:pt idx="121">
                        <c:v>2271.7366288516414</c:v>
                      </c:pt>
                      <c:pt idx="122">
                        <c:v>2281.9707195822593</c:v>
                      </c:pt>
                      <c:pt idx="123">
                        <c:v>2289.6142259424705</c:v>
                      </c:pt>
                      <c:pt idx="124">
                        <c:v>2299.8483166730884</c:v>
                      </c:pt>
                      <c:pt idx="125">
                        <c:v>2312.6729917741141</c:v>
                      </c:pt>
                      <c:pt idx="126">
                        <c:v>2325.4976668751392</c:v>
                      </c:pt>
                      <c:pt idx="127">
                        <c:v>2338.3223419761644</c:v>
                      </c:pt>
                      <c:pt idx="128">
                        <c:v>2351.14701707719</c:v>
                      </c:pt>
                      <c:pt idx="129">
                        <c:v>2363.9716921782151</c:v>
                      </c:pt>
                      <c:pt idx="130">
                        <c:v>2376.7963672792403</c:v>
                      </c:pt>
                      <c:pt idx="131">
                        <c:v>2389.6210423802659</c:v>
                      </c:pt>
                      <c:pt idx="132">
                        <c:v>2402.4457174812915</c:v>
                      </c:pt>
                      <c:pt idx="133">
                        <c:v>2415.2703925823166</c:v>
                      </c:pt>
                      <c:pt idx="134">
                        <c:v>2428.0950676833418</c:v>
                      </c:pt>
                      <c:pt idx="135">
                        <c:v>2440.9197427843669</c:v>
                      </c:pt>
                      <c:pt idx="136">
                        <c:v>2453.7444178853921</c:v>
                      </c:pt>
                      <c:pt idx="137">
                        <c:v>2466.5690929864177</c:v>
                      </c:pt>
                      <c:pt idx="138">
                        <c:v>2479.3937680874428</c:v>
                      </c:pt>
                      <c:pt idx="139">
                        <c:v>2492.2184431884684</c:v>
                      </c:pt>
                      <c:pt idx="140">
                        <c:v>2505.0431182894936</c:v>
                      </c:pt>
                      <c:pt idx="141">
                        <c:v>2517.8677933905192</c:v>
                      </c:pt>
                      <c:pt idx="142">
                        <c:v>2530.6924684915443</c:v>
                      </c:pt>
                      <c:pt idx="143">
                        <c:v>2543.5171435925695</c:v>
                      </c:pt>
                      <c:pt idx="144">
                        <c:v>2553.7530297777021</c:v>
                      </c:pt>
                      <c:pt idx="145">
                        <c:v>2561.4001270469416</c:v>
                      </c:pt>
                      <c:pt idx="146">
                        <c:v>2569.046711329177</c:v>
                      </c:pt>
                      <c:pt idx="147">
                        <c:v>2576.6927826244082</c:v>
                      </c:pt>
                      <c:pt idx="148">
                        <c:v>2584.3380844391436</c:v>
                      </c:pt>
                      <c:pt idx="149">
                        <c:v>2591.9826167733627</c:v>
                      </c:pt>
                      <c:pt idx="150">
                        <c:v>2599.6327919646264</c:v>
                      </c:pt>
                      <c:pt idx="151">
                        <c:v>2607.2886100129344</c:v>
                      </c:pt>
                      <c:pt idx="152">
                        <c:v>2614.9390416976898</c:v>
                      </c:pt>
                      <c:pt idx="153">
                        <c:v>2622.5840870189131</c:v>
                      </c:pt>
                      <c:pt idx="154">
                        <c:v>2632.8189472300373</c:v>
                      </c:pt>
                      <c:pt idx="155">
                        <c:v>2645.6436223310625</c:v>
                      </c:pt>
                      <c:pt idx="156">
                        <c:v>2655.9025929313766</c:v>
                      </c:pt>
                      <c:pt idx="157">
                        <c:v>2663.5958590309792</c:v>
                      </c:pt>
                      <c:pt idx="158">
                        <c:v>2673.8548296312938</c:v>
                      </c:pt>
                      <c:pt idx="159">
                        <c:v>2686.6795047323194</c:v>
                      </c:pt>
                      <c:pt idx="160">
                        <c:v>2699.5041798333446</c:v>
                      </c:pt>
                      <c:pt idx="161">
                        <c:v>2712.3288549343697</c:v>
                      </c:pt>
                      <c:pt idx="162">
                        <c:v>2722.5637151454939</c:v>
                      </c:pt>
                      <c:pt idx="163">
                        <c:v>2730.2087604667176</c:v>
                      </c:pt>
                      <c:pt idx="164">
                        <c:v>2740.4436206778419</c:v>
                      </c:pt>
                      <c:pt idx="165">
                        <c:v>2753.2682957788675</c:v>
                      </c:pt>
                      <c:pt idx="166">
                        <c:v>2763.5039254704971</c:v>
                      </c:pt>
                      <c:pt idx="167">
                        <c:v>2771.1505097527329</c:v>
                      </c:pt>
                      <c:pt idx="168">
                        <c:v>2778.7978635154736</c:v>
                      </c:pt>
                      <c:pt idx="169">
                        <c:v>2786.4459867587211</c:v>
                      </c:pt>
                      <c:pt idx="170">
                        <c:v>2794.0956489629816</c:v>
                      </c:pt>
                      <c:pt idx="171">
                        <c:v>2801.7468501282528</c:v>
                      </c:pt>
                      <c:pt idx="172">
                        <c:v>2809.3990772675425</c:v>
                      </c:pt>
                      <c:pt idx="173">
                        <c:v>2817.0523303808304</c:v>
                      </c:pt>
                      <c:pt idx="174">
                        <c:v>2827.2912944879872</c:v>
                      </c:pt>
                      <c:pt idx="175">
                        <c:v>2840.1159695890128</c:v>
                      </c:pt>
                      <c:pt idx="176">
                        <c:v>2850.3546772026675</c:v>
                      </c:pt>
                      <c:pt idx="177">
                        <c:v>2858.0074173289513</c:v>
                      </c:pt>
                      <c:pt idx="178">
                        <c:v>2865.6588749877246</c:v>
                      </c:pt>
                      <c:pt idx="179">
                        <c:v>2873.3090501789884</c:v>
                      </c:pt>
                      <c:pt idx="180">
                        <c:v>2880.9581993962438</c:v>
                      </c:pt>
                      <c:pt idx="181">
                        <c:v>2888.6063226394917</c:v>
                      </c:pt>
                      <c:pt idx="182">
                        <c:v>2896.2531634152292</c:v>
                      </c:pt>
                      <c:pt idx="183">
                        <c:v>2903.8987217234562</c:v>
                      </c:pt>
                      <c:pt idx="184">
                        <c:v>2911.5491534082221</c:v>
                      </c:pt>
                      <c:pt idx="185">
                        <c:v>2919.2044584695259</c:v>
                      </c:pt>
                      <c:pt idx="186">
                        <c:v>2926.8543771672876</c:v>
                      </c:pt>
                      <c:pt idx="187">
                        <c:v>2934.4989095015062</c:v>
                      </c:pt>
                      <c:pt idx="188">
                        <c:v>2942.143954822729</c:v>
                      </c:pt>
                      <c:pt idx="189">
                        <c:v>2949.7895131309569</c:v>
                      </c:pt>
                      <c:pt idx="190">
                        <c:v>2957.4360974131923</c:v>
                      </c:pt>
                      <c:pt idx="191">
                        <c:v>2965.0837076694352</c:v>
                      </c:pt>
                      <c:pt idx="192">
                        <c:v>2972.7305484451731</c:v>
                      </c:pt>
                      <c:pt idx="193">
                        <c:v>2980.3766197404143</c:v>
                      </c:pt>
                      <c:pt idx="194">
                        <c:v>2988.0462884378321</c:v>
                      </c:pt>
                      <c:pt idx="195">
                        <c:v>2995.7395545374352</c:v>
                      </c:pt>
                      <c:pt idx="196">
                        <c:v>3003.4107621958638</c:v>
                      </c:pt>
                      <c:pt idx="197">
                        <c:v>3011.0599114131192</c:v>
                      </c:pt>
                      <c:pt idx="198">
                        <c:v>3018.7095736173796</c:v>
                      </c:pt>
                      <c:pt idx="199">
                        <c:v>3026.3597488086425</c:v>
                      </c:pt>
                      <c:pt idx="200">
                        <c:v>3034.0106934804026</c:v>
                      </c:pt>
                      <c:pt idx="201">
                        <c:v>3041.662407632678</c:v>
                      </c:pt>
                      <c:pt idx="202">
                        <c:v>3049.3123263304497</c:v>
                      </c:pt>
                      <c:pt idx="203">
                        <c:v>3056.9604495736971</c:v>
                      </c:pt>
                      <c:pt idx="204">
                        <c:v>3064.6078033364388</c:v>
                      </c:pt>
                      <c:pt idx="205">
                        <c:v>3072.2543876186737</c:v>
                      </c:pt>
                      <c:pt idx="206">
                        <c:v>3079.9004589139054</c:v>
                      </c:pt>
                      <c:pt idx="207">
                        <c:v>3087.5460172221328</c:v>
                      </c:pt>
                      <c:pt idx="208">
                        <c:v>3095.1905495563515</c:v>
                      </c:pt>
                      <c:pt idx="209">
                        <c:v>3102.8340559165636</c:v>
                      </c:pt>
                      <c:pt idx="210">
                        <c:v>3111.7087310864727</c:v>
                      </c:pt>
                      <c:pt idx="211">
                        <c:v>3121.8145750660806</c:v>
                      </c:pt>
                      <c:pt idx="212">
                        <c:v>3133.2798346063973</c:v>
                      </c:pt>
                      <c:pt idx="213">
                        <c:v>3146.1045097074225</c:v>
                      </c:pt>
                      <c:pt idx="214">
                        <c:v>3156.3386004380409</c:v>
                      </c:pt>
                      <c:pt idx="215">
                        <c:v>3163.9821067982521</c:v>
                      </c:pt>
                      <c:pt idx="216">
                        <c:v>3171.6258696519649</c:v>
                      </c:pt>
                      <c:pt idx="217">
                        <c:v>3179.2698889991693</c:v>
                      </c:pt>
                      <c:pt idx="218">
                        <c:v>3186.9141648398868</c:v>
                      </c:pt>
                      <c:pt idx="219">
                        <c:v>3194.5586971741063</c:v>
                      </c:pt>
                      <c:pt idx="220">
                        <c:v>3202.2034860018266</c:v>
                      </c:pt>
                      <c:pt idx="221">
                        <c:v>3209.8485313230503</c:v>
                      </c:pt>
                      <c:pt idx="222">
                        <c:v>3220.0833915341746</c:v>
                      </c:pt>
                      <c:pt idx="223">
                        <c:v>3232.9080666351997</c:v>
                      </c:pt>
                      <c:pt idx="224">
                        <c:v>3245.7327417362253</c:v>
                      </c:pt>
                      <c:pt idx="225">
                        <c:v>3258.5574168372509</c:v>
                      </c:pt>
                      <c:pt idx="226">
                        <c:v>3271.3820919382761</c:v>
                      </c:pt>
                      <c:pt idx="227">
                        <c:v>3284.2067670393017</c:v>
                      </c:pt>
                      <c:pt idx="228">
                        <c:v>3294.4418837439275</c:v>
                      </c:pt>
                      <c:pt idx="229">
                        <c:v>3302.087442052155</c:v>
                      </c:pt>
                      <c:pt idx="230">
                        <c:v>3309.7355652954025</c:v>
                      </c:pt>
                      <c:pt idx="231">
                        <c:v>3317.38625347367</c:v>
                      </c:pt>
                      <c:pt idx="232">
                        <c:v>3325.0395065869575</c:v>
                      </c:pt>
                      <c:pt idx="233">
                        <c:v>3332.6953246352659</c:v>
                      </c:pt>
                      <c:pt idx="234">
                        <c:v>3340.3529381380877</c:v>
                      </c:pt>
                      <c:pt idx="235">
                        <c:v>3348.012347095424</c:v>
                      </c:pt>
                      <c:pt idx="236">
                        <c:v>3355.6689346242383</c:v>
                      </c:pt>
                      <c:pt idx="237">
                        <c:v>3363.32270072453</c:v>
                      </c:pt>
                      <c:pt idx="238">
                        <c:v>3372.2337979717267</c:v>
                      </c:pt>
                      <c:pt idx="239">
                        <c:v>3379.8829471889821</c:v>
                      </c:pt>
                      <c:pt idx="240">
                        <c:v>3384.6562912615836</c:v>
                      </c:pt>
                      <c:pt idx="241">
                        <c:v>3389.0731093663771</c:v>
                      </c:pt>
                      <c:pt idx="242">
                        <c:v>3395.5649599025164</c:v>
                      </c:pt>
                      <c:pt idx="243">
                        <c:v>3408.3896350035416</c:v>
                      </c:pt>
                      <c:pt idx="244">
                        <c:v>3421.9837906106286</c:v>
                      </c:pt>
                      <c:pt idx="245">
                        <c:v>3432.0896345902365</c:v>
                      </c:pt>
                      <c:pt idx="246">
                        <c:v>3443.5548941305528</c:v>
                      </c:pt>
                      <c:pt idx="247">
                        <c:v>3456.379569231578</c:v>
                      </c:pt>
                      <c:pt idx="248">
                        <c:v>3469.2042443326031</c:v>
                      </c:pt>
                      <c:pt idx="249">
                        <c:v>3482.0289194336287</c:v>
                      </c:pt>
                      <c:pt idx="250">
                        <c:v>3492.7311108054341</c:v>
                      </c:pt>
                      <c:pt idx="251">
                        <c:v>3501.3108184480202</c:v>
                      </c:pt>
                      <c:pt idx="252">
                        <c:v>3512.013009819826</c:v>
                      </c:pt>
                      <c:pt idx="253">
                        <c:v>3524.8376849208512</c:v>
                      </c:pt>
                      <c:pt idx="254">
                        <c:v>3537.6623600218768</c:v>
                      </c:pt>
                      <c:pt idx="255">
                        <c:v>3550.4870351229019</c:v>
                      </c:pt>
                      <c:pt idx="256">
                        <c:v>3563.3117102239275</c:v>
                      </c:pt>
                      <c:pt idx="257">
                        <c:v>3576.1363853249527</c:v>
                      </c:pt>
                      <c:pt idx="258">
                        <c:v>3588.9610604259778</c:v>
                      </c:pt>
                      <c:pt idx="259">
                        <c:v>3601.7857355270035</c:v>
                      </c:pt>
                      <c:pt idx="260">
                        <c:v>3614.6104106280286</c:v>
                      </c:pt>
                      <c:pt idx="261">
                        <c:v>3627.4350857290538</c:v>
                      </c:pt>
                      <c:pt idx="262">
                        <c:v>3640.2597608300789</c:v>
                      </c:pt>
                      <c:pt idx="263">
                        <c:v>3653.0844359311045</c:v>
                      </c:pt>
                      <c:pt idx="264">
                        <c:v>3665.9091110321297</c:v>
                      </c:pt>
                      <c:pt idx="265">
                        <c:v>3678.7337861331548</c:v>
                      </c:pt>
                      <c:pt idx="266">
                        <c:v>3688.9683898507778</c:v>
                      </c:pt>
                      <c:pt idx="267">
                        <c:v>3696.6129221849969</c:v>
                      </c:pt>
                      <c:pt idx="268">
                        <c:v>3706.8475259026191</c:v>
                      </c:pt>
                      <c:pt idx="269">
                        <c:v>3719.6722010036442</c:v>
                      </c:pt>
                      <c:pt idx="270">
                        <c:v>3729.9062917342626</c:v>
                      </c:pt>
                      <c:pt idx="271">
                        <c:v>3737.5497980944738</c:v>
                      </c:pt>
                      <c:pt idx="272">
                        <c:v>3747.7838888250917</c:v>
                      </c:pt>
                      <c:pt idx="273">
                        <c:v>3760.6085639261169</c:v>
                      </c:pt>
                      <c:pt idx="274">
                        <c:v>3770.8429111502373</c:v>
                      </c:pt>
                      <c:pt idx="275">
                        <c:v>3778.4869304974518</c:v>
                      </c:pt>
                      <c:pt idx="276">
                        <c:v>3786.1306933511655</c:v>
                      </c:pt>
                      <c:pt idx="277">
                        <c:v>3793.7741997113762</c:v>
                      </c:pt>
                      <c:pt idx="278">
                        <c:v>3801.4177060715879</c:v>
                      </c:pt>
                      <c:pt idx="279">
                        <c:v>3809.0612124317986</c:v>
                      </c:pt>
                      <c:pt idx="280">
                        <c:v>3816.7049752855123</c:v>
                      </c:pt>
                      <c:pt idx="281">
                        <c:v>3824.3489946327268</c:v>
                      </c:pt>
                      <c:pt idx="282">
                        <c:v>3834.5833418568473</c:v>
                      </c:pt>
                      <c:pt idx="283">
                        <c:v>3847.4080169578724</c:v>
                      </c:pt>
                      <c:pt idx="284">
                        <c:v>3857.6423641819924</c:v>
                      </c:pt>
                      <c:pt idx="285">
                        <c:v>3865.2863835292078</c:v>
                      </c:pt>
                      <c:pt idx="286">
                        <c:v>3872.9309158634269</c:v>
                      </c:pt>
                      <c:pt idx="287">
                        <c:v>3880.5759611846506</c:v>
                      </c:pt>
                      <c:pt idx="288">
                        <c:v>3888.221006505873</c:v>
                      </c:pt>
                      <c:pt idx="289">
                        <c:v>3895.8660518270967</c:v>
                      </c:pt>
                      <c:pt idx="290">
                        <c:v>3903.51109714832</c:v>
                      </c:pt>
                      <c:pt idx="291">
                        <c:v>3911.1561424695324</c:v>
                      </c:pt>
                      <c:pt idx="292">
                        <c:v>3920.0315871199482</c:v>
                      </c:pt>
                      <c:pt idx="293">
                        <c:v>3930.1374310995566</c:v>
                      </c:pt>
                      <c:pt idx="294">
                        <c:v>3941.6026906398733</c:v>
                      </c:pt>
                      <c:pt idx="295">
                        <c:v>3954.427365740898</c:v>
                      </c:pt>
                      <c:pt idx="296">
                        <c:v>3964.6617129650294</c:v>
                      </c:pt>
                      <c:pt idx="297">
                        <c:v>3972.3057323122434</c:v>
                      </c:pt>
                      <c:pt idx="298">
                        <c:v>3982.5400795363639</c:v>
                      </c:pt>
                      <c:pt idx="299">
                        <c:v>3995.36475463739</c:v>
                      </c:pt>
                      <c:pt idx="300">
                        <c:v>4008.1894297384147</c:v>
                      </c:pt>
                      <c:pt idx="301">
                        <c:v>4021.0141048394398</c:v>
                      </c:pt>
                      <c:pt idx="302">
                        <c:v>4033.838779940465</c:v>
                      </c:pt>
                      <c:pt idx="303">
                        <c:v>4046.6634550414906</c:v>
                      </c:pt>
                      <c:pt idx="304">
                        <c:v>4059.4881301425157</c:v>
                      </c:pt>
                      <c:pt idx="305">
                        <c:v>4072.3128052435418</c:v>
                      </c:pt>
                      <c:pt idx="306">
                        <c:v>4085.1374803445665</c:v>
                      </c:pt>
                      <c:pt idx="307">
                        <c:v>4097.9621554455916</c:v>
                      </c:pt>
                      <c:pt idx="308">
                        <c:v>4110.7868305466163</c:v>
                      </c:pt>
                      <c:pt idx="309">
                        <c:v>4123.6115056476428</c:v>
                      </c:pt>
                      <c:pt idx="310">
                        <c:v>4136.4361807486684</c:v>
                      </c:pt>
                      <c:pt idx="311">
                        <c:v>4149.2608558496922</c:v>
                      </c:pt>
                      <c:pt idx="312">
                        <c:v>4162.0855309507178</c:v>
                      </c:pt>
                      <c:pt idx="313">
                        <c:v>4174.9102060517434</c:v>
                      </c:pt>
                      <c:pt idx="314">
                        <c:v>4187.73488115277</c:v>
                      </c:pt>
                      <c:pt idx="315">
                        <c:v>4200.5595562537947</c:v>
                      </c:pt>
                      <c:pt idx="316">
                        <c:v>4213.3842313548203</c:v>
                      </c:pt>
                      <c:pt idx="317">
                        <c:v>4226.208906455844</c:v>
                      </c:pt>
                      <c:pt idx="318">
                        <c:v>4236.4429971864629</c:v>
                      </c:pt>
                      <c:pt idx="319">
                        <c:v>4244.0865035466741</c:v>
                      </c:pt>
                      <c:pt idx="320">
                        <c:v>4254.3205942772929</c:v>
                      </c:pt>
                      <c:pt idx="321">
                        <c:v>4267.1452693783176</c:v>
                      </c:pt>
                      <c:pt idx="322">
                        <c:v>4279.9699444793423</c:v>
                      </c:pt>
                      <c:pt idx="323">
                        <c:v>4292.7946195803688</c:v>
                      </c:pt>
                      <c:pt idx="324">
                        <c:v>4305.6192946813935</c:v>
                      </c:pt>
                      <c:pt idx="325">
                        <c:v>4318.4439697824182</c:v>
                      </c:pt>
                      <c:pt idx="326">
                        <c:v>4331.2686448834447</c:v>
                      </c:pt>
                      <c:pt idx="327">
                        <c:v>4344.0933199844694</c:v>
                      </c:pt>
                      <c:pt idx="328">
                        <c:v>4356.917995085495</c:v>
                      </c:pt>
                      <c:pt idx="329">
                        <c:v>4369.7426701865206</c:v>
                      </c:pt>
                      <c:pt idx="330">
                        <c:v>4382.5673452875453</c:v>
                      </c:pt>
                      <c:pt idx="331">
                        <c:v>4395.3920203885709</c:v>
                      </c:pt>
                      <c:pt idx="332">
                        <c:v>4405.6268805996951</c:v>
                      </c:pt>
                      <c:pt idx="333">
                        <c:v>4413.2719259209189</c:v>
                      </c:pt>
                      <c:pt idx="334">
                        <c:v>4420.9169712421426</c:v>
                      </c:pt>
                      <c:pt idx="335">
                        <c:v>4428.5620165633754</c:v>
                      </c:pt>
                      <c:pt idx="336">
                        <c:v>4438.7968767744987</c:v>
                      </c:pt>
                      <c:pt idx="337">
                        <c:v>4451.6215518755253</c:v>
                      </c:pt>
                      <c:pt idx="338">
                        <c:v>4464.4462269765509</c:v>
                      </c:pt>
                      <c:pt idx="339">
                        <c:v>4477.2709020775765</c:v>
                      </c:pt>
                      <c:pt idx="340">
                        <c:v>4489.1816908308911</c:v>
                      </c:pt>
                      <c:pt idx="341">
                        <c:v>4500.1785932365074</c:v>
                      </c:pt>
                      <c:pt idx="342">
                        <c:v>4509.49905411293</c:v>
                      </c:pt>
                      <c:pt idx="343">
                        <c:v>4517.1430734601345</c:v>
                      </c:pt>
                      <c:pt idx="344">
                        <c:v>4524.7870928073598</c:v>
                      </c:pt>
                      <c:pt idx="345">
                        <c:v>4532.4311121545852</c:v>
                      </c:pt>
                      <c:pt idx="346">
                        <c:v>4542.6654593787061</c:v>
                      </c:pt>
                      <c:pt idx="347">
                        <c:v>4555.4901344797308</c:v>
                      </c:pt>
                      <c:pt idx="348">
                        <c:v>4568.3148095807555</c:v>
                      </c:pt>
                      <c:pt idx="349">
                        <c:v>4581.1394846817821</c:v>
                      </c:pt>
                      <c:pt idx="350">
                        <c:v>4593.9641597828067</c:v>
                      </c:pt>
                      <c:pt idx="351">
                        <c:v>4606.7888348838324</c:v>
                      </c:pt>
                      <c:pt idx="352">
                        <c:v>4619.613509984858</c:v>
                      </c:pt>
                      <c:pt idx="353">
                        <c:v>4632.4381850858827</c:v>
                      </c:pt>
                      <c:pt idx="354">
                        <c:v>4642.673558284012</c:v>
                      </c:pt>
                      <c:pt idx="355">
                        <c:v>4650.3196295792322</c:v>
                      </c:pt>
                      <c:pt idx="356">
                        <c:v>4657.9657008744525</c:v>
                      </c:pt>
                      <c:pt idx="357">
                        <c:v>4665.6117721696937</c:v>
                      </c:pt>
                      <c:pt idx="358">
                        <c:v>4674.4879863006063</c:v>
                      </c:pt>
                      <c:pt idx="359">
                        <c:v>4684.5943432672084</c:v>
                      </c:pt>
                      <c:pt idx="360">
                        <c:v>4696.0598593010272</c:v>
                      </c:pt>
                      <c:pt idx="361">
                        <c:v>4708.8845344020519</c:v>
                      </c:pt>
                      <c:pt idx="362">
                        <c:v>4721.7092095030785</c:v>
                      </c:pt>
                      <c:pt idx="363">
                        <c:v>4734.5338846041022</c:v>
                      </c:pt>
                      <c:pt idx="364">
                        <c:v>4747.3585597051278</c:v>
                      </c:pt>
                      <c:pt idx="365">
                        <c:v>4760.1832348061525</c:v>
                      </c:pt>
                      <c:pt idx="366">
                        <c:v>4773.0079099071781</c:v>
                      </c:pt>
                      <c:pt idx="367">
                        <c:v>4785.8325850082038</c:v>
                      </c:pt>
                      <c:pt idx="368">
                        <c:v>4798.6572601092284</c:v>
                      </c:pt>
                      <c:pt idx="369">
                        <c:v>4811.4819352102541</c:v>
                      </c:pt>
                      <c:pt idx="370">
                        <c:v>4824.3066103112797</c:v>
                      </c:pt>
                      <c:pt idx="371">
                        <c:v>4837.1312854123044</c:v>
                      </c:pt>
                      <c:pt idx="372">
                        <c:v>4849.95596051333</c:v>
                      </c:pt>
                      <c:pt idx="373">
                        <c:v>4862.7806356143556</c:v>
                      </c:pt>
                      <c:pt idx="374">
                        <c:v>4875.6053107153803</c:v>
                      </c:pt>
                      <c:pt idx="375">
                        <c:v>4888.4299858164059</c:v>
                      </c:pt>
                      <c:pt idx="376">
                        <c:v>4901.2546609174315</c:v>
                      </c:pt>
                      <c:pt idx="377">
                        <c:v>4914.0793360184562</c:v>
                      </c:pt>
                      <c:pt idx="378">
                        <c:v>4926.9040111194818</c:v>
                      </c:pt>
                      <c:pt idx="379">
                        <c:v>4939.7286862205074</c:v>
                      </c:pt>
                      <c:pt idx="380">
                        <c:v>4952.5533613215321</c:v>
                      </c:pt>
                      <c:pt idx="381">
                        <c:v>4965.3780364225577</c:v>
                      </c:pt>
                      <c:pt idx="382">
                        <c:v>4978.2027115235833</c:v>
                      </c:pt>
                      <c:pt idx="383">
                        <c:v>4991.0273866246098</c:v>
                      </c:pt>
                      <c:pt idx="384">
                        <c:v>5002.4926461649247</c:v>
                      </c:pt>
                      <c:pt idx="385">
                        <c:v>5012.5984901445336</c:v>
                      </c:pt>
                      <c:pt idx="386">
                        <c:v>5024.0637496848503</c:v>
                      </c:pt>
                      <c:pt idx="387">
                        <c:v>5036.888424785875</c:v>
                      </c:pt>
                      <c:pt idx="388">
                        <c:v>5049.7130998869006</c:v>
                      </c:pt>
                      <c:pt idx="389">
                        <c:v>5062.5377749879262</c:v>
                      </c:pt>
                      <c:pt idx="390">
                        <c:v>5075.3624500889509</c:v>
                      </c:pt>
                      <c:pt idx="391">
                        <c:v>5088.1871251899775</c:v>
                      </c:pt>
                      <c:pt idx="392">
                        <c:v>5098.0436574856212</c:v>
                      </c:pt>
                      <c:pt idx="393">
                        <c:v>5104.9320469758823</c:v>
                      </c:pt>
                      <c:pt idx="394">
                        <c:v>5114.7885792715269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135-4566-AFEC-F268283AFD90}"/>
                  </c:ext>
                </c:extLst>
              </c15:ser>
            </c15:filteredScatterSeries>
          </c:ext>
        </c:extLst>
      </c:scatterChart>
      <c:valAx>
        <c:axId val="30844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42703"/>
        <c:crosses val="autoZero"/>
        <c:crossBetween val="midCat"/>
      </c:valAx>
      <c:valAx>
        <c:axId val="30844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44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</xdr:row>
      <xdr:rowOff>69850</xdr:rowOff>
    </xdr:from>
    <xdr:to>
      <xdr:col>0</xdr:col>
      <xdr:colOff>4673599</xdr:colOff>
      <xdr:row>16</xdr:row>
      <xdr:rowOff>115487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53C014-2119-4275-A4E8-AFCED250E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161637</xdr:colOff>
      <xdr:row>53</xdr:row>
      <xdr:rowOff>173183</xdr:rowOff>
    </xdr:from>
    <xdr:to>
      <xdr:col>0</xdr:col>
      <xdr:colOff>4733636</xdr:colOff>
      <xdr:row>69</xdr:row>
      <xdr:rowOff>34092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05F6DC-521B-44E9-84D3-A9C6E9FD9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82177</xdr:colOff>
      <xdr:row>17</xdr:row>
      <xdr:rowOff>37353</xdr:rowOff>
    </xdr:from>
    <xdr:to>
      <xdr:col>0</xdr:col>
      <xdr:colOff>4654176</xdr:colOff>
      <xdr:row>32</xdr:row>
      <xdr:rowOff>82989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4F766C-CFF2-4A37-9BE4-03BC446E6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0</xdr:col>
      <xdr:colOff>4571999</xdr:colOff>
      <xdr:row>49</xdr:row>
      <xdr:rowOff>45637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A8ED26-F771-469A-A8D5-1C5D6228C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273050</xdr:colOff>
      <xdr:row>70</xdr:row>
      <xdr:rowOff>95250</xdr:rowOff>
    </xdr:from>
    <xdr:to>
      <xdr:col>0</xdr:col>
      <xdr:colOff>4845049</xdr:colOff>
      <xdr:row>85</xdr:row>
      <xdr:rowOff>140886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CDBA92-CC53-4B95-B22D-EFAB5E870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244929</xdr:colOff>
      <xdr:row>86</xdr:row>
      <xdr:rowOff>90715</xdr:rowOff>
    </xdr:from>
    <xdr:to>
      <xdr:col>0</xdr:col>
      <xdr:colOff>4816928</xdr:colOff>
      <xdr:row>101</xdr:row>
      <xdr:rowOff>136352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62489F-D001-4009-8F81-449DBA6A8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186765</xdr:colOff>
      <xdr:row>139</xdr:row>
      <xdr:rowOff>141941</xdr:rowOff>
    </xdr:from>
    <xdr:to>
      <xdr:col>0</xdr:col>
      <xdr:colOff>4758764</xdr:colOff>
      <xdr:row>155</xdr:row>
      <xdr:rowOff>2851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AC1333E-1BF3-4C7A-907F-0DD891C53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242957</xdr:colOff>
      <xdr:row>104</xdr:row>
      <xdr:rowOff>138042</xdr:rowOff>
    </xdr:from>
    <xdr:to>
      <xdr:col>0</xdr:col>
      <xdr:colOff>4814956</xdr:colOff>
      <xdr:row>119</xdr:row>
      <xdr:rowOff>181168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F65ECE-B07C-4D89-9280-926CB36FF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254000</xdr:colOff>
      <xdr:row>121</xdr:row>
      <xdr:rowOff>127000</xdr:rowOff>
    </xdr:from>
    <xdr:to>
      <xdr:col>0</xdr:col>
      <xdr:colOff>4825999</xdr:colOff>
      <xdr:row>136</xdr:row>
      <xdr:rowOff>172636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915C0D1-9366-4AE5-8CBA-C6034250D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130175</xdr:colOff>
      <xdr:row>10</xdr:row>
      <xdr:rowOff>76200</xdr:rowOff>
    </xdr:from>
    <xdr:to>
      <xdr:col>18</xdr:col>
      <xdr:colOff>434975</xdr:colOff>
      <xdr:row>25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DDD34B-29F4-C343-B624-2E25C04F1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31</xdr:col>
      <xdr:colOff>0</xdr:colOff>
      <xdr:row>1</xdr:row>
      <xdr:rowOff>0</xdr:rowOff>
    </xdr:from>
    <xdr:to>
      <xdr:col>42</xdr:col>
      <xdr:colOff>559173</xdr:colOff>
      <xdr:row>11</xdr:row>
      <xdr:rowOff>120751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EB2E33-4C83-C0E8-098C-97C3F03AF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0" y="184150"/>
          <a:ext cx="7264773" cy="1962251"/>
        </a:xfrm>
        <a:prstGeom prst="rect">
          <a:avLst/>
        </a:prstGeom>
      </xdr:spPr>
    </xdr:pic>
    <xdr:clientData/>
  </xdr:twoCellAnchor>
  <xdr:twoCellAnchor editAs="oneCell">
    <xdr:from>
      <xdr:col>31</xdr:col>
      <xdr:colOff>133350</xdr:colOff>
      <xdr:row>13</xdr:row>
      <xdr:rowOff>127000</xdr:rowOff>
    </xdr:from>
    <xdr:to>
      <xdr:col>43</xdr:col>
      <xdr:colOff>476644</xdr:colOff>
      <xdr:row>29</xdr:row>
      <xdr:rowOff>25546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B0F242-DCA8-0283-6166-2BD14C9BE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21350" y="2520950"/>
          <a:ext cx="7658494" cy="28449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70A-A77B-44CF-A870-28A32A15B944}">
  <dimension ref="B1:P37"/>
  <sheetViews>
    <sheetView zoomScale="85" zoomScaleNormal="85" workbookViewId="0">
      <selection activeCell="H10" sqref="H10"/>
    </sheetView>
  </sheetViews>
  <sheetFormatPr defaultRowHeight="14.5" x14ac:dyDescent="0.35"/>
  <cols>
    <col min="4" max="4" width="47.453125" customWidth="1"/>
    <col min="8" max="8" width="47.453125" customWidth="1"/>
    <col min="16" max="16" width="47.453125" customWidth="1"/>
  </cols>
  <sheetData>
    <row r="1" spans="2:16" x14ac:dyDescent="0.35">
      <c r="D1" t="s">
        <v>21</v>
      </c>
    </row>
    <row r="5" spans="2:16" x14ac:dyDescent="0.35">
      <c r="B5" s="2" t="s">
        <v>4</v>
      </c>
      <c r="C5" s="2"/>
      <c r="D5" s="2" t="s">
        <v>0</v>
      </c>
      <c r="F5" s="2" t="s">
        <v>5</v>
      </c>
      <c r="G5" s="2"/>
      <c r="H5" s="2" t="s">
        <v>1</v>
      </c>
      <c r="N5" s="2" t="s">
        <v>3</v>
      </c>
      <c r="O5" s="2"/>
      <c r="P5" s="2" t="s">
        <v>2</v>
      </c>
    </row>
    <row r="6" spans="2:16" x14ac:dyDescent="0.35">
      <c r="B6" s="2"/>
      <c r="C6" s="2"/>
      <c r="D6" s="2">
        <v>238.39141809686799</v>
      </c>
      <c r="F6" s="2"/>
      <c r="G6" s="2"/>
      <c r="H6" s="2">
        <v>238.38709809690201</v>
      </c>
      <c r="N6" s="2"/>
      <c r="O6" s="2"/>
      <c r="P6" s="2">
        <v>226.86853818905101</v>
      </c>
    </row>
    <row r="7" spans="2:16" x14ac:dyDescent="0.35">
      <c r="B7" s="2"/>
      <c r="C7" s="2"/>
      <c r="D7" s="2">
        <v>205.563054359495</v>
      </c>
      <c r="F7" s="2"/>
      <c r="G7" s="2"/>
      <c r="H7" s="2">
        <v>205.81019435751799</v>
      </c>
      <c r="N7" s="2"/>
      <c r="O7" s="2"/>
      <c r="P7" s="2">
        <v>218.512578255899</v>
      </c>
    </row>
    <row r="10" spans="2:16" x14ac:dyDescent="0.35">
      <c r="B10" s="1">
        <v>16793.393</v>
      </c>
      <c r="C10" s="1"/>
      <c r="D10" s="1" t="s">
        <v>6</v>
      </c>
      <c r="F10" s="1">
        <v>16534.993999999999</v>
      </c>
      <c r="G10" s="1"/>
      <c r="H10" s="1" t="s">
        <v>7</v>
      </c>
      <c r="N10" s="1">
        <v>9183.9800000000105</v>
      </c>
      <c r="O10" s="1"/>
      <c r="P10" s="1" t="s">
        <v>8</v>
      </c>
    </row>
    <row r="11" spans="2:16" x14ac:dyDescent="0.35">
      <c r="B11" s="1"/>
      <c r="C11" s="1"/>
      <c r="D11" s="1">
        <v>216.96043826831601</v>
      </c>
      <c r="F11" s="1"/>
      <c r="G11" s="1"/>
      <c r="H11" s="1">
        <v>216.957558268339</v>
      </c>
      <c r="N11" s="1"/>
      <c r="O11" s="1"/>
      <c r="P11" s="1">
        <v>201.21952839424301</v>
      </c>
    </row>
    <row r="12" spans="2:16" x14ac:dyDescent="0.35">
      <c r="B12" s="1"/>
      <c r="C12" s="1"/>
      <c r="D12" s="1">
        <v>187.43601050451099</v>
      </c>
      <c r="F12" s="1"/>
      <c r="G12" s="1"/>
      <c r="H12" s="1">
        <v>187.650984502791</v>
      </c>
      <c r="N12" s="1"/>
      <c r="O12" s="1"/>
      <c r="P12" s="1">
        <v>195.04405244364699</v>
      </c>
    </row>
    <row r="15" spans="2:16" x14ac:dyDescent="0.35">
      <c r="B15" s="1">
        <v>16793.393</v>
      </c>
      <c r="C15" s="1"/>
      <c r="D15" s="1" t="s">
        <v>9</v>
      </c>
      <c r="F15" s="1">
        <v>16534.993999999999</v>
      </c>
      <c r="G15" s="1"/>
      <c r="H15" s="1" t="s">
        <v>10</v>
      </c>
      <c r="N15" s="1">
        <v>9183.9800000000105</v>
      </c>
      <c r="O15" s="1"/>
      <c r="P15" s="1" t="s">
        <v>11</v>
      </c>
    </row>
    <row r="16" spans="2:16" x14ac:dyDescent="0.35">
      <c r="B16" s="1"/>
      <c r="C16" s="1"/>
      <c r="D16" s="1">
        <v>212.88721830090199</v>
      </c>
      <c r="F16" s="1"/>
      <c r="G16" s="1"/>
      <c r="H16" s="1">
        <v>212.884698300922</v>
      </c>
      <c r="N16" s="1"/>
      <c r="O16" s="1"/>
      <c r="P16" s="1">
        <v>196.58643643130799</v>
      </c>
    </row>
    <row r="17" spans="2:16" x14ac:dyDescent="0.35">
      <c r="B17" s="1"/>
      <c r="C17" s="1"/>
      <c r="D17" s="1">
        <v>184.12125653102899</v>
      </c>
      <c r="F17" s="1"/>
      <c r="G17" s="1"/>
      <c r="H17" s="1">
        <v>184.321020529431</v>
      </c>
      <c r="N17" s="1"/>
      <c r="O17" s="1"/>
      <c r="P17" s="1">
        <v>190.61853647905099</v>
      </c>
    </row>
    <row r="20" spans="2:16" x14ac:dyDescent="0.35">
      <c r="B20" s="4">
        <v>16793.393</v>
      </c>
      <c r="C20" s="4"/>
      <c r="D20" s="4" t="s">
        <v>12</v>
      </c>
      <c r="F20" s="4">
        <v>16534.993999999999</v>
      </c>
      <c r="G20" s="4"/>
      <c r="H20" s="4" t="s">
        <v>13</v>
      </c>
      <c r="N20" s="4">
        <v>9183.9800000000105</v>
      </c>
      <c r="O20" s="4"/>
      <c r="P20" s="4" t="s">
        <v>14</v>
      </c>
    </row>
    <row r="21" spans="2:16" x14ac:dyDescent="0.35">
      <c r="B21" s="4"/>
      <c r="C21" s="4"/>
      <c r="D21" s="4">
        <v>191.36607647307099</v>
      </c>
      <c r="F21" s="4"/>
      <c r="G21" s="4"/>
      <c r="H21" s="4">
        <v>191.36181047310501</v>
      </c>
      <c r="N21" s="4"/>
      <c r="O21" s="4"/>
      <c r="P21" s="4">
        <v>163.53735669570099</v>
      </c>
    </row>
    <row r="22" spans="2:16" x14ac:dyDescent="0.35">
      <c r="B22" s="4"/>
      <c r="C22" s="4"/>
      <c r="D22" s="4">
        <v>159.80043072559599</v>
      </c>
      <c r="F22" s="4"/>
      <c r="G22" s="4"/>
      <c r="H22" s="4">
        <v>160.074210723406</v>
      </c>
      <c r="N22" s="4"/>
      <c r="O22" s="4"/>
      <c r="P22" s="4">
        <v>155.155944762752</v>
      </c>
    </row>
    <row r="25" spans="2:16" x14ac:dyDescent="0.35">
      <c r="B25" s="1">
        <v>16534.993999999999</v>
      </c>
      <c r="C25" s="1"/>
      <c r="D25" s="1" t="s">
        <v>15</v>
      </c>
      <c r="F25" s="1">
        <v>16534.993999999999</v>
      </c>
      <c r="G25" s="1"/>
      <c r="H25" s="1" t="s">
        <v>15</v>
      </c>
      <c r="N25" s="1">
        <v>9108.5223434884301</v>
      </c>
      <c r="O25" s="1"/>
      <c r="P25" s="1" t="s">
        <v>16</v>
      </c>
    </row>
    <row r="26" spans="2:16" x14ac:dyDescent="0.35">
      <c r="B26" s="1"/>
      <c r="C26" s="1"/>
      <c r="D26" s="1">
        <v>204.97598436419099</v>
      </c>
      <c r="F26" s="1"/>
      <c r="G26" s="1"/>
      <c r="H26" s="1">
        <v>204.97598436419099</v>
      </c>
      <c r="N26" s="1"/>
      <c r="O26" s="1"/>
      <c r="P26" s="1">
        <v>215.78485827771999</v>
      </c>
    </row>
    <row r="27" spans="2:16" x14ac:dyDescent="0.35">
      <c r="B27" s="1"/>
      <c r="C27" s="1"/>
      <c r="D27" s="1">
        <v>171.97467662820199</v>
      </c>
      <c r="F27" s="1"/>
      <c r="G27" s="1"/>
      <c r="H27" s="1">
        <v>171.97467662820199</v>
      </c>
      <c r="N27" s="1"/>
      <c r="O27" s="1"/>
      <c r="P27" s="1">
        <v>199.04959241160299</v>
      </c>
    </row>
    <row r="30" spans="2:16" x14ac:dyDescent="0.35">
      <c r="B30" s="2">
        <v>16534.993999999999</v>
      </c>
      <c r="C30" s="2"/>
      <c r="D30" s="2" t="s">
        <v>17</v>
      </c>
      <c r="F30" s="2">
        <v>16534.993999999999</v>
      </c>
      <c r="G30" s="2"/>
      <c r="H30" s="2" t="s">
        <v>17</v>
      </c>
      <c r="N30" s="2">
        <v>9108.5223434884301</v>
      </c>
      <c r="O30" s="2"/>
      <c r="P30" s="2" t="s">
        <v>18</v>
      </c>
    </row>
    <row r="31" spans="2:16" x14ac:dyDescent="0.35">
      <c r="B31" s="2"/>
      <c r="C31" s="2"/>
      <c r="D31" s="2">
        <v>187.186350506509</v>
      </c>
      <c r="F31" s="2"/>
      <c r="G31" s="2"/>
      <c r="H31" s="2">
        <v>187.186350506509</v>
      </c>
      <c r="N31" s="2"/>
      <c r="O31" s="2"/>
      <c r="P31" s="2">
        <v>133.339314937285</v>
      </c>
    </row>
    <row r="32" spans="2:16" x14ac:dyDescent="0.35">
      <c r="B32" s="2"/>
      <c r="C32" s="2"/>
      <c r="D32" s="2">
        <v>158.98207873214301</v>
      </c>
      <c r="F32" s="2"/>
      <c r="G32" s="2"/>
      <c r="H32" s="2">
        <v>158.98207873214301</v>
      </c>
      <c r="N32" s="2"/>
      <c r="O32" s="2"/>
      <c r="P32" s="2">
        <v>125.2374070021</v>
      </c>
    </row>
    <row r="35" spans="2:16" x14ac:dyDescent="0.35">
      <c r="B35" s="3">
        <v>16534.993999999999</v>
      </c>
      <c r="C35" s="3"/>
      <c r="D35" s="3" t="s">
        <v>19</v>
      </c>
      <c r="F35" s="3">
        <v>16534.993999999999</v>
      </c>
      <c r="G35" s="3"/>
      <c r="H35" s="3" t="s">
        <v>19</v>
      </c>
      <c r="N35" s="3">
        <v>9108.5223434884301</v>
      </c>
      <c r="O35" s="3"/>
      <c r="P35" s="3" t="s">
        <v>20</v>
      </c>
    </row>
    <row r="36" spans="2:16" x14ac:dyDescent="0.35">
      <c r="B36" s="3"/>
      <c r="C36" s="3"/>
      <c r="D36" s="3">
        <v>185.75117451798999</v>
      </c>
      <c r="F36" s="3"/>
      <c r="G36" s="3"/>
      <c r="H36" s="3">
        <v>185.75117451798999</v>
      </c>
      <c r="N36" s="3"/>
      <c r="O36" s="3"/>
      <c r="P36" s="3">
        <v>123.269395017844</v>
      </c>
    </row>
    <row r="37" spans="2:16" x14ac:dyDescent="0.35">
      <c r="B37" s="3"/>
      <c r="C37" s="3"/>
      <c r="D37" s="3">
        <v>155.666550758667</v>
      </c>
      <c r="F37" s="3"/>
      <c r="G37" s="3"/>
      <c r="H37" s="3">
        <v>155.666550758667</v>
      </c>
      <c r="N37" s="3"/>
      <c r="O37" s="3"/>
      <c r="P37" s="3">
        <v>114.690271086477</v>
      </c>
    </row>
  </sheetData>
  <pageMargins left="0.7" right="0.7" top="0.75" bottom="0.75" header="0.3" footer="0.3"/>
  <pageSetup orientation="portrait" horizontalDpi="200" verticalDpi="200" r:id="rId1"/>
  <headerFooter>
    <oddHeader>&amp;L&amp;"Calibri"&amp;10&amp;K0000FFTechnipFMC | Internal&amp;1#_x000D_&amp;"Calibri"&amp;11&amp;K000000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111D-CDAC-4C51-A823-DD4A771788FB}">
  <dimension ref="D5:X19"/>
  <sheetViews>
    <sheetView workbookViewId="0">
      <selection activeCell="N25" sqref="N25"/>
    </sheetView>
  </sheetViews>
  <sheetFormatPr defaultRowHeight="14.5" x14ac:dyDescent="0.35"/>
  <sheetData>
    <row r="5" spans="4:24" ht="14.5" customHeight="1" x14ac:dyDescent="0.35">
      <c r="D5" s="37" t="s">
        <v>29</v>
      </c>
      <c r="E5" s="37"/>
      <c r="F5" s="37"/>
      <c r="G5" s="37"/>
      <c r="H5" s="37"/>
      <c r="L5" s="37" t="s">
        <v>30</v>
      </c>
      <c r="M5" s="37"/>
      <c r="N5" s="37"/>
      <c r="O5" s="37"/>
      <c r="P5" s="37"/>
      <c r="T5" s="37" t="s">
        <v>31</v>
      </c>
      <c r="U5" s="37"/>
      <c r="V5" s="37"/>
      <c r="W5" s="37"/>
      <c r="X5" s="37"/>
    </row>
    <row r="6" spans="4:24" x14ac:dyDescent="0.35">
      <c r="F6">
        <v>16793.393</v>
      </c>
      <c r="H6">
        <v>169.073886651408</v>
      </c>
      <c r="N6">
        <v>16534.993999999999</v>
      </c>
      <c r="P6">
        <v>168.714066654287</v>
      </c>
      <c r="V6">
        <v>9183.9800000000105</v>
      </c>
      <c r="X6">
        <v>180.95595655635199</v>
      </c>
    </row>
    <row r="7" spans="4:24" x14ac:dyDescent="0.35">
      <c r="H7">
        <v>101.275177193798</v>
      </c>
      <c r="P7">
        <v>89.851927285184303</v>
      </c>
      <c r="X7">
        <v>163.87561269299499</v>
      </c>
    </row>
    <row r="11" spans="4:24" x14ac:dyDescent="0.35">
      <c r="D11" s="37" t="s">
        <v>32</v>
      </c>
      <c r="E11" s="37"/>
      <c r="F11" s="37"/>
      <c r="G11" s="37"/>
      <c r="H11" s="37"/>
      <c r="L11" s="37" t="s">
        <v>33</v>
      </c>
      <c r="M11" s="37"/>
      <c r="N11" s="37"/>
      <c r="O11" s="37"/>
      <c r="P11" s="37"/>
      <c r="T11" s="37" t="s">
        <v>35</v>
      </c>
      <c r="U11" s="37"/>
      <c r="V11" s="37"/>
      <c r="W11" s="37"/>
      <c r="X11" s="37"/>
    </row>
    <row r="12" spans="4:24" x14ac:dyDescent="0.35">
      <c r="F12">
        <v>16793.393</v>
      </c>
      <c r="H12">
        <v>138.52110089583101</v>
      </c>
      <c r="N12">
        <v>16534.993999999999</v>
      </c>
      <c r="P12">
        <v>138.275688897794</v>
      </c>
      <c r="V12">
        <v>9183.9800000000105</v>
      </c>
      <c r="X12">
        <v>133.30452093756301</v>
      </c>
    </row>
    <row r="13" spans="4:24" x14ac:dyDescent="0.35">
      <c r="H13">
        <v>89.731939286144197</v>
      </c>
      <c r="P13">
        <v>93.500275255997494</v>
      </c>
      <c r="X13">
        <v>122.49408102404701</v>
      </c>
    </row>
    <row r="17" spans="12:24" x14ac:dyDescent="0.35">
      <c r="L17" s="37" t="s">
        <v>36</v>
      </c>
      <c r="M17" s="37"/>
      <c r="N17" s="37"/>
      <c r="O17" s="37"/>
      <c r="P17" s="37"/>
      <c r="T17" s="37" t="s">
        <v>34</v>
      </c>
      <c r="U17" s="37"/>
      <c r="V17" s="37"/>
      <c r="W17" s="37"/>
      <c r="X17" s="37"/>
    </row>
    <row r="18" spans="12:24" x14ac:dyDescent="0.35">
      <c r="N18">
        <v>16534.993999999999</v>
      </c>
      <c r="P18">
        <v>138.10542689915599</v>
      </c>
      <c r="V18">
        <v>9108.5223434884301</v>
      </c>
      <c r="X18">
        <v>101.93145718854799</v>
      </c>
    </row>
    <row r="19" spans="12:24" x14ac:dyDescent="0.35">
      <c r="P19">
        <v>92.734951262120106</v>
      </c>
      <c r="X19">
        <v>95.091907243264401</v>
      </c>
    </row>
  </sheetData>
  <mergeCells count="8">
    <mergeCell ref="L17:P17"/>
    <mergeCell ref="D5:H5"/>
    <mergeCell ref="L5:P5"/>
    <mergeCell ref="T5:X5"/>
    <mergeCell ref="D11:H11"/>
    <mergeCell ref="L11:P11"/>
    <mergeCell ref="T17:X17"/>
    <mergeCell ref="T11:X11"/>
  </mergeCells>
  <pageMargins left="0.7" right="0.7" top="0.75" bottom="0.75" header="0.3" footer="0.3"/>
  <pageSetup orientation="portrait" horizontalDpi="200" verticalDpi="200" r:id="rId1"/>
  <headerFooter>
    <oddHeader>&amp;L&amp;"Calibri"&amp;10&amp;K0000FFTechnipFMC | 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6D62-F94A-4D30-8D91-715259268238}">
  <dimension ref="A1:BZ458"/>
  <sheetViews>
    <sheetView zoomScale="70" zoomScaleNormal="70" workbookViewId="0">
      <selection activeCell="I465" sqref="I465"/>
    </sheetView>
  </sheetViews>
  <sheetFormatPr defaultRowHeight="14.5" x14ac:dyDescent="0.35"/>
  <cols>
    <col min="1" max="1" width="71.7265625" customWidth="1"/>
    <col min="2" max="3" width="27.90625" customWidth="1"/>
    <col min="5" max="5" width="16.6328125" customWidth="1"/>
    <col min="6" max="6" width="15.36328125" customWidth="1"/>
    <col min="8" max="8" width="0" hidden="1" customWidth="1"/>
    <col min="14" max="14" width="0" hidden="1" customWidth="1"/>
    <col min="19" max="20" width="8.7265625" style="6"/>
    <col min="35" max="36" width="8.7265625" style="6"/>
    <col min="57" max="58" width="8.7265625" style="6"/>
  </cols>
  <sheetData>
    <row r="1" spans="2:78" x14ac:dyDescent="0.35">
      <c r="B1" s="7"/>
      <c r="C1" s="38" t="s">
        <v>42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U1" s="38" t="s">
        <v>46</v>
      </c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K1" s="38" t="s">
        <v>50</v>
      </c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G1" s="38" t="s">
        <v>163</v>
      </c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</row>
    <row r="2" spans="2:78" x14ac:dyDescent="0.35">
      <c r="B2" s="5"/>
      <c r="C2" s="37" t="s">
        <v>38</v>
      </c>
      <c r="D2" s="37"/>
      <c r="E2" s="37"/>
      <c r="F2" s="37"/>
      <c r="I2" s="37" t="s">
        <v>40</v>
      </c>
      <c r="J2" s="37"/>
      <c r="K2" s="37"/>
      <c r="L2" s="37"/>
      <c r="O2" s="37" t="s">
        <v>41</v>
      </c>
      <c r="P2" s="37"/>
      <c r="Q2" s="37"/>
      <c r="R2" s="37"/>
      <c r="U2" s="37" t="s">
        <v>43</v>
      </c>
      <c r="V2" s="37"/>
      <c r="W2" s="37"/>
      <c r="X2" s="37"/>
      <c r="Z2" s="37" t="s">
        <v>44</v>
      </c>
      <c r="AA2" s="37"/>
      <c r="AB2" s="37"/>
      <c r="AC2" s="37"/>
      <c r="AE2" s="37" t="s">
        <v>45</v>
      </c>
      <c r="AF2" s="37"/>
      <c r="AG2" s="37"/>
      <c r="AH2" s="37"/>
      <c r="AK2" s="37" t="s">
        <v>47</v>
      </c>
      <c r="AL2" s="37"/>
      <c r="AM2" s="37"/>
      <c r="AN2" s="37"/>
      <c r="AO2" s="37"/>
      <c r="AP2" s="37"/>
      <c r="AR2" s="37" t="s">
        <v>48</v>
      </c>
      <c r="AS2" s="37"/>
      <c r="AT2" s="37"/>
      <c r="AU2" s="37"/>
      <c r="AV2" s="37"/>
      <c r="AW2" s="37"/>
      <c r="AY2" s="37" t="s">
        <v>49</v>
      </c>
      <c r="AZ2" s="37"/>
      <c r="BA2" s="37"/>
      <c r="BB2" s="37"/>
      <c r="BC2" s="37"/>
      <c r="BD2" s="37"/>
      <c r="BG2" s="24" t="s">
        <v>156</v>
      </c>
      <c r="BH2" s="25" t="s">
        <v>157</v>
      </c>
      <c r="BJ2" s="24" t="s">
        <v>156</v>
      </c>
      <c r="BK2" s="25" t="s">
        <v>165</v>
      </c>
      <c r="BM2" s="24" t="s">
        <v>156</v>
      </c>
      <c r="BN2" s="25" t="s">
        <v>157</v>
      </c>
      <c r="BQ2" s="24" t="s">
        <v>156</v>
      </c>
      <c r="BR2" s="25" t="s">
        <v>165</v>
      </c>
    </row>
    <row r="3" spans="2:78" x14ac:dyDescent="0.35">
      <c r="B3" s="5"/>
      <c r="C3" s="37"/>
      <c r="D3" s="37"/>
      <c r="E3" s="37"/>
      <c r="F3" s="37"/>
      <c r="I3" s="37"/>
      <c r="J3" s="37"/>
      <c r="K3" s="37"/>
      <c r="L3" s="37"/>
      <c r="O3" s="37"/>
      <c r="P3" s="37"/>
      <c r="Q3" s="37"/>
      <c r="R3" s="37"/>
      <c r="U3" s="37"/>
      <c r="V3" s="37"/>
      <c r="W3" s="37"/>
      <c r="X3" s="37"/>
      <c r="Z3" s="37"/>
      <c r="AA3" s="37"/>
      <c r="AB3" s="37"/>
      <c r="AC3" s="37"/>
      <c r="AE3" s="37"/>
      <c r="AF3" s="37"/>
      <c r="AG3" s="37"/>
      <c r="AH3" s="37"/>
      <c r="AK3" s="37"/>
      <c r="AL3" s="37"/>
      <c r="AM3" s="37"/>
      <c r="AN3" s="37"/>
      <c r="AO3" s="37"/>
      <c r="AP3" s="37"/>
      <c r="AR3" s="37"/>
      <c r="AS3" s="37"/>
      <c r="AT3" s="37"/>
      <c r="AU3" s="37"/>
      <c r="AV3" s="37"/>
      <c r="AW3" s="37"/>
      <c r="AY3" s="37"/>
      <c r="AZ3" s="37"/>
      <c r="BA3" s="37"/>
      <c r="BB3" s="37"/>
      <c r="BC3" s="37"/>
      <c r="BD3" s="37"/>
      <c r="BG3" s="26" t="s">
        <v>158</v>
      </c>
      <c r="BH3" s="27" t="s">
        <v>164</v>
      </c>
      <c r="BJ3" s="26" t="s">
        <v>158</v>
      </c>
      <c r="BK3" s="27" t="s">
        <v>164</v>
      </c>
      <c r="BM3" s="26" t="s">
        <v>158</v>
      </c>
      <c r="BN3" s="27" t="s">
        <v>164</v>
      </c>
      <c r="BQ3" s="26" t="s">
        <v>158</v>
      </c>
      <c r="BR3" s="27" t="s">
        <v>164</v>
      </c>
    </row>
    <row r="4" spans="2:78" x14ac:dyDescent="0.35">
      <c r="D4" t="s">
        <v>22</v>
      </c>
      <c r="E4" t="s">
        <v>23</v>
      </c>
      <c r="F4" t="s">
        <v>24</v>
      </c>
      <c r="G4" t="s">
        <v>37</v>
      </c>
      <c r="J4" t="s">
        <v>22</v>
      </c>
      <c r="K4" t="s">
        <v>23</v>
      </c>
      <c r="L4" t="s">
        <v>24</v>
      </c>
      <c r="M4" t="s">
        <v>37</v>
      </c>
      <c r="P4" t="s">
        <v>22</v>
      </c>
      <c r="Q4" t="s">
        <v>23</v>
      </c>
      <c r="R4" t="s">
        <v>24</v>
      </c>
      <c r="S4" s="6" t="s">
        <v>37</v>
      </c>
      <c r="V4" t="s">
        <v>22</v>
      </c>
      <c r="W4" t="s">
        <v>23</v>
      </c>
      <c r="X4" t="s">
        <v>24</v>
      </c>
      <c r="Y4" t="s">
        <v>37</v>
      </c>
      <c r="AA4" t="s">
        <v>22</v>
      </c>
      <c r="AB4" t="s">
        <v>23</v>
      </c>
      <c r="AC4" t="s">
        <v>24</v>
      </c>
      <c r="AD4" t="s">
        <v>37</v>
      </c>
      <c r="AF4" t="s">
        <v>22</v>
      </c>
      <c r="AG4" t="s">
        <v>23</v>
      </c>
      <c r="AH4" t="s">
        <v>24</v>
      </c>
      <c r="AI4" s="6" t="s">
        <v>37</v>
      </c>
      <c r="AL4" t="s">
        <v>22</v>
      </c>
      <c r="AN4" t="s">
        <v>23</v>
      </c>
      <c r="AP4" t="s">
        <v>24</v>
      </c>
      <c r="AQ4" t="s">
        <v>37</v>
      </c>
      <c r="AS4" t="s">
        <v>22</v>
      </c>
      <c r="AU4" t="s">
        <v>23</v>
      </c>
      <c r="AW4" t="s">
        <v>24</v>
      </c>
      <c r="AX4" t="s">
        <v>37</v>
      </c>
      <c r="AZ4" t="s">
        <v>22</v>
      </c>
      <c r="BB4" t="s">
        <v>23</v>
      </c>
      <c r="BD4" t="s">
        <v>24</v>
      </c>
      <c r="BE4" s="6" t="s">
        <v>37</v>
      </c>
      <c r="BG4" s="26" t="s">
        <v>159</v>
      </c>
      <c r="BH4" s="27" t="s">
        <v>160</v>
      </c>
      <c r="BJ4" s="26" t="s">
        <v>159</v>
      </c>
      <c r="BK4" s="27" t="s">
        <v>160</v>
      </c>
      <c r="BM4" s="26" t="s">
        <v>159</v>
      </c>
      <c r="BN4" s="27" t="s">
        <v>169</v>
      </c>
      <c r="BQ4" s="26" t="s">
        <v>159</v>
      </c>
      <c r="BR4" s="27" t="s">
        <v>169</v>
      </c>
    </row>
    <row r="5" spans="2:78" x14ac:dyDescent="0.35">
      <c r="B5" t="s">
        <v>39</v>
      </c>
      <c r="C5" t="s">
        <v>39</v>
      </c>
      <c r="D5" t="s">
        <v>26</v>
      </c>
      <c r="E5" t="s">
        <v>27</v>
      </c>
      <c r="F5" t="s">
        <v>28</v>
      </c>
      <c r="G5" t="s">
        <v>37</v>
      </c>
      <c r="H5" t="s">
        <v>39</v>
      </c>
      <c r="I5" t="s">
        <v>39</v>
      </c>
      <c r="J5" t="s">
        <v>26</v>
      </c>
      <c r="K5" t="s">
        <v>27</v>
      </c>
      <c r="L5" t="s">
        <v>28</v>
      </c>
      <c r="M5" t="s">
        <v>37</v>
      </c>
      <c r="N5" t="s">
        <v>39</v>
      </c>
      <c r="O5" t="s">
        <v>39</v>
      </c>
      <c r="P5" t="s">
        <v>26</v>
      </c>
      <c r="Q5" t="s">
        <v>27</v>
      </c>
      <c r="R5" t="s">
        <v>28</v>
      </c>
      <c r="S5" s="6" t="s">
        <v>37</v>
      </c>
      <c r="U5" t="s">
        <v>25</v>
      </c>
      <c r="V5" t="s">
        <v>26</v>
      </c>
      <c r="W5" t="s">
        <v>27</v>
      </c>
      <c r="X5" t="s">
        <v>28</v>
      </c>
      <c r="Y5" t="s">
        <v>37</v>
      </c>
      <c r="Z5" t="s">
        <v>25</v>
      </c>
      <c r="AA5" t="s">
        <v>26</v>
      </c>
      <c r="AB5" t="s">
        <v>27</v>
      </c>
      <c r="AC5" t="s">
        <v>28</v>
      </c>
      <c r="AD5" t="s">
        <v>37</v>
      </c>
      <c r="AE5" t="s">
        <v>25</v>
      </c>
      <c r="AF5" t="s">
        <v>26</v>
      </c>
      <c r="AG5" t="s">
        <v>27</v>
      </c>
      <c r="AH5" t="s">
        <v>28</v>
      </c>
      <c r="AI5" s="6" t="s">
        <v>37</v>
      </c>
      <c r="AK5" t="s">
        <v>25</v>
      </c>
      <c r="AL5" t="s">
        <v>26</v>
      </c>
      <c r="AM5" t="s">
        <v>25</v>
      </c>
      <c r="AN5" t="s">
        <v>27</v>
      </c>
      <c r="AO5" t="s">
        <v>25</v>
      </c>
      <c r="AP5" t="s">
        <v>28</v>
      </c>
      <c r="AQ5" t="s">
        <v>37</v>
      </c>
      <c r="AR5" t="s">
        <v>25</v>
      </c>
      <c r="AS5" t="s">
        <v>26</v>
      </c>
      <c r="AT5" t="s">
        <v>25</v>
      </c>
      <c r="AU5" t="s">
        <v>27</v>
      </c>
      <c r="AV5" t="s">
        <v>25</v>
      </c>
      <c r="AW5" t="s">
        <v>28</v>
      </c>
      <c r="AX5" t="s">
        <v>37</v>
      </c>
      <c r="AY5" t="s">
        <v>25</v>
      </c>
      <c r="AZ5" t="s">
        <v>26</v>
      </c>
      <c r="BA5" t="s">
        <v>25</v>
      </c>
      <c r="BB5" t="s">
        <v>27</v>
      </c>
      <c r="BC5" t="s">
        <v>25</v>
      </c>
      <c r="BD5" t="s">
        <v>28</v>
      </c>
      <c r="BE5" s="6" t="s">
        <v>37</v>
      </c>
      <c r="BG5" s="28" t="s">
        <v>161</v>
      </c>
      <c r="BH5" s="29" t="s">
        <v>162</v>
      </c>
      <c r="BJ5" s="28" t="s">
        <v>161</v>
      </c>
      <c r="BK5" s="29" t="s">
        <v>166</v>
      </c>
      <c r="BM5" s="28" t="s">
        <v>161</v>
      </c>
      <c r="BN5" s="29" t="s">
        <v>162</v>
      </c>
      <c r="BQ5" s="28" t="s">
        <v>161</v>
      </c>
      <c r="BR5" s="29" t="s">
        <v>166</v>
      </c>
    </row>
    <row r="6" spans="2:78" x14ac:dyDescent="0.35">
      <c r="C6">
        <v>48.543058277668898</v>
      </c>
      <c r="D6">
        <v>189.915600484675</v>
      </c>
      <c r="E6">
        <v>2326.2774786135401</v>
      </c>
      <c r="F6">
        <v>48.110557311216098</v>
      </c>
      <c r="H6">
        <v>9.1937610374372893E-3</v>
      </c>
      <c r="I6">
        <f>H6*5280</f>
        <v>48.543058277668891</v>
      </c>
      <c r="J6">
        <v>129.81988296544</v>
      </c>
      <c r="K6">
        <v>2157.7073825285502</v>
      </c>
      <c r="L6">
        <v>51.133394076613001</v>
      </c>
      <c r="N6">
        <v>9.1937610374372893E-3</v>
      </c>
      <c r="O6">
        <f>N6*5280</f>
        <v>48.543058277668891</v>
      </c>
      <c r="P6">
        <v>102.58734118330101</v>
      </c>
      <c r="Q6">
        <v>2285.29997011976</v>
      </c>
      <c r="R6">
        <v>51.267077311423797</v>
      </c>
      <c r="U6">
        <v>48.543058277668941</v>
      </c>
      <c r="V6">
        <v>160.35645072114781</v>
      </c>
      <c r="W6">
        <v>2146.0187922566779</v>
      </c>
      <c r="X6">
        <v>48.607427692360488</v>
      </c>
      <c r="Z6">
        <v>48.543058277668898</v>
      </c>
      <c r="AA6">
        <v>112.471483104228</v>
      </c>
      <c r="AB6">
        <v>2071.7000114996099</v>
      </c>
      <c r="AC6">
        <v>49.964886238647999</v>
      </c>
      <c r="AE6">
        <v>48.543058277668898</v>
      </c>
      <c r="AF6">
        <v>87.4828573041368</v>
      </c>
      <c r="AG6">
        <v>2197.8030616532601</v>
      </c>
      <c r="AH6">
        <v>50.533898371052103</v>
      </c>
      <c r="AK6">
        <v>48.543058277668941</v>
      </c>
      <c r="AL6">
        <v>135.99930091600513</v>
      </c>
      <c r="AM6">
        <v>48.543058277668941</v>
      </c>
      <c r="AN6">
        <v>1881.6106681303643</v>
      </c>
      <c r="AO6">
        <v>48.543058277668941</v>
      </c>
      <c r="AP6">
        <v>49.039273109752727</v>
      </c>
      <c r="AR6">
        <v>48.543058277668898</v>
      </c>
      <c r="AS6">
        <v>97.773421221812299</v>
      </c>
      <c r="AT6">
        <v>48.543058277668898</v>
      </c>
      <c r="AU6">
        <v>2072.7529853843798</v>
      </c>
      <c r="AV6">
        <v>48.543058277668898</v>
      </c>
      <c r="AW6">
        <v>50.269422316005802</v>
      </c>
      <c r="AY6">
        <v>48.543058277668898</v>
      </c>
      <c r="AZ6">
        <v>77.776069381791203</v>
      </c>
      <c r="BA6">
        <v>48.543058277668898</v>
      </c>
      <c r="BB6">
        <v>2140.5247632270398</v>
      </c>
      <c r="BC6">
        <v>48.543058277668898</v>
      </c>
      <c r="BD6">
        <v>50.703277913729103</v>
      </c>
    </row>
    <row r="7" spans="2:78" x14ac:dyDescent="0.35">
      <c r="C7">
        <v>145.629174833007</v>
      </c>
      <c r="D7">
        <v>189.78420048572599</v>
      </c>
      <c r="E7">
        <v>2327.4044217381502</v>
      </c>
      <c r="F7">
        <v>48.114596400266301</v>
      </c>
      <c r="H7">
        <v>2.7581283112311901E-2</v>
      </c>
      <c r="I7">
        <f t="shared" ref="I7:I70" si="0">H7*5280</f>
        <v>145.62917483300683</v>
      </c>
      <c r="J7">
        <v>129.62971296696199</v>
      </c>
      <c r="K7">
        <v>2159.4420337216502</v>
      </c>
      <c r="L7">
        <v>51.130728402695702</v>
      </c>
      <c r="N7">
        <v>2.7581283112311901E-2</v>
      </c>
      <c r="O7">
        <f t="shared" ref="O7:O70" si="1">N7*5280</f>
        <v>145.62917483300683</v>
      </c>
      <c r="P7">
        <v>102.00601318795199</v>
      </c>
      <c r="Q7">
        <v>2287.1230943252199</v>
      </c>
      <c r="R7">
        <v>51.2756299420248</v>
      </c>
      <c r="U7">
        <v>145.62917483300683</v>
      </c>
      <c r="V7">
        <v>160.25953872192315</v>
      </c>
      <c r="W7">
        <v>2147.7853517493127</v>
      </c>
      <c r="X7">
        <v>48.611023542890557</v>
      </c>
      <c r="Z7">
        <v>145.629174833007</v>
      </c>
      <c r="AA7">
        <v>111.647533110819</v>
      </c>
      <c r="AB7">
        <v>2073.5042808007902</v>
      </c>
      <c r="AC7">
        <v>49.983027803995903</v>
      </c>
      <c r="AE7">
        <v>145.629174833007</v>
      </c>
      <c r="AF7">
        <v>87.115819307073096</v>
      </c>
      <c r="AG7">
        <v>2199.6290866132199</v>
      </c>
      <c r="AH7">
        <v>50.5442988692866</v>
      </c>
      <c r="AK7">
        <v>145.62917483300683</v>
      </c>
      <c r="AL7">
        <v>135.92978491656123</v>
      </c>
      <c r="AM7">
        <v>145.62917483300683</v>
      </c>
      <c r="AN7">
        <v>1883.3902810182651</v>
      </c>
      <c r="AO7">
        <v>145.62917483300683</v>
      </c>
      <c r="AP7">
        <v>49.041776470972451</v>
      </c>
      <c r="AR7">
        <v>145.629174833007</v>
      </c>
      <c r="AS7">
        <v>97.128823226969104</v>
      </c>
      <c r="AT7">
        <v>145.629174833007</v>
      </c>
      <c r="AU7">
        <v>2074.5688577035698</v>
      </c>
      <c r="AV7">
        <v>145.629174833007</v>
      </c>
      <c r="AW7">
        <v>50.283574734671902</v>
      </c>
      <c r="AY7">
        <v>145.629174833007</v>
      </c>
      <c r="AZ7">
        <v>77.486287384109403</v>
      </c>
      <c r="BA7">
        <v>145.629174833007</v>
      </c>
      <c r="BB7">
        <v>2142.3565896959999</v>
      </c>
      <c r="BC7">
        <v>145.629174833007</v>
      </c>
      <c r="BD7">
        <v>50.709745450446398</v>
      </c>
      <c r="BG7" s="30" t="s">
        <v>25</v>
      </c>
      <c r="BH7" s="31" t="s">
        <v>27</v>
      </c>
      <c r="BJ7" s="30" t="s">
        <v>25</v>
      </c>
      <c r="BK7" s="31" t="s">
        <v>27</v>
      </c>
      <c r="BM7" s="30" t="s">
        <v>25</v>
      </c>
      <c r="BN7" s="31" t="s">
        <v>170</v>
      </c>
      <c r="BQ7" s="30" t="s">
        <v>25</v>
      </c>
      <c r="BR7" s="31" t="s">
        <v>170</v>
      </c>
    </row>
    <row r="8" spans="2:78" x14ac:dyDescent="0.35">
      <c r="C8">
        <v>222.08611655533801</v>
      </c>
      <c r="D8">
        <v>189.71013048631801</v>
      </c>
      <c r="E8">
        <v>2328.2906022389702</v>
      </c>
      <c r="F8">
        <v>48.1170747903018</v>
      </c>
      <c r="H8">
        <v>4.2061764499116999E-2</v>
      </c>
      <c r="I8">
        <f t="shared" si="0"/>
        <v>222.08611655533775</v>
      </c>
      <c r="J8">
        <v>129.52124496783</v>
      </c>
      <c r="K8">
        <v>2160.8082890927999</v>
      </c>
      <c r="L8">
        <v>51.1365154746426</v>
      </c>
      <c r="N8">
        <v>4.2061764499116999E-2</v>
      </c>
      <c r="O8">
        <f t="shared" si="1"/>
        <v>222.08611655533775</v>
      </c>
      <c r="P8">
        <v>101.679817190561</v>
      </c>
      <c r="Q8">
        <v>2288.5589678044498</v>
      </c>
      <c r="R8">
        <v>51.287497497333298</v>
      </c>
      <c r="U8">
        <v>222.08611655533801</v>
      </c>
      <c r="V8">
        <v>160.20175872238536</v>
      </c>
      <c r="W8">
        <v>2149.1777139109959</v>
      </c>
      <c r="X8">
        <v>48.613439504965449</v>
      </c>
      <c r="Z8">
        <v>222.08611655533801</v>
      </c>
      <c r="AA8">
        <v>111.27622911379</v>
      </c>
      <c r="AB8">
        <v>2074.92710088476</v>
      </c>
      <c r="AC8">
        <v>49.989370484791998</v>
      </c>
      <c r="AE8">
        <v>222.08611655533801</v>
      </c>
      <c r="AF8">
        <v>86.902825308777096</v>
      </c>
      <c r="AG8">
        <v>2201.0664104697098</v>
      </c>
      <c r="AH8">
        <v>50.545229045899397</v>
      </c>
      <c r="AK8">
        <v>222.08611655533801</v>
      </c>
      <c r="AL8">
        <v>135.88181491694502</v>
      </c>
      <c r="AM8">
        <v>222.08611655533801</v>
      </c>
      <c r="AN8">
        <v>1884.7927958207101</v>
      </c>
      <c r="AO8">
        <v>222.08611655533801</v>
      </c>
      <c r="AP8">
        <v>49.04376168011926</v>
      </c>
      <c r="AR8">
        <v>222.08611655533801</v>
      </c>
      <c r="AS8">
        <v>96.836071229311102</v>
      </c>
      <c r="AT8">
        <v>222.08611655533801</v>
      </c>
      <c r="AU8">
        <v>2075.9989296737999</v>
      </c>
      <c r="AV8">
        <v>222.08611655533801</v>
      </c>
      <c r="AW8">
        <v>50.285510001450298</v>
      </c>
      <c r="AY8">
        <v>222.08611655533801</v>
      </c>
      <c r="AZ8">
        <v>77.314513385483593</v>
      </c>
      <c r="BA8">
        <v>222.08611655533801</v>
      </c>
      <c r="BB8">
        <v>2143.7982646842402</v>
      </c>
      <c r="BC8">
        <v>222.08611655533801</v>
      </c>
      <c r="BD8">
        <v>50.710419672420798</v>
      </c>
      <c r="BG8" s="32">
        <v>48.543058277668941</v>
      </c>
      <c r="BH8" s="33">
        <v>1215.1682674966271</v>
      </c>
      <c r="BJ8" s="32">
        <v>48.543058277668941</v>
      </c>
      <c r="BK8" s="33">
        <v>1191.2192032025073</v>
      </c>
      <c r="BM8" s="32">
        <v>48.543058277668941</v>
      </c>
      <c r="BN8" s="33">
        <v>40.546430279628417</v>
      </c>
      <c r="BQ8" s="32">
        <v>48.543058277668941</v>
      </c>
      <c r="BR8" s="33">
        <v>40.687809478497378</v>
      </c>
    </row>
    <row r="9" spans="2:78" x14ac:dyDescent="0.35">
      <c r="C9">
        <v>270.935</v>
      </c>
      <c r="D9">
        <v>189.65317848677401</v>
      </c>
      <c r="E9">
        <v>2328.5255633537599</v>
      </c>
      <c r="F9">
        <v>48.119178612573698</v>
      </c>
      <c r="H9">
        <v>5.1313446969697002E-2</v>
      </c>
      <c r="I9">
        <f t="shared" si="0"/>
        <v>270.93500000000017</v>
      </c>
      <c r="J9">
        <v>129.439110968487</v>
      </c>
      <c r="K9">
        <v>2161.33042490343</v>
      </c>
      <c r="L9">
        <v>51.8210630337135</v>
      </c>
      <c r="N9">
        <v>5.1313446969697002E-2</v>
      </c>
      <c r="O9">
        <f t="shared" si="1"/>
        <v>270.93500000000017</v>
      </c>
      <c r="P9">
        <v>101.43413519252699</v>
      </c>
      <c r="Q9">
        <v>2289.1246149326398</v>
      </c>
      <c r="R9">
        <v>52.253320475645602</v>
      </c>
      <c r="U9">
        <v>270.93500000000023</v>
      </c>
      <c r="V9">
        <v>160.15713672274237</v>
      </c>
      <c r="W9">
        <v>2149.7317580211652</v>
      </c>
      <c r="X9">
        <v>48.614082512959548</v>
      </c>
      <c r="Z9">
        <v>270.935</v>
      </c>
      <c r="AA9">
        <v>111.065701115474</v>
      </c>
      <c r="AB9">
        <v>2075.49274801294</v>
      </c>
      <c r="AC9">
        <v>49.979881434782101</v>
      </c>
      <c r="AE9">
        <v>270.935</v>
      </c>
      <c r="AF9">
        <v>86.795149309638504</v>
      </c>
      <c r="AG9">
        <v>2201.6393094841501</v>
      </c>
      <c r="AH9">
        <v>50.531938133089497</v>
      </c>
      <c r="AK9">
        <v>270.93500000000023</v>
      </c>
      <c r="AL9">
        <v>135.84603091723127</v>
      </c>
      <c r="AM9">
        <v>270.93500000000023</v>
      </c>
      <c r="AN9">
        <v>1885.3511910626351</v>
      </c>
      <c r="AO9">
        <v>270.93500000000023</v>
      </c>
      <c r="AP9">
        <v>49.044323531764583</v>
      </c>
      <c r="AR9">
        <v>270.935</v>
      </c>
      <c r="AS9">
        <v>96.673855230608794</v>
      </c>
      <c r="AT9">
        <v>270.935</v>
      </c>
      <c r="AU9">
        <v>2076.5689279337398</v>
      </c>
      <c r="AV9">
        <v>270.935</v>
      </c>
      <c r="AW9">
        <v>50.281914150920201</v>
      </c>
      <c r="AY9">
        <v>270.935</v>
      </c>
      <c r="AZ9">
        <v>77.229859386160896</v>
      </c>
      <c r="BA9">
        <v>270.935</v>
      </c>
      <c r="BB9">
        <v>2144.37261407594</v>
      </c>
      <c r="BC9">
        <v>270.935</v>
      </c>
      <c r="BD9">
        <v>50.705862431297597</v>
      </c>
      <c r="BG9" s="19">
        <v>145.62917483300683</v>
      </c>
      <c r="BH9" s="34">
        <v>1216.4498208362759</v>
      </c>
      <c r="BJ9" s="19">
        <v>145.62917483300683</v>
      </c>
      <c r="BK9" s="34">
        <v>1192.2798640867143</v>
      </c>
      <c r="BM9" s="19">
        <v>145.62917483300683</v>
      </c>
      <c r="BN9" s="34">
        <v>40.832216277342134</v>
      </c>
      <c r="BQ9" s="19">
        <v>145.62917483300683</v>
      </c>
      <c r="BR9" s="34">
        <v>40.911196676710283</v>
      </c>
    </row>
    <row r="10" spans="2:78" x14ac:dyDescent="0.35">
      <c r="C10">
        <v>312.80500000000001</v>
      </c>
      <c r="D10">
        <v>189.59494848724</v>
      </c>
      <c r="E10">
        <v>2328.3471669517899</v>
      </c>
      <c r="F10">
        <v>48.1203335298447</v>
      </c>
      <c r="H10">
        <v>5.9243371212121199E-2</v>
      </c>
      <c r="I10">
        <f t="shared" si="0"/>
        <v>312.80499999999995</v>
      </c>
      <c r="J10">
        <v>129.35614896915001</v>
      </c>
      <c r="K10">
        <v>2161.39134074801</v>
      </c>
      <c r="L10">
        <v>51.979973407399299</v>
      </c>
      <c r="N10">
        <v>5.9243371212121199E-2</v>
      </c>
      <c r="O10">
        <f t="shared" si="1"/>
        <v>312.80499999999995</v>
      </c>
      <c r="P10">
        <v>101.188471194492</v>
      </c>
      <c r="Q10">
        <v>2289.2203398312499</v>
      </c>
      <c r="R10">
        <v>52.395731139347099</v>
      </c>
      <c r="U10">
        <v>312.80500000000023</v>
      </c>
      <c r="V10">
        <v>160.13346672293173</v>
      </c>
      <c r="W10">
        <v>2149.8231317880259</v>
      </c>
      <c r="X10">
        <v>48.677091053584626</v>
      </c>
      <c r="Z10">
        <v>312.80500000000001</v>
      </c>
      <c r="AA10">
        <v>111.145945114832</v>
      </c>
      <c r="AB10">
        <v>2075.5870225343001</v>
      </c>
      <c r="AC10">
        <v>50.9981251716031</v>
      </c>
      <c r="AE10">
        <v>312.80500000000001</v>
      </c>
      <c r="AF10">
        <v>86.870515309035596</v>
      </c>
      <c r="AG10">
        <v>2201.7335840055098</v>
      </c>
      <c r="AH10">
        <v>51.7061331582644</v>
      </c>
      <c r="AK10">
        <v>312.80500000000023</v>
      </c>
      <c r="AL10">
        <v>135.85074691719356</v>
      </c>
      <c r="AM10">
        <v>312.80500000000023</v>
      </c>
      <c r="AN10">
        <v>1885.4440152067473</v>
      </c>
      <c r="AO10">
        <v>312.80500000000023</v>
      </c>
      <c r="AP10">
        <v>49.108062479528591</v>
      </c>
      <c r="AR10">
        <v>312.80500000000001</v>
      </c>
      <c r="AS10">
        <v>96.999259228005599</v>
      </c>
      <c r="AT10">
        <v>312.80500000000001</v>
      </c>
      <c r="AU10">
        <v>2076.6632024551</v>
      </c>
      <c r="AV10">
        <v>312.80500000000001</v>
      </c>
      <c r="AW10">
        <v>51.294439486551099</v>
      </c>
      <c r="AY10">
        <v>312.80500000000001</v>
      </c>
      <c r="AZ10">
        <v>77.494225384045905</v>
      </c>
      <c r="BA10">
        <v>312.80500000000001</v>
      </c>
      <c r="BB10">
        <v>2144.4683389745501</v>
      </c>
      <c r="BC10">
        <v>312.80500000000001</v>
      </c>
      <c r="BD10">
        <v>51.873571191366999</v>
      </c>
      <c r="BG10" s="19">
        <v>222.08611655533801</v>
      </c>
      <c r="BH10" s="34">
        <v>1217.8980225221512</v>
      </c>
      <c r="BJ10" s="19">
        <v>222.08611655533801</v>
      </c>
      <c r="BK10" s="34">
        <v>1193.7166077923007</v>
      </c>
      <c r="BM10" s="19">
        <v>222.08611655533801</v>
      </c>
      <c r="BN10" s="34">
        <v>40.902545876779492</v>
      </c>
      <c r="BQ10" s="19">
        <v>222.08611655533801</v>
      </c>
      <c r="BR10" s="34">
        <v>41.010324475917258</v>
      </c>
    </row>
    <row r="11" spans="2:78" x14ac:dyDescent="0.35">
      <c r="C11">
        <v>375.49</v>
      </c>
      <c r="D11">
        <v>189.47910048816701</v>
      </c>
      <c r="E11">
        <v>2328.4370903414001</v>
      </c>
      <c r="F11">
        <v>48.123180244847703</v>
      </c>
      <c r="H11">
        <v>7.1115530303030305E-2</v>
      </c>
      <c r="I11">
        <f t="shared" si="0"/>
        <v>375.49</v>
      </c>
      <c r="J11">
        <v>129.19143097046799</v>
      </c>
      <c r="K11">
        <v>2161.8583622230699</v>
      </c>
      <c r="L11">
        <v>51.3988814646208</v>
      </c>
      <c r="N11">
        <v>7.1115530303030305E-2</v>
      </c>
      <c r="O11">
        <f t="shared" si="1"/>
        <v>375.49</v>
      </c>
      <c r="P11">
        <v>100.711651198306</v>
      </c>
      <c r="Q11">
        <v>2289.7381245101301</v>
      </c>
      <c r="R11">
        <v>51.5287628366316</v>
      </c>
      <c r="U11">
        <v>375.49000000000029</v>
      </c>
      <c r="V11">
        <v>160.01268672389793</v>
      </c>
      <c r="W11">
        <v>2150.3220615626287</v>
      </c>
      <c r="X11">
        <v>48.617834433391103</v>
      </c>
      <c r="Z11">
        <v>375.49</v>
      </c>
      <c r="AA11">
        <v>110.51603511987101</v>
      </c>
      <c r="AB11">
        <v>2076.1019064586799</v>
      </c>
      <c r="AC11">
        <v>49.991655348149699</v>
      </c>
      <c r="AE11">
        <v>375.49</v>
      </c>
      <c r="AF11">
        <v>86.208835314328994</v>
      </c>
      <c r="AG11">
        <v>2202.2557198161498</v>
      </c>
      <c r="AH11">
        <v>50.546340263597997</v>
      </c>
      <c r="AK11">
        <v>375.49000000000029</v>
      </c>
      <c r="AL11">
        <v>135.72739291818039</v>
      </c>
      <c r="AM11">
        <v>375.49000000000029</v>
      </c>
      <c r="AN11">
        <v>1885.9458457358537</v>
      </c>
      <c r="AO11">
        <v>375.49000000000029</v>
      </c>
      <c r="AP11">
        <v>49.047507357754753</v>
      </c>
      <c r="AR11">
        <v>375.49</v>
      </c>
      <c r="AS11">
        <v>96.235699234114094</v>
      </c>
      <c r="AT11">
        <v>375.49</v>
      </c>
      <c r="AU11">
        <v>2077.1824375112301</v>
      </c>
      <c r="AV11">
        <v>375.49</v>
      </c>
      <c r="AW11">
        <v>50.291240888232601</v>
      </c>
      <c r="AY11">
        <v>375.49</v>
      </c>
      <c r="AZ11">
        <v>76.756801389945295</v>
      </c>
      <c r="BA11">
        <v>375.49</v>
      </c>
      <c r="BB11">
        <v>2144.9919251624401</v>
      </c>
      <c r="BC11">
        <v>375.49</v>
      </c>
      <c r="BD11">
        <v>50.716518884170597</v>
      </c>
      <c r="BG11" s="19">
        <v>270.93500000000023</v>
      </c>
      <c r="BH11" s="34">
        <v>1218.474547479723</v>
      </c>
      <c r="BJ11" s="19">
        <v>270.93500000000023</v>
      </c>
      <c r="BK11" s="34">
        <v>1194.2911022217199</v>
      </c>
      <c r="BM11" s="19">
        <v>270.93500000000023</v>
      </c>
      <c r="BN11" s="34">
        <v>40.926095276591099</v>
      </c>
      <c r="BQ11" s="19">
        <v>270.93500000000023</v>
      </c>
      <c r="BR11" s="34">
        <v>41.051089075591143</v>
      </c>
    </row>
    <row r="12" spans="2:78" x14ac:dyDescent="0.35">
      <c r="C12">
        <v>500.49</v>
      </c>
      <c r="D12">
        <v>189.24933049000501</v>
      </c>
      <c r="E12">
        <v>2328.9751803017998</v>
      </c>
      <c r="F12">
        <v>48.129254485413199</v>
      </c>
      <c r="H12">
        <v>9.4789772727272695E-2</v>
      </c>
      <c r="I12">
        <f t="shared" si="0"/>
        <v>500.48999999999984</v>
      </c>
      <c r="J12">
        <v>128.864730973082</v>
      </c>
      <c r="K12">
        <v>2163.1477475998799</v>
      </c>
      <c r="L12">
        <v>51.382725108419699</v>
      </c>
      <c r="N12">
        <v>9.4789772727272695E-2</v>
      </c>
      <c r="O12">
        <f t="shared" si="1"/>
        <v>500.48999999999984</v>
      </c>
      <c r="P12">
        <v>99.778549205771299</v>
      </c>
      <c r="Q12">
        <v>2291.13483780357</v>
      </c>
      <c r="R12">
        <v>51.533569789597102</v>
      </c>
      <c r="U12">
        <v>500.49000000000024</v>
      </c>
      <c r="V12">
        <v>159.83257872533883</v>
      </c>
      <c r="W12">
        <v>2151.676713915766</v>
      </c>
      <c r="X12">
        <v>48.623790060831539</v>
      </c>
      <c r="Z12">
        <v>500.49</v>
      </c>
      <c r="AA12">
        <v>110.136685122906</v>
      </c>
      <c r="AB12">
        <v>2077.4855663568501</v>
      </c>
      <c r="AC12">
        <v>50.002979780201002</v>
      </c>
      <c r="AE12">
        <v>500.49</v>
      </c>
      <c r="AF12">
        <v>85.533637319730602</v>
      </c>
      <c r="AG12">
        <v>2203.6553338640902</v>
      </c>
      <c r="AH12">
        <v>50.568346119706497</v>
      </c>
      <c r="AK12">
        <v>500.49000000000024</v>
      </c>
      <c r="AL12">
        <v>135.58346491933182</v>
      </c>
      <c r="AM12">
        <v>500.49000000000024</v>
      </c>
      <c r="AN12">
        <v>1887.3106507297532</v>
      </c>
      <c r="AO12">
        <v>500.49000000000024</v>
      </c>
      <c r="AP12">
        <v>49.052283096740013</v>
      </c>
      <c r="AR12">
        <v>500.49</v>
      </c>
      <c r="AS12">
        <v>95.935477236515894</v>
      </c>
      <c r="AT12">
        <v>500.49</v>
      </c>
      <c r="AU12">
        <v>2078.5747996729201</v>
      </c>
      <c r="AV12">
        <v>500.49</v>
      </c>
      <c r="AW12">
        <v>50.299094325675</v>
      </c>
      <c r="AY12">
        <v>500.49</v>
      </c>
      <c r="AZ12">
        <v>76.216855394264897</v>
      </c>
      <c r="BA12">
        <v>500.49</v>
      </c>
      <c r="BB12">
        <v>2146.3958903421299</v>
      </c>
      <c r="BC12">
        <v>500.49</v>
      </c>
      <c r="BD12">
        <v>50.731158240929297</v>
      </c>
      <c r="BG12" s="19">
        <v>312.80500000000023</v>
      </c>
      <c r="BH12" s="34">
        <v>1218.5699823028883</v>
      </c>
      <c r="BJ12" s="19">
        <v>312.80500000000023</v>
      </c>
      <c r="BK12" s="34">
        <v>1194.3846515544581</v>
      </c>
      <c r="BM12" s="19">
        <v>312.80500000000023</v>
      </c>
      <c r="BN12" s="34">
        <v>40.934650676522658</v>
      </c>
      <c r="BQ12" s="19">
        <v>312.80500000000023</v>
      </c>
      <c r="BR12" s="34">
        <v>41.067321475461284</v>
      </c>
    </row>
    <row r="13" spans="2:78" x14ac:dyDescent="0.35">
      <c r="C13">
        <v>646.24</v>
      </c>
      <c r="D13">
        <v>189.07888849136799</v>
      </c>
      <c r="E13">
        <v>2329.2318970753599</v>
      </c>
      <c r="F13">
        <v>48.133911611273398</v>
      </c>
      <c r="H13">
        <v>0.122393939393939</v>
      </c>
      <c r="I13">
        <f t="shared" si="0"/>
        <v>646.23999999999796</v>
      </c>
      <c r="J13">
        <v>128.620506975035</v>
      </c>
      <c r="K13">
        <v>2164.2587365747199</v>
      </c>
      <c r="L13">
        <v>51.738370957113801</v>
      </c>
      <c r="N13">
        <v>0.122393939393939</v>
      </c>
      <c r="O13">
        <f t="shared" si="1"/>
        <v>646.23999999999796</v>
      </c>
      <c r="P13">
        <v>99.073903211408407</v>
      </c>
      <c r="Q13">
        <v>2292.3734599765598</v>
      </c>
      <c r="R13">
        <v>51.955882457407</v>
      </c>
      <c r="U13">
        <v>646.24000000000035</v>
      </c>
      <c r="V13">
        <v>159.69644472642787</v>
      </c>
      <c r="W13">
        <v>2152.8819774119725</v>
      </c>
      <c r="X13">
        <v>48.627055043170479</v>
      </c>
      <c r="Z13">
        <v>646.24</v>
      </c>
      <c r="AA13">
        <v>109.915969124672</v>
      </c>
      <c r="AB13">
        <v>2078.7169366435901</v>
      </c>
      <c r="AC13">
        <v>50.021127588345003</v>
      </c>
      <c r="AE13">
        <v>646.24</v>
      </c>
      <c r="AF13">
        <v>85.047313323621196</v>
      </c>
      <c r="AG13">
        <v>2204.9012079233398</v>
      </c>
      <c r="AH13">
        <v>50.585201669066201</v>
      </c>
      <c r="AK13">
        <v>646.24000000000035</v>
      </c>
      <c r="AL13">
        <v>135.47263892021843</v>
      </c>
      <c r="AM13">
        <v>646.24000000000035</v>
      </c>
      <c r="AN13">
        <v>1888.5246164894704</v>
      </c>
      <c r="AO13">
        <v>646.24000000000035</v>
      </c>
      <c r="AP13">
        <v>49.054979984637569</v>
      </c>
      <c r="AR13">
        <v>646.24</v>
      </c>
      <c r="AS13">
        <v>95.759023237927494</v>
      </c>
      <c r="AT13">
        <v>646.24</v>
      </c>
      <c r="AU13">
        <v>2079.81197146866</v>
      </c>
      <c r="AV13">
        <v>646.24</v>
      </c>
      <c r="AW13">
        <v>50.313190559176597</v>
      </c>
      <c r="AY13">
        <v>646.24</v>
      </c>
      <c r="AZ13">
        <v>75.826309397389295</v>
      </c>
      <c r="BA13">
        <v>646.24</v>
      </c>
      <c r="BB13">
        <v>2147.6461155331399</v>
      </c>
      <c r="BC13">
        <v>646.24</v>
      </c>
      <c r="BD13">
        <v>50.742919668704801</v>
      </c>
      <c r="BG13" s="19">
        <v>375.49000000000029</v>
      </c>
      <c r="BH13" s="34">
        <v>1219.0889272835657</v>
      </c>
      <c r="BJ13" s="19">
        <v>375.49000000000029</v>
      </c>
      <c r="BK13" s="34">
        <v>1194.900840818357</v>
      </c>
      <c r="BM13" s="19">
        <v>375.49000000000029</v>
      </c>
      <c r="BN13" s="34">
        <v>40.931669876546501</v>
      </c>
      <c r="BQ13" s="19">
        <v>375.49000000000029</v>
      </c>
      <c r="BR13" s="34">
        <v>41.070298675437471</v>
      </c>
    </row>
    <row r="14" spans="2:78" x14ac:dyDescent="0.35">
      <c r="C14">
        <v>771.24</v>
      </c>
      <c r="D14">
        <v>188.90662849274599</v>
      </c>
      <c r="E14">
        <v>2329.02884426011</v>
      </c>
      <c r="F14">
        <v>48.137931971935501</v>
      </c>
      <c r="H14">
        <v>0.14606818181818201</v>
      </c>
      <c r="I14">
        <f t="shared" si="0"/>
        <v>771.24000000000103</v>
      </c>
      <c r="J14">
        <v>128.375256976998</v>
      </c>
      <c r="K14">
        <v>2164.7765212536001</v>
      </c>
      <c r="L14">
        <v>51.768080423559397</v>
      </c>
      <c r="N14">
        <v>0.14606818181818201</v>
      </c>
      <c r="O14">
        <f t="shared" si="1"/>
        <v>771.24000000000103</v>
      </c>
      <c r="P14">
        <v>98.361949217104097</v>
      </c>
      <c r="Q14">
        <v>2292.9971221948199</v>
      </c>
      <c r="R14">
        <v>51.983975039673197</v>
      </c>
      <c r="U14">
        <v>771.24000000000024</v>
      </c>
      <c r="V14">
        <v>159.56182272750488</v>
      </c>
      <c r="W14">
        <v>2153.4867847259538</v>
      </c>
      <c r="X14">
        <v>48.651014894445524</v>
      </c>
      <c r="Z14">
        <v>771.24</v>
      </c>
      <c r="AA14">
        <v>109.705891126352</v>
      </c>
      <c r="AB14">
        <v>2079.3362477300898</v>
      </c>
      <c r="AC14">
        <v>50.055075913314603</v>
      </c>
      <c r="AE14">
        <v>771.24</v>
      </c>
      <c r="AF14">
        <v>84.541639327666601</v>
      </c>
      <c r="AG14">
        <v>2205.5263205188498</v>
      </c>
      <c r="AH14">
        <v>50.637940810174001</v>
      </c>
      <c r="AK14">
        <v>771.24000000000024</v>
      </c>
      <c r="AL14">
        <v>135.37270292101789</v>
      </c>
      <c r="AM14">
        <v>771.24000000000024</v>
      </c>
      <c r="AN14">
        <v>1889.1337749352067</v>
      </c>
      <c r="AO14">
        <v>771.24000000000024</v>
      </c>
      <c r="AP14">
        <v>49.078328041898821</v>
      </c>
      <c r="AR14">
        <v>771.24</v>
      </c>
      <c r="AS14">
        <v>95.598661239210401</v>
      </c>
      <c r="AT14">
        <v>771.24</v>
      </c>
      <c r="AU14">
        <v>2080.4341833096601</v>
      </c>
      <c r="AV14">
        <v>771.24</v>
      </c>
      <c r="AW14">
        <v>50.346539575724599</v>
      </c>
      <c r="AY14">
        <v>771.24</v>
      </c>
      <c r="AZ14">
        <v>75.428527400571497</v>
      </c>
      <c r="BA14">
        <v>771.24</v>
      </c>
      <c r="BB14">
        <v>2148.2726785058999</v>
      </c>
      <c r="BC14">
        <v>771.24</v>
      </c>
      <c r="BD14">
        <v>50.794354065436202</v>
      </c>
      <c r="BG14" s="19">
        <v>500.49000000000024</v>
      </c>
      <c r="BH14" s="34">
        <v>1220.4984038968191</v>
      </c>
      <c r="BJ14" s="19">
        <v>500.49000000000024</v>
      </c>
      <c r="BK14" s="34">
        <v>1196.3048059980538</v>
      </c>
      <c r="BM14" s="19">
        <v>500.49000000000024</v>
      </c>
      <c r="BN14" s="34">
        <v>40.925845076593099</v>
      </c>
      <c r="BQ14" s="19">
        <v>500.49000000000024</v>
      </c>
      <c r="BR14" s="34">
        <v>41.067222475462074</v>
      </c>
    </row>
    <row r="15" spans="2:78" x14ac:dyDescent="0.35">
      <c r="C15">
        <v>896.24</v>
      </c>
      <c r="D15">
        <v>188.736006494111</v>
      </c>
      <c r="E15">
        <v>2329.41029347732</v>
      </c>
      <c r="F15">
        <v>48.142314414768997</v>
      </c>
      <c r="H15">
        <v>0.169742424242424</v>
      </c>
      <c r="I15">
        <f t="shared" si="0"/>
        <v>896.23999999999876</v>
      </c>
      <c r="J15">
        <v>128.13126697894899</v>
      </c>
      <c r="K15">
        <v>2165.91216664172</v>
      </c>
      <c r="L15">
        <v>51.289757389506697</v>
      </c>
      <c r="N15">
        <v>0.169742424242424</v>
      </c>
      <c r="O15">
        <f t="shared" si="1"/>
        <v>896.23999999999876</v>
      </c>
      <c r="P15">
        <v>97.650697222794093</v>
      </c>
      <c r="Q15">
        <v>2294.2400954995701</v>
      </c>
      <c r="R15">
        <v>51.466859270908998</v>
      </c>
      <c r="U15">
        <v>896.24000000000024</v>
      </c>
      <c r="V15">
        <v>159.41771472865776</v>
      </c>
      <c r="W15">
        <v>2154.6847963359014</v>
      </c>
      <c r="X15">
        <v>48.634739925119298</v>
      </c>
      <c r="Z15">
        <v>896.24</v>
      </c>
      <c r="AA15">
        <v>109.484671128122</v>
      </c>
      <c r="AB15">
        <v>2080.5603661305599</v>
      </c>
      <c r="AC15">
        <v>50.016114623109402</v>
      </c>
      <c r="AE15">
        <v>896.24</v>
      </c>
      <c r="AF15">
        <v>83.9974993320197</v>
      </c>
      <c r="AG15">
        <v>2206.7649426918501</v>
      </c>
      <c r="AH15">
        <v>50.597631076020001</v>
      </c>
      <c r="AK15">
        <v>896.24000000000024</v>
      </c>
      <c r="AL15">
        <v>135.24760292201873</v>
      </c>
      <c r="AM15">
        <v>896.24000000000024</v>
      </c>
      <c r="AN15">
        <v>1890.340488808665</v>
      </c>
      <c r="AO15">
        <v>896.24000000000024</v>
      </c>
      <c r="AP15">
        <v>49.060979311650414</v>
      </c>
      <c r="AR15">
        <v>896.24</v>
      </c>
      <c r="AS15">
        <v>95.412757240697601</v>
      </c>
      <c r="AT15">
        <v>896.24</v>
      </c>
      <c r="AU15">
        <v>2081.66700397365</v>
      </c>
      <c r="AV15">
        <v>896.24</v>
      </c>
      <c r="AW15">
        <v>50.310350086969699</v>
      </c>
      <c r="AY15">
        <v>896.24</v>
      </c>
      <c r="AZ15">
        <v>74.9845034041237</v>
      </c>
      <c r="BA15">
        <v>896.24</v>
      </c>
      <c r="BB15">
        <v>2149.5156518106501</v>
      </c>
      <c r="BC15">
        <v>896.24</v>
      </c>
      <c r="BD15">
        <v>50.7549432939147</v>
      </c>
      <c r="BG15" s="19">
        <v>646.24000000000035</v>
      </c>
      <c r="BH15" s="34">
        <v>1221.7518199177839</v>
      </c>
      <c r="BJ15" s="19">
        <v>646.24000000000035</v>
      </c>
      <c r="BK15" s="34">
        <v>1197.5516953213858</v>
      </c>
      <c r="BM15" s="19">
        <v>646.24000000000035</v>
      </c>
      <c r="BN15" s="34">
        <v>40.920176876638443</v>
      </c>
      <c r="BQ15" s="19">
        <v>646.24000000000035</v>
      </c>
      <c r="BR15" s="34">
        <v>41.062628875498824</v>
      </c>
    </row>
    <row r="16" spans="2:78" x14ac:dyDescent="0.35">
      <c r="C16">
        <v>1021.24</v>
      </c>
      <c r="D16">
        <v>188.56702249546299</v>
      </c>
      <c r="E16">
        <v>2330.38059585875</v>
      </c>
      <c r="F16">
        <v>48.1470089974055</v>
      </c>
      <c r="H16">
        <v>0.19341666666666699</v>
      </c>
      <c r="I16">
        <f t="shared" si="0"/>
        <v>1021.2400000000017</v>
      </c>
      <c r="J16">
        <v>127.88869898089</v>
      </c>
      <c r="K16">
        <v>2167.6439170803101</v>
      </c>
      <c r="L16">
        <v>51.277540237618901</v>
      </c>
      <c r="N16">
        <v>0.19341666666666699</v>
      </c>
      <c r="O16">
        <f t="shared" si="1"/>
        <v>1021.2400000000017</v>
      </c>
      <c r="P16">
        <v>96.946411228428403</v>
      </c>
      <c r="Q16">
        <v>2296.0878761182998</v>
      </c>
      <c r="R16">
        <v>51.471503911177003</v>
      </c>
      <c r="U16">
        <v>1021.2400000000004</v>
      </c>
      <c r="V16">
        <v>159.28662072970647</v>
      </c>
      <c r="W16">
        <v>2156.4760122418165</v>
      </c>
      <c r="X16">
        <v>48.654123806882978</v>
      </c>
      <c r="Z16">
        <v>1021.24</v>
      </c>
      <c r="AA16">
        <v>109.296013129632</v>
      </c>
      <c r="AB16">
        <v>2082.3907422222801</v>
      </c>
      <c r="AC16">
        <v>50.0675739910251</v>
      </c>
      <c r="AE16">
        <v>1021.24</v>
      </c>
      <c r="AF16">
        <v>83.496613336026797</v>
      </c>
      <c r="AG16">
        <v>2208.6170744423298</v>
      </c>
      <c r="AH16">
        <v>50.665352927669701</v>
      </c>
      <c r="AK16">
        <v>1021.2400000000004</v>
      </c>
      <c r="AL16">
        <v>135.14718092282209</v>
      </c>
      <c r="AM16">
        <v>1021.2400000000004</v>
      </c>
      <c r="AN16">
        <v>1892.1433077325939</v>
      </c>
      <c r="AO16">
        <v>1021.2400000000004</v>
      </c>
      <c r="AP16">
        <v>49.079152090978624</v>
      </c>
      <c r="AR16">
        <v>1021.24</v>
      </c>
      <c r="AS16">
        <v>95.269747241841699</v>
      </c>
      <c r="AT16">
        <v>1021.24</v>
      </c>
      <c r="AU16">
        <v>2083.50753270613</v>
      </c>
      <c r="AV16">
        <v>1021.24</v>
      </c>
      <c r="AW16">
        <v>50.356378222313801</v>
      </c>
      <c r="AY16">
        <v>1021.24</v>
      </c>
      <c r="AZ16">
        <v>74.591113407270797</v>
      </c>
      <c r="BA16">
        <v>1021.24</v>
      </c>
      <c r="BB16">
        <v>2151.3721346929001</v>
      </c>
      <c r="BC16">
        <v>1021.24</v>
      </c>
      <c r="BD16">
        <v>50.816384892728898</v>
      </c>
      <c r="BG16" s="19">
        <v>771.24000000000024</v>
      </c>
      <c r="BH16" s="34">
        <v>1222.3812836450447</v>
      </c>
      <c r="BJ16" s="19">
        <v>771.24000000000024</v>
      </c>
      <c r="BK16" s="34">
        <v>1198.1755025773646</v>
      </c>
      <c r="BM16" s="19">
        <v>771.24000000000024</v>
      </c>
      <c r="BN16" s="34">
        <v>40.916375276668852</v>
      </c>
      <c r="BQ16" s="19">
        <v>771.24000000000024</v>
      </c>
      <c r="BR16" s="34">
        <v>41.05829087553353</v>
      </c>
    </row>
    <row r="17" spans="3:70" x14ac:dyDescent="0.35">
      <c r="C17">
        <v>1146.24</v>
      </c>
      <c r="D17">
        <v>188.40014449679799</v>
      </c>
      <c r="E17">
        <v>2332.13555233337</v>
      </c>
      <c r="F17">
        <v>48.152171789746397</v>
      </c>
      <c r="H17">
        <v>0.217090909090909</v>
      </c>
      <c r="I17">
        <f t="shared" si="0"/>
        <v>1146.2399999999996</v>
      </c>
      <c r="J17">
        <v>127.64793098281601</v>
      </c>
      <c r="K17">
        <v>2170.1965810433999</v>
      </c>
      <c r="L17">
        <v>51.033759051508802</v>
      </c>
      <c r="N17">
        <v>0.217090909090909</v>
      </c>
      <c r="O17">
        <f t="shared" si="1"/>
        <v>1146.2399999999996</v>
      </c>
      <c r="P17">
        <v>96.254005233967604</v>
      </c>
      <c r="Q17">
        <v>2298.76527252504</v>
      </c>
      <c r="R17">
        <v>51.270542063236597</v>
      </c>
      <c r="U17">
        <v>1146.2400000000005</v>
      </c>
      <c r="V17">
        <v>159.14550073083547</v>
      </c>
      <c r="W17">
        <v>2159.0605845044402</v>
      </c>
      <c r="X17">
        <v>48.643966777694736</v>
      </c>
      <c r="Z17">
        <v>1146.24</v>
      </c>
      <c r="AA17">
        <v>109.088401131292</v>
      </c>
      <c r="AB17">
        <v>2085.0318791977202</v>
      </c>
      <c r="AC17">
        <v>50.027769923351897</v>
      </c>
      <c r="AE17">
        <v>1146.24</v>
      </c>
      <c r="AF17">
        <v>82.974973340199895</v>
      </c>
      <c r="AG17">
        <v>2211.2901197173101</v>
      </c>
      <c r="AH17">
        <v>50.6207356642349</v>
      </c>
      <c r="AK17">
        <v>1146.2400000000005</v>
      </c>
      <c r="AL17">
        <v>135.02593292379206</v>
      </c>
      <c r="AM17">
        <v>1146.2400000000005</v>
      </c>
      <c r="AN17">
        <v>1894.7467348994905</v>
      </c>
      <c r="AO17">
        <v>1146.2400000000005</v>
      </c>
      <c r="AP17">
        <v>49.068102341953917</v>
      </c>
      <c r="AR17">
        <v>1146.24</v>
      </c>
      <c r="AS17">
        <v>95.093563243251197</v>
      </c>
      <c r="AT17">
        <v>1146.24</v>
      </c>
      <c r="AU17">
        <v>2086.1646238313401</v>
      </c>
      <c r="AV17">
        <v>1146.24</v>
      </c>
      <c r="AW17">
        <v>50.319058787472201</v>
      </c>
      <c r="AY17">
        <v>1146.24</v>
      </c>
      <c r="AZ17">
        <v>74.164279410685495</v>
      </c>
      <c r="BA17">
        <v>1146.24</v>
      </c>
      <c r="BB17">
        <v>2154.0538822313902</v>
      </c>
      <c r="BC17">
        <v>1146.24</v>
      </c>
      <c r="BD17">
        <v>50.773315842716798</v>
      </c>
      <c r="BG17" s="19">
        <v>896.24000000000024</v>
      </c>
      <c r="BH17" s="34">
        <v>1223.6275928174759</v>
      </c>
      <c r="BJ17" s="19">
        <v>896.24000000000024</v>
      </c>
      <c r="BK17" s="34">
        <v>1199.4160102407889</v>
      </c>
      <c r="BM17" s="19">
        <v>896.24000000000024</v>
      </c>
      <c r="BN17" s="34">
        <v>40.910440676716334</v>
      </c>
      <c r="BQ17" s="19">
        <v>896.24000000000024</v>
      </c>
      <c r="BR17" s="34">
        <v>41.05318067557441</v>
      </c>
    </row>
    <row r="18" spans="3:70" x14ac:dyDescent="0.35">
      <c r="C18">
        <v>1271.24</v>
      </c>
      <c r="D18">
        <v>188.235390498116</v>
      </c>
      <c r="E18">
        <v>2334.6751629011901</v>
      </c>
      <c r="F18">
        <v>48.158021289653803</v>
      </c>
      <c r="H18">
        <v>0.24076515151515199</v>
      </c>
      <c r="I18">
        <f t="shared" si="0"/>
        <v>1271.2400000000025</v>
      </c>
      <c r="J18">
        <v>127.409160984726</v>
      </c>
      <c r="K18">
        <v>2173.5498532494498</v>
      </c>
      <c r="L18">
        <v>51.032522977889101</v>
      </c>
      <c r="N18">
        <v>0.24076515151515199</v>
      </c>
      <c r="O18">
        <f t="shared" si="1"/>
        <v>1271.2400000000025</v>
      </c>
      <c r="P18">
        <v>95.574757239401606</v>
      </c>
      <c r="Q18">
        <v>2302.2534298155001</v>
      </c>
      <c r="R18">
        <v>51.281454470748002</v>
      </c>
      <c r="U18">
        <v>1271.2400000000005</v>
      </c>
      <c r="V18">
        <v>159.01437073188447</v>
      </c>
      <c r="W18">
        <v>2162.437062746521</v>
      </c>
      <c r="X18">
        <v>48.650247030530245</v>
      </c>
      <c r="Z18">
        <v>1271.24</v>
      </c>
      <c r="AA18">
        <v>108.90499913276</v>
      </c>
      <c r="AB18">
        <v>2088.4837770568902</v>
      </c>
      <c r="AC18">
        <v>50.034936653227803</v>
      </c>
      <c r="AE18">
        <v>1271.24</v>
      </c>
      <c r="AF18">
        <v>82.484725344121898</v>
      </c>
      <c r="AG18">
        <v>2214.7811777622801</v>
      </c>
      <c r="AH18">
        <v>50.632902873754198</v>
      </c>
      <c r="AK18">
        <v>1271.2400000000005</v>
      </c>
      <c r="AL18">
        <v>134.91879692464917</v>
      </c>
      <c r="AM18">
        <v>1271.2400000000005</v>
      </c>
      <c r="AN18">
        <v>1898.147869554851</v>
      </c>
      <c r="AO18">
        <v>1271.2400000000005</v>
      </c>
      <c r="AP18">
        <v>49.072784438998283</v>
      </c>
      <c r="AR18">
        <v>1271.24</v>
      </c>
      <c r="AS18">
        <v>94.950589244394905</v>
      </c>
      <c r="AT18">
        <v>1271.24</v>
      </c>
      <c r="AU18">
        <v>2089.6353765947802</v>
      </c>
      <c r="AV18">
        <v>1271.24</v>
      </c>
      <c r="AW18">
        <v>50.323709670536303</v>
      </c>
      <c r="AY18">
        <v>1271.24</v>
      </c>
      <c r="AZ18">
        <v>73.771213413829997</v>
      </c>
      <c r="BA18">
        <v>1271.24</v>
      </c>
      <c r="BB18">
        <v>2157.5565432943699</v>
      </c>
      <c r="BC18">
        <v>1271.24</v>
      </c>
      <c r="BD18">
        <v>50.782886049075501</v>
      </c>
      <c r="BG18" s="19">
        <v>1021.2400000000004</v>
      </c>
      <c r="BH18" s="34">
        <v>1225.4900222464519</v>
      </c>
      <c r="BJ18" s="19">
        <v>1021.2400000000004</v>
      </c>
      <c r="BK18" s="34">
        <v>1201.2726381607579</v>
      </c>
      <c r="BM18" s="19">
        <v>1021.2400000000004</v>
      </c>
      <c r="BN18" s="34">
        <v>40.905575276755251</v>
      </c>
      <c r="BQ18" s="19">
        <v>1021.2400000000004</v>
      </c>
      <c r="BR18" s="34">
        <v>41.047820275617298</v>
      </c>
    </row>
    <row r="19" spans="3:70" x14ac:dyDescent="0.35">
      <c r="C19">
        <v>1396.24</v>
      </c>
      <c r="D19">
        <v>188.07011449943801</v>
      </c>
      <c r="E19">
        <v>2336.9304995276598</v>
      </c>
      <c r="F19">
        <v>48.1638270899888</v>
      </c>
      <c r="H19">
        <v>0.26443939393939397</v>
      </c>
      <c r="I19">
        <f t="shared" si="0"/>
        <v>1396.2400000000002</v>
      </c>
      <c r="J19">
        <v>127.17051698663499</v>
      </c>
      <c r="K19">
        <v>2176.6043477416401</v>
      </c>
      <c r="L19">
        <v>51.1059382595448</v>
      </c>
      <c r="N19">
        <v>0.26443939393939397</v>
      </c>
      <c r="O19">
        <f t="shared" si="1"/>
        <v>1396.2400000000002</v>
      </c>
      <c r="P19">
        <v>94.906669244746297</v>
      </c>
      <c r="Q19">
        <v>2305.4442597693601</v>
      </c>
      <c r="R19">
        <v>51.353589979211598</v>
      </c>
      <c r="U19">
        <v>1396.2400000000005</v>
      </c>
      <c r="V19">
        <v>158.88172873294562</v>
      </c>
      <c r="W19">
        <v>2165.5263662927546</v>
      </c>
      <c r="X19">
        <v>48.654448432278059</v>
      </c>
      <c r="Z19">
        <v>1396.24</v>
      </c>
      <c r="AA19">
        <v>108.89004113287901</v>
      </c>
      <c r="AB19">
        <v>2091.6368972022001</v>
      </c>
      <c r="AC19">
        <v>50.928717765017403</v>
      </c>
      <c r="AE19">
        <v>1396.24</v>
      </c>
      <c r="AF19">
        <v>82.023475347811896</v>
      </c>
      <c r="AG19">
        <v>2217.9705573388901</v>
      </c>
      <c r="AH19">
        <v>50.423176140146801</v>
      </c>
      <c r="AK19">
        <v>1396.2400000000005</v>
      </c>
      <c r="AL19">
        <v>134.81493692548003</v>
      </c>
      <c r="AM19">
        <v>1396.2400000000005</v>
      </c>
      <c r="AN19">
        <v>1901.2589287598612</v>
      </c>
      <c r="AO19">
        <v>1396.2400000000005</v>
      </c>
      <c r="AP19">
        <v>49.076267919199296</v>
      </c>
      <c r="AR19">
        <v>1396.24</v>
      </c>
      <c r="AS19">
        <v>95.445679240434202</v>
      </c>
      <c r="AT19">
        <v>1396.24</v>
      </c>
      <c r="AU19">
        <v>2092.7942982490999</v>
      </c>
      <c r="AV19">
        <v>1396.24</v>
      </c>
      <c r="AW19">
        <v>52.154197359818298</v>
      </c>
      <c r="AY19">
        <v>1396.24</v>
      </c>
      <c r="AZ19">
        <v>73.448581416411102</v>
      </c>
      <c r="BA19">
        <v>1396.24</v>
      </c>
      <c r="BB19">
        <v>2160.7546251344902</v>
      </c>
      <c r="BC19">
        <v>1396.24</v>
      </c>
      <c r="BD19">
        <v>50.567303572764601</v>
      </c>
      <c r="BG19" s="19">
        <v>1146.2400000000005</v>
      </c>
      <c r="BH19" s="34">
        <v>1228.1777163316754</v>
      </c>
      <c r="BJ19" s="19">
        <v>1146.2400000000005</v>
      </c>
      <c r="BK19" s="34">
        <v>1203.9546757746994</v>
      </c>
      <c r="BM19" s="19">
        <v>1146.2400000000005</v>
      </c>
      <c r="BN19" s="34">
        <v>40.90032107679729</v>
      </c>
      <c r="BQ19" s="19">
        <v>1146.2400000000005</v>
      </c>
      <c r="BR19" s="34">
        <v>41.04209267566312</v>
      </c>
    </row>
    <row r="20" spans="3:70" x14ac:dyDescent="0.35">
      <c r="C20">
        <v>1521.24</v>
      </c>
      <c r="D20">
        <v>187.904334500765</v>
      </c>
      <c r="E20">
        <v>2338.90011183554</v>
      </c>
      <c r="F20">
        <v>48.169308264928802</v>
      </c>
      <c r="H20">
        <v>0.28811363636363602</v>
      </c>
      <c r="I20">
        <f t="shared" si="0"/>
        <v>1521.2399999999982</v>
      </c>
      <c r="J20">
        <v>126.931998988544</v>
      </c>
      <c r="K20">
        <v>2179.3673164062302</v>
      </c>
      <c r="L20">
        <v>51.117524889030598</v>
      </c>
      <c r="N20">
        <v>0.28811363636363602</v>
      </c>
      <c r="O20">
        <f t="shared" si="1"/>
        <v>1521.2399999999982</v>
      </c>
      <c r="P20">
        <v>94.247221250021894</v>
      </c>
      <c r="Q20">
        <v>2308.3392127638599</v>
      </c>
      <c r="R20">
        <v>51.380315389140797</v>
      </c>
      <c r="U20">
        <v>1521.2400000000007</v>
      </c>
      <c r="V20">
        <v>158.98661473210652</v>
      </c>
      <c r="W20">
        <v>2168.318342502379</v>
      </c>
      <c r="X20">
        <v>48.553190280198514</v>
      </c>
      <c r="Z20">
        <v>1521.24</v>
      </c>
      <c r="AA20">
        <v>112.518391103852</v>
      </c>
      <c r="AB20">
        <v>2095.0858943068702</v>
      </c>
      <c r="AC20">
        <v>66.421976654306306</v>
      </c>
      <c r="AE20">
        <v>1521.24</v>
      </c>
      <c r="AF20">
        <v>83.894323332845104</v>
      </c>
      <c r="AG20">
        <v>2221.14543314298</v>
      </c>
      <c r="AH20">
        <v>65.089639119360797</v>
      </c>
      <c r="AK20">
        <v>1521.2400000000007</v>
      </c>
      <c r="AL20">
        <v>134.88592892491212</v>
      </c>
      <c r="AM20">
        <v>1521.2400000000007</v>
      </c>
      <c r="AN20">
        <v>1904.0741110055135</v>
      </c>
      <c r="AO20">
        <v>1521.2400000000007</v>
      </c>
      <c r="AP20">
        <v>49.003920155669711</v>
      </c>
      <c r="AR20">
        <v>1521.24</v>
      </c>
      <c r="AS20">
        <v>101.293303193653</v>
      </c>
      <c r="AT20">
        <v>1521.24</v>
      </c>
      <c r="AU20">
        <v>2096.2969593120802</v>
      </c>
      <c r="AV20">
        <v>1521.24</v>
      </c>
      <c r="AW20">
        <v>66.878824469915401</v>
      </c>
      <c r="AY20">
        <v>1521.24</v>
      </c>
      <c r="AZ20">
        <v>76.938763388489605</v>
      </c>
      <c r="BA20">
        <v>1521.24</v>
      </c>
      <c r="BB20">
        <v>2163.9947679149</v>
      </c>
      <c r="BC20">
        <v>1521.24</v>
      </c>
      <c r="BD20">
        <v>66.387016996374996</v>
      </c>
      <c r="BG20" s="19">
        <v>1271.2400000000005</v>
      </c>
      <c r="BH20" s="34">
        <v>1231.6905300354208</v>
      </c>
      <c r="BJ20" s="19">
        <v>1271.2400000000005</v>
      </c>
      <c r="BK20" s="34">
        <v>1207.4616879694379</v>
      </c>
      <c r="BM20" s="19">
        <v>1271.2400000000005</v>
      </c>
      <c r="BN20" s="34">
        <v>40.89685607682501</v>
      </c>
      <c r="BQ20" s="19">
        <v>1271.2400000000005</v>
      </c>
      <c r="BR20" s="34">
        <v>41.038229875694022</v>
      </c>
    </row>
    <row r="21" spans="3:70" x14ac:dyDescent="0.35">
      <c r="C21">
        <v>1632.99</v>
      </c>
      <c r="D21">
        <v>187.772142501822</v>
      </c>
      <c r="E21">
        <v>2339.54407933532</v>
      </c>
      <c r="F21">
        <v>48.173796835295299</v>
      </c>
      <c r="H21">
        <v>0.30927840909090898</v>
      </c>
      <c r="I21">
        <f t="shared" si="0"/>
        <v>1632.9899999999993</v>
      </c>
      <c r="J21">
        <v>126.742944990056</v>
      </c>
      <c r="K21">
        <v>2180.6581521602898</v>
      </c>
      <c r="L21">
        <v>52.368069310008998</v>
      </c>
      <c r="N21">
        <v>0.30927840909090898</v>
      </c>
      <c r="O21">
        <f t="shared" si="1"/>
        <v>1632.9899999999993</v>
      </c>
      <c r="P21">
        <v>93.731197254150104</v>
      </c>
      <c r="Q21">
        <v>2309.7417275663001</v>
      </c>
      <c r="R21">
        <v>58.308870109805</v>
      </c>
      <c r="U21">
        <v>1632.9900000000007</v>
      </c>
      <c r="V21">
        <v>158.83298473333559</v>
      </c>
      <c r="W21">
        <v>2169.7092542868099</v>
      </c>
      <c r="X21">
        <v>49.767982208146101</v>
      </c>
      <c r="Z21">
        <v>1632.99</v>
      </c>
      <c r="AA21">
        <v>112.487755104098</v>
      </c>
      <c r="AB21">
        <v>2096.9525298298799</v>
      </c>
      <c r="AC21">
        <v>66.534596695213494</v>
      </c>
      <c r="AE21">
        <v>1632.99</v>
      </c>
      <c r="AF21">
        <v>83.952085332383007</v>
      </c>
      <c r="AG21">
        <v>2222.9700077256798</v>
      </c>
      <c r="AH21">
        <v>68.197864849254898</v>
      </c>
      <c r="AK21">
        <v>1632.9900000000007</v>
      </c>
      <c r="AL21">
        <v>135.24443492204406</v>
      </c>
      <c r="AM21">
        <v>1632.9900000000007</v>
      </c>
      <c r="AN21">
        <v>1905.4795265624621</v>
      </c>
      <c r="AO21">
        <v>1632.9900000000007</v>
      </c>
      <c r="AP21">
        <v>50.173252042714509</v>
      </c>
      <c r="AR21">
        <v>1632.99</v>
      </c>
      <c r="AS21">
        <v>101.234677194122</v>
      </c>
      <c r="AT21">
        <v>1632.99</v>
      </c>
      <c r="AU21">
        <v>2098.1766482303601</v>
      </c>
      <c r="AV21">
        <v>1632.99</v>
      </c>
      <c r="AW21">
        <v>66.778377881323607</v>
      </c>
      <c r="AY21">
        <v>1632.99</v>
      </c>
      <c r="AZ21">
        <v>77.110753387113704</v>
      </c>
      <c r="BA21">
        <v>1632.99</v>
      </c>
      <c r="BB21">
        <v>2165.8570523061499</v>
      </c>
      <c r="BC21">
        <v>1632.99</v>
      </c>
      <c r="BD21">
        <v>67.638073326630206</v>
      </c>
      <c r="BG21" s="19">
        <v>1396.2400000000005</v>
      </c>
      <c r="BH21" s="34">
        <v>1234.903405723504</v>
      </c>
      <c r="BJ21" s="19">
        <v>1396.2400000000005</v>
      </c>
      <c r="BK21" s="34">
        <v>1210.6689071862393</v>
      </c>
      <c r="BM21" s="19">
        <v>1396.2400000000005</v>
      </c>
      <c r="BN21" s="34">
        <v>40.90099247679192</v>
      </c>
      <c r="BQ21" s="19">
        <v>1396.2400000000005</v>
      </c>
      <c r="BR21" s="34">
        <v>41.041072075671281</v>
      </c>
    </row>
    <row r="22" spans="3:70" x14ac:dyDescent="0.35">
      <c r="C22">
        <v>1731.49</v>
      </c>
      <c r="D22">
        <v>187.63627850290899</v>
      </c>
      <c r="E22">
        <v>2338.8624020269999</v>
      </c>
      <c r="F22">
        <v>48.176818348588</v>
      </c>
      <c r="H22">
        <v>0.32793371212121197</v>
      </c>
      <c r="I22">
        <f t="shared" si="0"/>
        <v>1731.4899999999993</v>
      </c>
      <c r="J22">
        <v>126.55142499158799</v>
      </c>
      <c r="K22">
        <v>2180.5145648123698</v>
      </c>
      <c r="L22">
        <v>52.549216523257599</v>
      </c>
      <c r="N22">
        <v>0.32793371212121197</v>
      </c>
      <c r="O22">
        <f t="shared" si="1"/>
        <v>1731.4899999999993</v>
      </c>
      <c r="P22">
        <v>93.2166492582665</v>
      </c>
      <c r="Q22">
        <v>2309.6764605899698</v>
      </c>
      <c r="R22">
        <v>59.5263901396305</v>
      </c>
      <c r="U22">
        <v>1731.4900000000007</v>
      </c>
      <c r="V22">
        <v>158.54165473566621</v>
      </c>
      <c r="W22">
        <v>2169.6599414602506</v>
      </c>
      <c r="X22">
        <v>48.667027666337262</v>
      </c>
      <c r="Z22">
        <v>1731.49</v>
      </c>
      <c r="AA22">
        <v>112.216495106268</v>
      </c>
      <c r="AB22">
        <v>2096.8858124763001</v>
      </c>
      <c r="AC22">
        <v>66.454002198089697</v>
      </c>
      <c r="AE22">
        <v>1731.49</v>
      </c>
      <c r="AF22">
        <v>83.451469336388001</v>
      </c>
      <c r="AG22">
        <v>2222.9032903720999</v>
      </c>
      <c r="AH22">
        <v>66.792236888574905</v>
      </c>
      <c r="AK22">
        <v>1731.4900000000007</v>
      </c>
      <c r="AL22">
        <v>134.53588292771246</v>
      </c>
      <c r="AM22">
        <v>1731.4900000000007</v>
      </c>
      <c r="AN22">
        <v>1905.4302137359025</v>
      </c>
      <c r="AO22">
        <v>1731.4900000000007</v>
      </c>
      <c r="AP22">
        <v>49.085276273912662</v>
      </c>
      <c r="AR22">
        <v>1731.49</v>
      </c>
      <c r="AS22">
        <v>101.004295195965</v>
      </c>
      <c r="AT22">
        <v>1731.49</v>
      </c>
      <c r="AU22">
        <v>2098.1099308767798</v>
      </c>
      <c r="AV22">
        <v>1731.49</v>
      </c>
      <c r="AW22">
        <v>66.737300283254299</v>
      </c>
      <c r="AY22">
        <v>1731.49</v>
      </c>
      <c r="AZ22">
        <v>76.667809390657297</v>
      </c>
      <c r="BA22">
        <v>1731.49</v>
      </c>
      <c r="BB22">
        <v>2165.79033495257</v>
      </c>
      <c r="BC22">
        <v>1731.49</v>
      </c>
      <c r="BD22">
        <v>67.028401863492903</v>
      </c>
      <c r="BG22" s="19">
        <v>1521.2400000000007</v>
      </c>
      <c r="BH22" s="34">
        <v>1237.8163433959246</v>
      </c>
      <c r="BJ22" s="19">
        <v>1521.2400000000007</v>
      </c>
      <c r="BK22" s="34">
        <v>1213.576333425103</v>
      </c>
      <c r="BM22" s="19">
        <v>1521.2400000000007</v>
      </c>
      <c r="BN22" s="34">
        <v>40.928852876569032</v>
      </c>
      <c r="BQ22" s="19">
        <v>1521.2400000000007</v>
      </c>
      <c r="BR22" s="34">
        <v>41.063194075494309</v>
      </c>
    </row>
    <row r="23" spans="3:70" x14ac:dyDescent="0.35">
      <c r="C23">
        <v>1817.9974999999999</v>
      </c>
      <c r="D23">
        <v>187.533318503733</v>
      </c>
      <c r="E23">
        <v>2338.0356869934999</v>
      </c>
      <c r="F23">
        <v>48.178959627636203</v>
      </c>
      <c r="H23">
        <v>0.34431770833333297</v>
      </c>
      <c r="I23">
        <f t="shared" si="0"/>
        <v>1817.9974999999981</v>
      </c>
      <c r="J23">
        <v>126.40641699274801</v>
      </c>
      <c r="K23">
        <v>2180.1331155951598</v>
      </c>
      <c r="L23">
        <v>53.491735143881002</v>
      </c>
      <c r="N23">
        <v>0.34431770833333297</v>
      </c>
      <c r="O23">
        <f t="shared" si="1"/>
        <v>1817.9974999999981</v>
      </c>
      <c r="P23">
        <v>92.828443261372101</v>
      </c>
      <c r="Q23">
        <v>2309.3196677860401</v>
      </c>
      <c r="R23">
        <v>62.219407503630002</v>
      </c>
      <c r="U23">
        <v>1817.9974999999999</v>
      </c>
      <c r="V23">
        <v>158.44798273641558</v>
      </c>
      <c r="W23">
        <v>2169.385820159669</v>
      </c>
      <c r="X23">
        <v>48.673070692922529</v>
      </c>
      <c r="Z23">
        <v>1817.9974999999999</v>
      </c>
      <c r="AA23">
        <v>112.130113106959</v>
      </c>
      <c r="AB23">
        <v>2096.5130655225998</v>
      </c>
      <c r="AC23">
        <v>66.622994687411193</v>
      </c>
      <c r="AE23">
        <v>1817.9974999999999</v>
      </c>
      <c r="AF23">
        <v>83.255107337958805</v>
      </c>
      <c r="AG23">
        <v>2222.5276426639002</v>
      </c>
      <c r="AH23">
        <v>67.002431831886796</v>
      </c>
      <c r="AK23">
        <v>1817.9974999999999</v>
      </c>
      <c r="AL23">
        <v>134.46129092830918</v>
      </c>
      <c r="AM23">
        <v>1817.9974999999999</v>
      </c>
      <c r="AN23">
        <v>1905.1546420580694</v>
      </c>
      <c r="AO23">
        <v>1817.9974999999999</v>
      </c>
      <c r="AP23">
        <v>49.089346576943235</v>
      </c>
      <c r="AR23">
        <v>1817.9974999999999</v>
      </c>
      <c r="AS23">
        <v>100.941403196468</v>
      </c>
      <c r="AT23">
        <v>1817.9974999999999</v>
      </c>
      <c r="AU23">
        <v>2097.73573354582</v>
      </c>
      <c r="AV23">
        <v>1817.9974999999999</v>
      </c>
      <c r="AW23">
        <v>66.843365388299404</v>
      </c>
      <c r="AY23">
        <v>1817.9974999999999</v>
      </c>
      <c r="AZ23">
        <v>76.508365391932799</v>
      </c>
      <c r="BA23">
        <v>1817.9974999999999</v>
      </c>
      <c r="BB23">
        <v>2165.4146872443698</v>
      </c>
      <c r="BC23">
        <v>1817.9974999999999</v>
      </c>
      <c r="BD23">
        <v>67.137088942882798</v>
      </c>
      <c r="BG23" s="19">
        <v>1632.9900000000007</v>
      </c>
      <c r="BH23" s="34">
        <v>1239.2462703284277</v>
      </c>
      <c r="BJ23" s="19">
        <v>1632.9900000000007</v>
      </c>
      <c r="BK23" s="34">
        <v>1215.0017641881259</v>
      </c>
      <c r="BM23" s="19">
        <v>1632.9900000000007</v>
      </c>
      <c r="BN23" s="34">
        <v>40.994495276043899</v>
      </c>
      <c r="BQ23" s="19">
        <v>1632.9900000000007</v>
      </c>
      <c r="BR23" s="34">
        <v>41.093822875249273</v>
      </c>
    </row>
    <row r="24" spans="3:70" x14ac:dyDescent="0.35">
      <c r="C24">
        <v>1892.5125</v>
      </c>
      <c r="D24">
        <v>187.42956650456301</v>
      </c>
      <c r="E24">
        <v>2337.06393423482</v>
      </c>
      <c r="F24">
        <v>48.180913622802798</v>
      </c>
      <c r="H24">
        <v>0.35843039772727298</v>
      </c>
      <c r="I24">
        <f t="shared" si="0"/>
        <v>1892.5125000000014</v>
      </c>
      <c r="J24">
        <v>126.261336993909</v>
      </c>
      <c r="K24">
        <v>2179.51670526316</v>
      </c>
      <c r="L24">
        <v>53.548394760914</v>
      </c>
      <c r="N24">
        <v>0.35843039772727298</v>
      </c>
      <c r="O24">
        <f t="shared" si="1"/>
        <v>1892.5125000000014</v>
      </c>
      <c r="P24">
        <v>92.443081264455003</v>
      </c>
      <c r="Q24">
        <v>2308.6742499090101</v>
      </c>
      <c r="R24">
        <v>62.246507481322801</v>
      </c>
      <c r="U24">
        <v>1892.5124999999975</v>
      </c>
      <c r="V24">
        <v>158.36404873708705</v>
      </c>
      <c r="W24">
        <v>2168.888340762318</v>
      </c>
      <c r="X24">
        <v>48.673826071245685</v>
      </c>
      <c r="Z24">
        <v>1892.5125</v>
      </c>
      <c r="AA24">
        <v>111.92505710859901</v>
      </c>
      <c r="AB24">
        <v>2095.8342889687701</v>
      </c>
      <c r="AC24">
        <v>66.595526384750897</v>
      </c>
      <c r="AE24">
        <v>1892.5125</v>
      </c>
      <c r="AF24">
        <v>82.929991340559795</v>
      </c>
      <c r="AG24">
        <v>2221.8459653555701</v>
      </c>
      <c r="AH24">
        <v>67.001058416753693</v>
      </c>
      <c r="AK24">
        <v>1892.5124999999975</v>
      </c>
      <c r="AL24">
        <v>134.39389892884833</v>
      </c>
      <c r="AM24">
        <v>1892.5124999999975</v>
      </c>
      <c r="AN24">
        <v>1904.652811528963</v>
      </c>
      <c r="AO24">
        <v>1892.5124999999975</v>
      </c>
      <c r="AP24">
        <v>49.090158140430923</v>
      </c>
      <c r="AR24">
        <v>1892.5125</v>
      </c>
      <c r="AS24">
        <v>100.689565198483</v>
      </c>
      <c r="AT24">
        <v>1892.5125</v>
      </c>
      <c r="AU24">
        <v>2097.0555066147499</v>
      </c>
      <c r="AV24">
        <v>1892.5125</v>
      </c>
      <c r="AW24">
        <v>66.821890169855905</v>
      </c>
      <c r="AY24">
        <v>1892.5125</v>
      </c>
      <c r="AZ24">
        <v>76.234513394123596</v>
      </c>
      <c r="BA24">
        <v>1892.5125</v>
      </c>
      <c r="BB24">
        <v>2164.7315595587902</v>
      </c>
      <c r="BC24">
        <v>1892.5125</v>
      </c>
      <c r="BD24">
        <v>67.133468121168505</v>
      </c>
      <c r="BG24" s="19">
        <v>1731.4900000000007</v>
      </c>
      <c r="BH24" s="34">
        <v>1239.1944918605402</v>
      </c>
      <c r="BJ24" s="19">
        <v>1731.4900000000007</v>
      </c>
      <c r="BK24" s="34">
        <v>1214.9454895507579</v>
      </c>
      <c r="BM24" s="19">
        <v>1731.4900000000007</v>
      </c>
      <c r="BN24" s="34">
        <v>40.913851676689042</v>
      </c>
      <c r="BQ24" s="19">
        <v>1731.4900000000007</v>
      </c>
      <c r="BR24" s="34">
        <v>41.050648075594673</v>
      </c>
    </row>
    <row r="25" spans="3:70" x14ac:dyDescent="0.35">
      <c r="C25">
        <v>1967.03</v>
      </c>
      <c r="D25">
        <v>187.325778505393</v>
      </c>
      <c r="E25">
        <v>2336.0501205358501</v>
      </c>
      <c r="F25">
        <v>48.182836403989</v>
      </c>
      <c r="H25">
        <v>0.37254356060606098</v>
      </c>
      <c r="I25">
        <f t="shared" si="0"/>
        <v>1967.030000000002</v>
      </c>
      <c r="J25">
        <v>126.116436995068</v>
      </c>
      <c r="K25">
        <v>2178.8538828591099</v>
      </c>
      <c r="L25">
        <v>53.665809269194597</v>
      </c>
      <c r="N25">
        <v>0.37254356060606098</v>
      </c>
      <c r="O25">
        <f t="shared" si="1"/>
        <v>1967.030000000002</v>
      </c>
      <c r="P25">
        <v>92.061499267507699</v>
      </c>
      <c r="Q25">
        <v>2307.9751680736699</v>
      </c>
      <c r="R25">
        <v>62.326446484860298</v>
      </c>
      <c r="U25">
        <v>1967.029999999997</v>
      </c>
      <c r="V25">
        <v>158.2799707377597</v>
      </c>
      <c r="W25">
        <v>2168.3473500474142</v>
      </c>
      <c r="X25">
        <v>48.675105844437809</v>
      </c>
      <c r="Z25">
        <v>1967.03</v>
      </c>
      <c r="AA25">
        <v>111.06224511550199</v>
      </c>
      <c r="AB25">
        <v>2095.1497109059501</v>
      </c>
      <c r="AC25">
        <v>60.195574177599802</v>
      </c>
      <c r="AE25">
        <v>1967.03</v>
      </c>
      <c r="AF25">
        <v>82.603345343172904</v>
      </c>
      <c r="AG25">
        <v>2221.10482257993</v>
      </c>
      <c r="AH25">
        <v>67.009174051630694</v>
      </c>
      <c r="AK25">
        <v>1967.029999999997</v>
      </c>
      <c r="AL25">
        <v>134.3265789293869</v>
      </c>
      <c r="AM25">
        <v>1967.029999999997</v>
      </c>
      <c r="AN25">
        <v>1904.1074696823039</v>
      </c>
      <c r="AO25">
        <v>1967.029999999997</v>
      </c>
      <c r="AP25">
        <v>49.091007160694964</v>
      </c>
      <c r="AR25">
        <v>1967.03</v>
      </c>
      <c r="AS25">
        <v>98.584573215323104</v>
      </c>
      <c r="AT25">
        <v>1967.03</v>
      </c>
      <c r="AU25">
        <v>2096.3883330789399</v>
      </c>
      <c r="AV25">
        <v>1967.03</v>
      </c>
      <c r="AW25">
        <v>57.723021156429397</v>
      </c>
      <c r="AY25">
        <v>1967.03</v>
      </c>
      <c r="AZ25">
        <v>75.958429396332306</v>
      </c>
      <c r="BA25">
        <v>1967.03</v>
      </c>
      <c r="BB25">
        <v>2163.9889664059001</v>
      </c>
      <c r="BC25">
        <v>1967.03</v>
      </c>
      <c r="BD25">
        <v>67.136589519198097</v>
      </c>
      <c r="BG25" s="19">
        <v>1817.9974999999999</v>
      </c>
      <c r="BH25" s="34">
        <v>1238.9094927305707</v>
      </c>
      <c r="BJ25" s="19">
        <v>1817.9974999999999</v>
      </c>
      <c r="BK25" s="34">
        <v>1214.6562843267584</v>
      </c>
      <c r="BM25" s="19">
        <v>1817.9974999999999</v>
      </c>
      <c r="BN25" s="34">
        <v>40.890485876875971</v>
      </c>
      <c r="BQ25" s="19">
        <v>1817.9974999999999</v>
      </c>
      <c r="BR25" s="34">
        <v>41.029325275765252</v>
      </c>
    </row>
    <row r="26" spans="3:70" x14ac:dyDescent="0.35">
      <c r="C26">
        <v>2041.55</v>
      </c>
      <c r="D26">
        <v>187.22195450622399</v>
      </c>
      <c r="E26">
        <v>2334.9942458965702</v>
      </c>
      <c r="F26">
        <v>48.184721728398799</v>
      </c>
      <c r="H26">
        <v>0.38665719696969703</v>
      </c>
      <c r="I26">
        <f t="shared" si="0"/>
        <v>2041.5500000000002</v>
      </c>
      <c r="J26">
        <v>125.971770996225</v>
      </c>
      <c r="K26">
        <v>2178.14319800575</v>
      </c>
      <c r="L26">
        <v>53.673019698642896</v>
      </c>
      <c r="N26">
        <v>0.38665719696969703</v>
      </c>
      <c r="O26">
        <f t="shared" si="1"/>
        <v>2041.5500000000002</v>
      </c>
      <c r="P26">
        <v>91.684111270526799</v>
      </c>
      <c r="Q26">
        <v>2307.2224222800101</v>
      </c>
      <c r="R26">
        <v>62.329318171047497</v>
      </c>
      <c r="U26">
        <v>2041.549999999997</v>
      </c>
      <c r="V26">
        <v>158.19618073843003</v>
      </c>
      <c r="W26">
        <v>2167.7628480149579</v>
      </c>
      <c r="X26">
        <v>48.676435559998417</v>
      </c>
      <c r="Z26">
        <v>2041.55</v>
      </c>
      <c r="AA26">
        <v>107.74954314200301</v>
      </c>
      <c r="AB26">
        <v>2094.5420028374601</v>
      </c>
      <c r="AC26">
        <v>50.051186651369797</v>
      </c>
      <c r="AE26">
        <v>2041.55</v>
      </c>
      <c r="AF26">
        <v>82.271083345831002</v>
      </c>
      <c r="AG26">
        <v>2220.3056647142098</v>
      </c>
      <c r="AH26">
        <v>67.005178662152801</v>
      </c>
      <c r="AK26">
        <v>2041.549999999997</v>
      </c>
      <c r="AL26">
        <v>134.25951092992344</v>
      </c>
      <c r="AM26">
        <v>2041.549999999997</v>
      </c>
      <c r="AN26">
        <v>1903.5200668953439</v>
      </c>
      <c r="AO26">
        <v>2041.549999999997</v>
      </c>
      <c r="AP26">
        <v>49.091918608919606</v>
      </c>
      <c r="AR26">
        <v>2041.55</v>
      </c>
      <c r="AS26">
        <v>94.019251251845702</v>
      </c>
      <c r="AT26">
        <v>2041.55</v>
      </c>
      <c r="AU26">
        <v>2095.7820753877099</v>
      </c>
      <c r="AV26">
        <v>2041.55</v>
      </c>
      <c r="AW26">
        <v>50.344598066150198</v>
      </c>
      <c r="AY26">
        <v>2041.55</v>
      </c>
      <c r="AZ26">
        <v>75.676981398583905</v>
      </c>
      <c r="BA26">
        <v>2041.55</v>
      </c>
      <c r="BB26">
        <v>2163.1898085401799</v>
      </c>
      <c r="BC26">
        <v>2041.55</v>
      </c>
      <c r="BD26">
        <v>67.131532854390102</v>
      </c>
      <c r="BG26" s="19">
        <v>1892.5124999999975</v>
      </c>
      <c r="BH26" s="34">
        <v>1238.390982863069</v>
      </c>
      <c r="BJ26" s="19">
        <v>1892.5124999999975</v>
      </c>
      <c r="BK26" s="34">
        <v>1214.1341485161272</v>
      </c>
      <c r="BM26" s="19">
        <v>1892.5124999999975</v>
      </c>
      <c r="BN26" s="34">
        <v>40.881197876950274</v>
      </c>
      <c r="BQ26" s="19">
        <v>1892.5124999999975</v>
      </c>
      <c r="BR26" s="34">
        <v>41.019826675841244</v>
      </c>
    </row>
    <row r="27" spans="3:70" x14ac:dyDescent="0.35">
      <c r="C27">
        <v>2116.0700000000002</v>
      </c>
      <c r="D27">
        <v>187.11823850705301</v>
      </c>
      <c r="E27">
        <v>2333.9441727663002</v>
      </c>
      <c r="F27">
        <v>48.186600810012699</v>
      </c>
      <c r="H27">
        <v>0.40077083333333302</v>
      </c>
      <c r="I27">
        <f t="shared" si="0"/>
        <v>2116.0699999999983</v>
      </c>
      <c r="J27">
        <v>125.82741099738</v>
      </c>
      <c r="K27">
        <v>2177.43976503865</v>
      </c>
      <c r="L27">
        <v>53.6594853167867</v>
      </c>
      <c r="N27">
        <v>0.40077083333333302</v>
      </c>
      <c r="O27">
        <f t="shared" si="1"/>
        <v>2116.0699999999983</v>
      </c>
      <c r="P27">
        <v>91.310827273513098</v>
      </c>
      <c r="Q27">
        <v>2306.47692837261</v>
      </c>
      <c r="R27">
        <v>62.321583346730201</v>
      </c>
      <c r="U27">
        <v>2116.069999999997</v>
      </c>
      <c r="V27">
        <v>158.11262473909846</v>
      </c>
      <c r="W27">
        <v>2167.1870482460117</v>
      </c>
      <c r="X27">
        <v>48.677933831052613</v>
      </c>
      <c r="Z27">
        <v>2116.0700000000002</v>
      </c>
      <c r="AA27">
        <v>107.610619143115</v>
      </c>
      <c r="AB27">
        <v>2093.9531496732502</v>
      </c>
      <c r="AC27">
        <v>50.084354626832102</v>
      </c>
      <c r="AE27">
        <v>2116.0700000000002</v>
      </c>
      <c r="AF27">
        <v>81.940477348475895</v>
      </c>
      <c r="AG27">
        <v>2219.5166594892598</v>
      </c>
      <c r="AH27">
        <v>67.002993683532097</v>
      </c>
      <c r="AK27">
        <v>2116.069999999997</v>
      </c>
      <c r="AL27">
        <v>134.19265893045826</v>
      </c>
      <c r="AM27">
        <v>2116.069999999997</v>
      </c>
      <c r="AN27">
        <v>1902.9399159946427</v>
      </c>
      <c r="AO27">
        <v>2116.069999999997</v>
      </c>
      <c r="AP27">
        <v>49.092929941881188</v>
      </c>
      <c r="AR27">
        <v>2116.0700000000002</v>
      </c>
      <c r="AS27">
        <v>93.9111612527104</v>
      </c>
      <c r="AT27">
        <v>2116.0700000000002</v>
      </c>
      <c r="AU27">
        <v>2095.1888710917401</v>
      </c>
      <c r="AV27">
        <v>2116.0700000000002</v>
      </c>
      <c r="AW27">
        <v>50.362227722221299</v>
      </c>
      <c r="AY27">
        <v>2116.0700000000002</v>
      </c>
      <c r="AZ27">
        <v>75.396883400824706</v>
      </c>
      <c r="BA27">
        <v>2116.0700000000002</v>
      </c>
      <c r="BB27">
        <v>2162.39935293798</v>
      </c>
      <c r="BC27">
        <v>2116.0700000000002</v>
      </c>
      <c r="BD27">
        <v>67.128848452084696</v>
      </c>
      <c r="BG27" s="19">
        <v>1967.029999999997</v>
      </c>
      <c r="BH27" s="34">
        <v>1237.8283815271141</v>
      </c>
      <c r="BJ27" s="19">
        <v>1967.029999999997</v>
      </c>
      <c r="BK27" s="34">
        <v>1213.5679212370428</v>
      </c>
      <c r="BM27" s="19">
        <v>1967.029999999997</v>
      </c>
      <c r="BN27" s="34">
        <v>40.877857076977001</v>
      </c>
      <c r="BQ27" s="19">
        <v>1967.029999999997</v>
      </c>
      <c r="BR27" s="34">
        <v>41.016073675871269</v>
      </c>
    </row>
    <row r="28" spans="3:70" x14ac:dyDescent="0.35">
      <c r="C28">
        <v>2190.59</v>
      </c>
      <c r="D28">
        <v>187.014594507883</v>
      </c>
      <c r="E28">
        <v>2332.90135152229</v>
      </c>
      <c r="F28">
        <v>48.188548562383097</v>
      </c>
      <c r="H28">
        <v>0.41488446969697002</v>
      </c>
      <c r="I28">
        <f t="shared" si="0"/>
        <v>2190.5900000000015</v>
      </c>
      <c r="J28">
        <v>125.683338998533</v>
      </c>
      <c r="K28">
        <v>2176.7435839578102</v>
      </c>
      <c r="L28">
        <v>53.665815511990701</v>
      </c>
      <c r="N28">
        <v>0.41488446969697002</v>
      </c>
      <c r="O28">
        <f t="shared" si="1"/>
        <v>2190.5900000000015</v>
      </c>
      <c r="P28">
        <v>90.941071276471106</v>
      </c>
      <c r="Q28">
        <v>2305.7401367287198</v>
      </c>
      <c r="R28">
        <v>62.3267711102554</v>
      </c>
      <c r="U28">
        <v>2190.5899999999974</v>
      </c>
      <c r="V28">
        <v>158.02887073976851</v>
      </c>
      <c r="W28">
        <v>2166.6170499860727</v>
      </c>
      <c r="X28">
        <v>48.679244818225037</v>
      </c>
      <c r="Z28">
        <v>2190.59</v>
      </c>
      <c r="AA28">
        <v>107.49824514401401</v>
      </c>
      <c r="AB28">
        <v>2093.3700980180502</v>
      </c>
      <c r="AC28">
        <v>50.070389492047802</v>
      </c>
      <c r="AE28">
        <v>2190.59</v>
      </c>
      <c r="AF28">
        <v>81.610393351116599</v>
      </c>
      <c r="AG28">
        <v>2218.7363565278101</v>
      </c>
      <c r="AH28">
        <v>67.002494259847396</v>
      </c>
      <c r="AK28">
        <v>2190.5899999999974</v>
      </c>
      <c r="AL28">
        <v>134.12560893099464</v>
      </c>
      <c r="AM28">
        <v>2190.5899999999974</v>
      </c>
      <c r="AN28">
        <v>1902.3655666029485</v>
      </c>
      <c r="AO28">
        <v>2190.5899999999974</v>
      </c>
      <c r="AP28">
        <v>49.09384139010583</v>
      </c>
      <c r="AR28">
        <v>2190.59</v>
      </c>
      <c r="AS28">
        <v>93.820207253437999</v>
      </c>
      <c r="AT28">
        <v>2190.59</v>
      </c>
      <c r="AU28">
        <v>2094.6029186820401</v>
      </c>
      <c r="AV28">
        <v>2190.59</v>
      </c>
      <c r="AW28">
        <v>50.3519895366843</v>
      </c>
      <c r="AY28">
        <v>2190.59</v>
      </c>
      <c r="AZ28">
        <v>75.117649403058493</v>
      </c>
      <c r="BA28">
        <v>2190.59</v>
      </c>
      <c r="BB28">
        <v>2161.6175995992799</v>
      </c>
      <c r="BC28">
        <v>2190.59</v>
      </c>
      <c r="BD28">
        <v>67.124103927079702</v>
      </c>
      <c r="BG28" s="19">
        <v>2041.549999999997</v>
      </c>
      <c r="BH28" s="34">
        <v>1237.2213986472555</v>
      </c>
      <c r="BJ28" s="19">
        <v>2041.549999999997</v>
      </c>
      <c r="BK28" s="34">
        <v>1212.957312414055</v>
      </c>
      <c r="BM28" s="19">
        <v>2041.549999999997</v>
      </c>
      <c r="BN28" s="34">
        <v>40.87665287698664</v>
      </c>
      <c r="BQ28" s="19">
        <v>2041.549999999997</v>
      </c>
      <c r="BR28" s="34">
        <v>41.014514875883741</v>
      </c>
    </row>
    <row r="29" spans="3:70" x14ac:dyDescent="0.35">
      <c r="C29">
        <v>2265.12</v>
      </c>
      <c r="D29">
        <v>186.91071650871399</v>
      </c>
      <c r="E29">
        <v>2331.7294467028801</v>
      </c>
      <c r="F29">
        <v>48.1904089156087</v>
      </c>
      <c r="H29">
        <v>0.42899999999999999</v>
      </c>
      <c r="I29">
        <f t="shared" si="0"/>
        <v>2265.12</v>
      </c>
      <c r="J29">
        <v>125.539338999685</v>
      </c>
      <c r="K29">
        <v>2175.90381552905</v>
      </c>
      <c r="L29">
        <v>53.938994024743302</v>
      </c>
      <c r="N29">
        <v>0.42899999999999999</v>
      </c>
      <c r="O29">
        <f t="shared" si="1"/>
        <v>2265.12</v>
      </c>
      <c r="P29">
        <v>90.574411279404401</v>
      </c>
      <c r="Q29">
        <v>2304.8380020781301</v>
      </c>
      <c r="R29">
        <v>62.468289054120397</v>
      </c>
      <c r="U29">
        <v>2265.1199999999972</v>
      </c>
      <c r="V29">
        <v>157.94439674044429</v>
      </c>
      <c r="W29">
        <v>2165.917968150728</v>
      </c>
      <c r="X29">
        <v>48.680043896120608</v>
      </c>
      <c r="Z29">
        <v>2265.12</v>
      </c>
      <c r="AA29">
        <v>107.387563144899</v>
      </c>
      <c r="AB29">
        <v>2092.6550620329299</v>
      </c>
      <c r="AC29">
        <v>50.085497058510903</v>
      </c>
      <c r="AE29">
        <v>2265.12</v>
      </c>
      <c r="AF29">
        <v>81.287527353699502</v>
      </c>
      <c r="AG29">
        <v>2217.7776571644099</v>
      </c>
      <c r="AH29">
        <v>67.026154456911598</v>
      </c>
      <c r="AK29">
        <v>2265.1199999999972</v>
      </c>
      <c r="AL29">
        <v>134.05800093153553</v>
      </c>
      <c r="AM29">
        <v>2265.1199999999972</v>
      </c>
      <c r="AN29">
        <v>1901.6606832585967</v>
      </c>
      <c r="AO29">
        <v>2265.1199999999972</v>
      </c>
      <c r="AP29">
        <v>49.094421970139322</v>
      </c>
      <c r="AR29">
        <v>2265.12</v>
      </c>
      <c r="AS29">
        <v>93.732043254143306</v>
      </c>
      <c r="AT29">
        <v>2265.12</v>
      </c>
      <c r="AU29">
        <v>2093.88353156517</v>
      </c>
      <c r="AV29">
        <v>2265.12</v>
      </c>
      <c r="AW29">
        <v>50.364000676302098</v>
      </c>
      <c r="AY29">
        <v>2265.12</v>
      </c>
      <c r="AZ29">
        <v>74.845723405233997</v>
      </c>
      <c r="BA29">
        <v>2265.12</v>
      </c>
      <c r="BB29">
        <v>2160.6589002358701</v>
      </c>
      <c r="BC29">
        <v>2265.12</v>
      </c>
      <c r="BD29">
        <v>67.137276226764598</v>
      </c>
      <c r="BG29" s="19">
        <v>2116.069999999997</v>
      </c>
      <c r="BH29" s="34">
        <v>1236.6215226159304</v>
      </c>
      <c r="BJ29" s="19">
        <v>2116.069999999997</v>
      </c>
      <c r="BK29" s="34">
        <v>1212.3538104396005</v>
      </c>
      <c r="BM29" s="19">
        <v>2116.069999999997</v>
      </c>
      <c r="BN29" s="34">
        <v>40.876139876990742</v>
      </c>
      <c r="BQ29" s="19">
        <v>2116.069999999997</v>
      </c>
      <c r="BR29" s="34">
        <v>41.013722875890075</v>
      </c>
    </row>
    <row r="30" spans="3:70" x14ac:dyDescent="0.35">
      <c r="C30">
        <v>2339.66</v>
      </c>
      <c r="D30">
        <v>186.806586509547</v>
      </c>
      <c r="E30">
        <v>2330.4313590625602</v>
      </c>
      <c r="F30">
        <v>48.192144412913201</v>
      </c>
      <c r="H30">
        <v>0.44311742424242401</v>
      </c>
      <c r="I30">
        <f t="shared" si="0"/>
        <v>2339.6599999999989</v>
      </c>
      <c r="J30">
        <v>125.39548300083599</v>
      </c>
      <c r="K30">
        <v>2174.9175589978499</v>
      </c>
      <c r="L30">
        <v>53.943164212510901</v>
      </c>
      <c r="N30">
        <v>0.44311742424242401</v>
      </c>
      <c r="O30">
        <f t="shared" si="1"/>
        <v>2339.6599999999989</v>
      </c>
      <c r="P30">
        <v>90.210433282316203</v>
      </c>
      <c r="Q30">
        <v>2303.7690740435801</v>
      </c>
      <c r="R30">
        <v>62.4658543636574</v>
      </c>
      <c r="U30">
        <v>2339.6599999999971</v>
      </c>
      <c r="V30">
        <v>157.8605167411153</v>
      </c>
      <c r="W30">
        <v>2165.0883523627253</v>
      </c>
      <c r="X30">
        <v>48.681267484148201</v>
      </c>
      <c r="Z30">
        <v>2339.66</v>
      </c>
      <c r="AA30">
        <v>107.270023145839</v>
      </c>
      <c r="AB30">
        <v>2091.8080417179099</v>
      </c>
      <c r="AC30">
        <v>50.087238798611402</v>
      </c>
      <c r="AE30">
        <v>2339.66</v>
      </c>
      <c r="AF30">
        <v>80.955409356356398</v>
      </c>
      <c r="AG30">
        <v>2216.64346215353</v>
      </c>
      <c r="AH30">
        <v>67.018350961837598</v>
      </c>
      <c r="AK30">
        <v>2339.6599999999971</v>
      </c>
      <c r="AL30">
        <v>133.99107693207094</v>
      </c>
      <c r="AM30">
        <v>2339.6599999999971</v>
      </c>
      <c r="AN30">
        <v>1900.8267163388387</v>
      </c>
      <c r="AO30">
        <v>2339.6599999999971</v>
      </c>
      <c r="AP30">
        <v>49.095221048034894</v>
      </c>
      <c r="AR30">
        <v>2339.66</v>
      </c>
      <c r="AS30">
        <v>93.638101254894906</v>
      </c>
      <c r="AT30">
        <v>2339.66</v>
      </c>
      <c r="AU30">
        <v>2093.03216011839</v>
      </c>
      <c r="AV30">
        <v>2339.66</v>
      </c>
      <c r="AW30">
        <v>50.365386577027202</v>
      </c>
      <c r="AY30">
        <v>2339.66</v>
      </c>
      <c r="AZ30">
        <v>74.564059407487306</v>
      </c>
      <c r="BA30">
        <v>2339.66</v>
      </c>
      <c r="BB30">
        <v>2159.5218044704998</v>
      </c>
      <c r="BC30">
        <v>2339.66</v>
      </c>
      <c r="BD30">
        <v>67.132906269523204</v>
      </c>
      <c r="BG30" s="19">
        <v>2190.5899999999974</v>
      </c>
      <c r="BH30" s="34">
        <v>1236.0287534331392</v>
      </c>
      <c r="BJ30" s="19">
        <v>2190.5899999999974</v>
      </c>
      <c r="BK30" s="34">
        <v>1211.7574153136798</v>
      </c>
      <c r="BM30" s="19">
        <v>2190.5899999999974</v>
      </c>
      <c r="BN30" s="34">
        <v>40.875824876993264</v>
      </c>
      <c r="BQ30" s="19">
        <v>2190.5899999999974</v>
      </c>
      <c r="BR30" s="34">
        <v>41.013236875893959</v>
      </c>
    </row>
    <row r="31" spans="3:70" x14ac:dyDescent="0.35">
      <c r="C31">
        <v>2414.1849999999999</v>
      </c>
      <c r="D31">
        <v>186.702978510376</v>
      </c>
      <c r="E31">
        <v>2329.3551791417599</v>
      </c>
      <c r="F31">
        <v>48.193804996664902</v>
      </c>
      <c r="H31">
        <v>0.45723200757575799</v>
      </c>
      <c r="I31">
        <f t="shared" si="0"/>
        <v>2414.1850000000022</v>
      </c>
      <c r="J31">
        <v>125.252293001981</v>
      </c>
      <c r="K31">
        <v>2174.1822177312201</v>
      </c>
      <c r="L31">
        <v>53.409105495242002</v>
      </c>
      <c r="N31">
        <v>0.45723200757575799</v>
      </c>
      <c r="O31">
        <f t="shared" si="1"/>
        <v>2414.1850000000022</v>
      </c>
      <c r="P31">
        <v>89.849065285207203</v>
      </c>
      <c r="Q31">
        <v>2302.9902214593899</v>
      </c>
      <c r="R31">
        <v>62.101574728013397</v>
      </c>
      <c r="U31">
        <v>2414.1849999999972</v>
      </c>
      <c r="V31">
        <v>157.77825674177342</v>
      </c>
      <c r="W31">
        <v>2164.4849954259962</v>
      </c>
      <c r="X31">
        <v>48.683514890729498</v>
      </c>
      <c r="Z31">
        <v>2414.1849999999999</v>
      </c>
      <c r="AA31">
        <v>107.152285146781</v>
      </c>
      <c r="AB31">
        <v>2091.1916313859101</v>
      </c>
      <c r="AC31">
        <v>50.090222855127699</v>
      </c>
      <c r="AE31">
        <v>2414.1849999999999</v>
      </c>
      <c r="AF31">
        <v>80.613679359090298</v>
      </c>
      <c r="AG31">
        <v>2215.81674712004</v>
      </c>
      <c r="AH31">
        <v>66.963601640398807</v>
      </c>
      <c r="AK31">
        <v>2414.1849999999972</v>
      </c>
      <c r="AL31">
        <v>133.92543093259607</v>
      </c>
      <c r="AM31">
        <v>2414.1849999999972</v>
      </c>
      <c r="AN31">
        <v>1900.2190082703542</v>
      </c>
      <c r="AO31">
        <v>2414.1849999999972</v>
      </c>
      <c r="AP31">
        <v>49.096650648332449</v>
      </c>
      <c r="AR31">
        <v>2414.1849999999999</v>
      </c>
      <c r="AS31">
        <v>93.544249255645695</v>
      </c>
      <c r="AT31">
        <v>2414.1849999999999</v>
      </c>
      <c r="AU31">
        <v>2092.4113986546399</v>
      </c>
      <c r="AV31">
        <v>2414.1849999999999</v>
      </c>
      <c r="AW31">
        <v>50.367446699726699</v>
      </c>
      <c r="AY31">
        <v>2414.1849999999999</v>
      </c>
      <c r="AZ31">
        <v>74.272117409822798</v>
      </c>
      <c r="BA31">
        <v>2414.1849999999999</v>
      </c>
      <c r="BB31">
        <v>2158.6950894370002</v>
      </c>
      <c r="BC31">
        <v>2414.1849999999999</v>
      </c>
      <c r="BD31">
        <v>67.094013650074601</v>
      </c>
      <c r="BG31" s="19">
        <v>2265.1199999999972</v>
      </c>
      <c r="BH31" s="34">
        <v>1235.3015342791102</v>
      </c>
      <c r="BJ31" s="19">
        <v>2265.1199999999972</v>
      </c>
      <c r="BK31" s="34">
        <v>1211.0264251787962</v>
      </c>
      <c r="BM31" s="19">
        <v>2265.1199999999972</v>
      </c>
      <c r="BN31" s="34">
        <v>40.875623276994872</v>
      </c>
      <c r="BQ31" s="19">
        <v>2265.1199999999972</v>
      </c>
      <c r="BR31" s="34">
        <v>41.012837275897155</v>
      </c>
    </row>
    <row r="32" spans="3:70" x14ac:dyDescent="0.35">
      <c r="C32">
        <v>2488.6950000000002</v>
      </c>
      <c r="D32">
        <v>186.59973051120099</v>
      </c>
      <c r="E32">
        <v>2328.50235731773</v>
      </c>
      <c r="F32">
        <v>48.195833905384099</v>
      </c>
      <c r="H32">
        <v>0.47134375000000001</v>
      </c>
      <c r="I32">
        <f t="shared" si="0"/>
        <v>2488.6950000000002</v>
      </c>
      <c r="J32">
        <v>125.109625003123</v>
      </c>
      <c r="K32">
        <v>2173.7006924836301</v>
      </c>
      <c r="L32">
        <v>53.388073515318702</v>
      </c>
      <c r="N32">
        <v>0.47134375000000001</v>
      </c>
      <c r="O32">
        <f t="shared" si="1"/>
        <v>2488.6950000000002</v>
      </c>
      <c r="P32">
        <v>89.490001288079696</v>
      </c>
      <c r="Q32">
        <v>2302.4999939483</v>
      </c>
      <c r="R32">
        <v>62.1063629525908</v>
      </c>
      <c r="U32">
        <v>2488.694999999997</v>
      </c>
      <c r="V32">
        <v>157.69507874243885</v>
      </c>
      <c r="W32">
        <v>2164.1078973405401</v>
      </c>
      <c r="X32">
        <v>48.685231659645773</v>
      </c>
      <c r="Z32">
        <v>2488.6950000000002</v>
      </c>
      <c r="AA32">
        <v>107.05130514758901</v>
      </c>
      <c r="AB32">
        <v>2090.8058310369502</v>
      </c>
      <c r="AC32">
        <v>50.077643621068503</v>
      </c>
      <c r="AE32">
        <v>2488.6950000000002</v>
      </c>
      <c r="AF32">
        <v>80.297311361621198</v>
      </c>
      <c r="AG32">
        <v>2215.3004128184102</v>
      </c>
      <c r="AH32">
        <v>66.954986581837204</v>
      </c>
      <c r="AK32">
        <v>2488.694999999997</v>
      </c>
      <c r="AL32">
        <v>133.85879493312916</v>
      </c>
      <c r="AM32">
        <v>2488.694999999997</v>
      </c>
      <c r="AN32">
        <v>1899.839009430395</v>
      </c>
      <c r="AO32">
        <v>2488.694999999997</v>
      </c>
      <c r="AP32">
        <v>49.097849265175803</v>
      </c>
      <c r="AR32">
        <v>2488.6950000000002</v>
      </c>
      <c r="AS32">
        <v>93.462529256299405</v>
      </c>
      <c r="AT32">
        <v>2488.6950000000002</v>
      </c>
      <c r="AU32">
        <v>2092.02414792842</v>
      </c>
      <c r="AV32">
        <v>2488.6950000000002</v>
      </c>
      <c r="AW32">
        <v>50.358188633170997</v>
      </c>
      <c r="AY32">
        <v>2488.6950000000002</v>
      </c>
      <c r="AZ32">
        <v>73.999813412001203</v>
      </c>
      <c r="BA32">
        <v>2488.6950000000002</v>
      </c>
      <c r="BB32">
        <v>2158.17730475812</v>
      </c>
      <c r="BC32">
        <v>2488.6950000000002</v>
      </c>
      <c r="BD32">
        <v>67.088894557306105</v>
      </c>
      <c r="BG32" s="19">
        <v>2339.6599999999971</v>
      </c>
      <c r="BH32" s="34">
        <v>1234.4398651538438</v>
      </c>
      <c r="BJ32" s="19">
        <v>2339.6599999999971</v>
      </c>
      <c r="BK32" s="34">
        <v>1210.1611301104006</v>
      </c>
      <c r="BM32" s="19">
        <v>2339.6599999999971</v>
      </c>
      <c r="BN32" s="34">
        <v>40.875472076996083</v>
      </c>
      <c r="BQ32" s="19">
        <v>2339.6599999999971</v>
      </c>
      <c r="BR32" s="34">
        <v>41.012335075901177</v>
      </c>
    </row>
    <row r="33" spans="3:70" x14ac:dyDescent="0.35">
      <c r="C33">
        <v>2563.21</v>
      </c>
      <c r="D33">
        <v>186.496320512029</v>
      </c>
      <c r="E33">
        <v>2327.5596121040899</v>
      </c>
      <c r="F33">
        <v>48.1978066289388</v>
      </c>
      <c r="H33">
        <v>0.48545643939394001</v>
      </c>
      <c r="I33">
        <f t="shared" si="0"/>
        <v>2563.2100000000032</v>
      </c>
      <c r="J33">
        <v>124.966993004264</v>
      </c>
      <c r="K33">
        <v>2173.11764082843</v>
      </c>
      <c r="L33">
        <v>53.645807350620998</v>
      </c>
      <c r="N33">
        <v>0.48545643939394001</v>
      </c>
      <c r="O33">
        <f t="shared" si="1"/>
        <v>2563.2100000000032</v>
      </c>
      <c r="P33">
        <v>89.133097290934899</v>
      </c>
      <c r="Q33">
        <v>2301.89373625707</v>
      </c>
      <c r="R33">
        <v>62.328544064336199</v>
      </c>
      <c r="U33">
        <v>2563.2099999999973</v>
      </c>
      <c r="V33">
        <v>157.61071274311374</v>
      </c>
      <c r="W33">
        <v>2163.6394254882243</v>
      </c>
      <c r="X33">
        <v>48.685999523561044</v>
      </c>
      <c r="Z33">
        <v>2563.21</v>
      </c>
      <c r="AA33">
        <v>106.94497914844</v>
      </c>
      <c r="AB33">
        <v>2090.3257561666201</v>
      </c>
      <c r="AC33">
        <v>50.092576389241998</v>
      </c>
      <c r="AE33">
        <v>2563.21</v>
      </c>
      <c r="AF33">
        <v>79.983481364131904</v>
      </c>
      <c r="AG33">
        <v>2214.6578956958901</v>
      </c>
      <c r="AH33">
        <v>66.983953155551703</v>
      </c>
      <c r="AK33">
        <v>2563.2099999999973</v>
      </c>
      <c r="AL33">
        <v>133.79109693367076</v>
      </c>
      <c r="AM33">
        <v>2563.2099999999973</v>
      </c>
      <c r="AN33">
        <v>1899.3676368235754</v>
      </c>
      <c r="AO33">
        <v>2563.2099999999973</v>
      </c>
      <c r="AP33">
        <v>49.098461059189603</v>
      </c>
      <c r="AR33">
        <v>2563.21</v>
      </c>
      <c r="AS33">
        <v>93.377353256980797</v>
      </c>
      <c r="AT33">
        <v>2563.21</v>
      </c>
      <c r="AU33">
        <v>2091.54117230359</v>
      </c>
      <c r="AV33">
        <v>2563.21</v>
      </c>
      <c r="AW33">
        <v>50.3694506372617</v>
      </c>
      <c r="AY33">
        <v>2563.21</v>
      </c>
      <c r="AZ33">
        <v>73.614487415083801</v>
      </c>
      <c r="BA33">
        <v>2563.21</v>
      </c>
      <c r="BB33">
        <v>2157.5362380128499</v>
      </c>
      <c r="BC33">
        <v>2563.21</v>
      </c>
      <c r="BD33">
        <v>66.830193088614607</v>
      </c>
      <c r="BG33" s="19">
        <v>2414.1849999999972</v>
      </c>
      <c r="BH33" s="34">
        <v>1233.8125769924607</v>
      </c>
      <c r="BJ33" s="19">
        <v>2414.1849999999972</v>
      </c>
      <c r="BK33" s="34">
        <v>1209.5300709681628</v>
      </c>
      <c r="BM33" s="19">
        <v>2414.1849999999972</v>
      </c>
      <c r="BN33" s="34">
        <v>40.875205676998213</v>
      </c>
      <c r="BQ33" s="19">
        <v>2414.1849999999972</v>
      </c>
      <c r="BR33" s="34">
        <v>41.011892275904721</v>
      </c>
    </row>
    <row r="34" spans="3:70" x14ac:dyDescent="0.35">
      <c r="C34">
        <v>2637.73</v>
      </c>
      <c r="D34">
        <v>186.392748512857</v>
      </c>
      <c r="E34">
        <v>2326.5269435008399</v>
      </c>
      <c r="F34">
        <v>48.1996857105526</v>
      </c>
      <c r="H34">
        <v>0.499570075757576</v>
      </c>
      <c r="I34">
        <f t="shared" si="0"/>
        <v>2637.7300000000014</v>
      </c>
      <c r="J34">
        <v>124.824307005405</v>
      </c>
      <c r="K34">
        <v>2172.43161238835</v>
      </c>
      <c r="L34">
        <v>53.651251068784603</v>
      </c>
      <c r="N34">
        <v>0.499570075757576</v>
      </c>
      <c r="O34">
        <f t="shared" si="1"/>
        <v>2637.7300000000014</v>
      </c>
      <c r="P34">
        <v>88.778335293772997</v>
      </c>
      <c r="Q34">
        <v>2301.1714483856999</v>
      </c>
      <c r="R34">
        <v>62.321383577256299</v>
      </c>
      <c r="U34">
        <v>2637.7299999999973</v>
      </c>
      <c r="V34">
        <v>157.52704874378304</v>
      </c>
      <c r="W34">
        <v>2163.0795798690474</v>
      </c>
      <c r="X34">
        <v>48.687229354384698</v>
      </c>
      <c r="Z34">
        <v>2637.73</v>
      </c>
      <c r="AA34">
        <v>106.825909149392</v>
      </c>
      <c r="AB34">
        <v>2089.7543075294302</v>
      </c>
      <c r="AC34">
        <v>50.094149573848902</v>
      </c>
      <c r="AE34">
        <v>2637.73</v>
      </c>
      <c r="AF34">
        <v>78.796255373629705</v>
      </c>
      <c r="AG34">
        <v>2213.9733176330601</v>
      </c>
      <c r="AH34">
        <v>54.144762825649202</v>
      </c>
      <c r="AK34">
        <v>2637.7299999999973</v>
      </c>
      <c r="AL34">
        <v>133.7241549342063</v>
      </c>
      <c r="AM34">
        <v>2637.7299999999973</v>
      </c>
      <c r="AN34">
        <v>1898.8034400726433</v>
      </c>
      <c r="AO34">
        <v>2637.7299999999973</v>
      </c>
      <c r="AP34">
        <v>49.099322565045767</v>
      </c>
      <c r="AR34">
        <v>2637.73</v>
      </c>
      <c r="AS34">
        <v>93.282043257743297</v>
      </c>
      <c r="AT34">
        <v>2637.73</v>
      </c>
      <c r="AU34">
        <v>2090.9668229118902</v>
      </c>
      <c r="AV34">
        <v>2637.73</v>
      </c>
      <c r="AW34">
        <v>50.370724167657798</v>
      </c>
      <c r="AY34">
        <v>2637.73</v>
      </c>
      <c r="AZ34">
        <v>71.184811434521293</v>
      </c>
      <c r="BA34">
        <v>2637.73</v>
      </c>
      <c r="BB34">
        <v>2156.86761409979</v>
      </c>
      <c r="BC34">
        <v>2637.73</v>
      </c>
      <c r="BD34">
        <v>52.2115873839901</v>
      </c>
      <c r="BG34" s="19">
        <v>2488.694999999997</v>
      </c>
      <c r="BH34" s="34">
        <v>1233.4195247572356</v>
      </c>
      <c r="BJ34" s="19">
        <v>2488.694999999997</v>
      </c>
      <c r="BK34" s="34">
        <v>1209.1333927898083</v>
      </c>
      <c r="BM34" s="19">
        <v>2488.694999999997</v>
      </c>
      <c r="BN34" s="34">
        <v>40.874798877001467</v>
      </c>
      <c r="BQ34" s="19">
        <v>2488.694999999997</v>
      </c>
      <c r="BR34" s="34">
        <v>41.011325275909257</v>
      </c>
    </row>
    <row r="35" spans="3:70" x14ac:dyDescent="0.35">
      <c r="C35">
        <v>2712.2424999999998</v>
      </c>
      <c r="D35">
        <v>186.28968051368199</v>
      </c>
      <c r="E35">
        <v>2325.6494652635301</v>
      </c>
      <c r="F35">
        <v>48.201514849798002</v>
      </c>
      <c r="H35">
        <v>0.51368229166666701</v>
      </c>
      <c r="I35">
        <f t="shared" si="0"/>
        <v>2712.2425000000017</v>
      </c>
      <c r="J35">
        <v>124.68210700654301</v>
      </c>
      <c r="K35">
        <v>2171.9196292184802</v>
      </c>
      <c r="L35">
        <v>53.172309997922099</v>
      </c>
      <c r="N35">
        <v>0.51368229166666701</v>
      </c>
      <c r="O35">
        <f t="shared" si="1"/>
        <v>2712.2425000000017</v>
      </c>
      <c r="P35">
        <v>88.426003296591702</v>
      </c>
      <c r="Q35">
        <v>2300.6493125750599</v>
      </c>
      <c r="R35">
        <v>61.784759070807198</v>
      </c>
      <c r="U35">
        <v>2712.242499999998</v>
      </c>
      <c r="V35">
        <v>157.44471674444171</v>
      </c>
      <c r="W35">
        <v>2162.6763749930601</v>
      </c>
      <c r="X35">
        <v>48.689164621163037</v>
      </c>
      <c r="Z35">
        <v>2712.2424999999998</v>
      </c>
      <c r="AA35">
        <v>106.70489515036</v>
      </c>
      <c r="AB35">
        <v>2089.3424003899299</v>
      </c>
      <c r="AC35">
        <v>50.096765305397703</v>
      </c>
      <c r="AE35">
        <v>2712.2424999999998</v>
      </c>
      <c r="AF35">
        <v>77.513809383889296</v>
      </c>
      <c r="AG35">
        <v>2213.5382044575299</v>
      </c>
      <c r="AH35">
        <v>50.694606670002997</v>
      </c>
      <c r="AK35">
        <v>2712.242499999998</v>
      </c>
      <c r="AL35">
        <v>133.65818493473404</v>
      </c>
      <c r="AM35">
        <v>2712.242499999998</v>
      </c>
      <c r="AN35">
        <v>1898.3987848194042</v>
      </c>
      <c r="AO35">
        <v>2712.242499999998</v>
      </c>
      <c r="AP35">
        <v>49.100646037810307</v>
      </c>
      <c r="AR35">
        <v>2712.2424999999998</v>
      </c>
      <c r="AS35">
        <v>93.185599258514898</v>
      </c>
      <c r="AT35">
        <v>2712.2424999999998</v>
      </c>
      <c r="AU35">
        <v>2090.55201501789</v>
      </c>
      <c r="AV35">
        <v>2712.2424999999998</v>
      </c>
      <c r="AW35">
        <v>50.372659434436102</v>
      </c>
      <c r="AY35">
        <v>2712.2424999999998</v>
      </c>
      <c r="AZ35">
        <v>69.807091445542994</v>
      </c>
      <c r="BA35">
        <v>2712.2424999999998</v>
      </c>
      <c r="BB35">
        <v>2156.44265356503</v>
      </c>
      <c r="BC35">
        <v>2712.2424999999998</v>
      </c>
      <c r="BD35">
        <v>50.852156114147903</v>
      </c>
      <c r="BG35" s="19">
        <v>2563.2099999999973</v>
      </c>
      <c r="BH35" s="34">
        <v>1232.9320529629215</v>
      </c>
      <c r="BJ35" s="19">
        <v>2563.2099999999973</v>
      </c>
      <c r="BK35" s="34">
        <v>1208.6421500146396</v>
      </c>
      <c r="BM35" s="19">
        <v>2563.2099999999973</v>
      </c>
      <c r="BN35" s="34">
        <v>40.874365077004938</v>
      </c>
      <c r="BQ35" s="19">
        <v>2563.2099999999973</v>
      </c>
      <c r="BR35" s="34">
        <v>41.01054587591549</v>
      </c>
    </row>
    <row r="36" spans="3:70" x14ac:dyDescent="0.35">
      <c r="C36">
        <v>2786.7474999999999</v>
      </c>
      <c r="D36">
        <v>186.18704451450299</v>
      </c>
      <c r="E36">
        <v>2324.92862776941</v>
      </c>
      <c r="F36">
        <v>48.203593700885698</v>
      </c>
      <c r="H36">
        <v>0.52779308712121198</v>
      </c>
      <c r="I36">
        <f t="shared" si="0"/>
        <v>2786.747499999999</v>
      </c>
      <c r="J36">
        <v>124.54032100767699</v>
      </c>
      <c r="K36">
        <v>2171.58459207333</v>
      </c>
      <c r="L36">
        <v>53.144741810524899</v>
      </c>
      <c r="N36">
        <v>0.52779308712121198</v>
      </c>
      <c r="O36">
        <f t="shared" si="1"/>
        <v>2786.747499999999</v>
      </c>
      <c r="P36">
        <v>88.076047299391306</v>
      </c>
      <c r="Q36">
        <v>2300.3316799569302</v>
      </c>
      <c r="R36">
        <v>61.788729489100803</v>
      </c>
      <c r="U36">
        <v>2786.7474999999986</v>
      </c>
      <c r="V36">
        <v>157.36173674510556</v>
      </c>
      <c r="W36">
        <v>2162.4312612375138</v>
      </c>
      <c r="X36">
        <v>48.690775262546303</v>
      </c>
      <c r="Z36">
        <v>2786.7474999999999</v>
      </c>
      <c r="AA36">
        <v>106.602223151182</v>
      </c>
      <c r="AB36">
        <v>2089.0914851253801</v>
      </c>
      <c r="AC36">
        <v>50.085003877622299</v>
      </c>
      <c r="AE36">
        <v>2786.7474999999999</v>
      </c>
      <c r="AF36">
        <v>77.2109413863122</v>
      </c>
      <c r="AG36">
        <v>2213.2843884384802</v>
      </c>
      <c r="AH36">
        <v>50.747002457327497</v>
      </c>
      <c r="AK36">
        <v>2786.7474999999986</v>
      </c>
      <c r="AL36">
        <v>133.59126093526945</v>
      </c>
      <c r="AM36">
        <v>2786.7474999999986</v>
      </c>
      <c r="AN36">
        <v>1898.1522206866064</v>
      </c>
      <c r="AO36">
        <v>2786.7474999999986</v>
      </c>
      <c r="AP36">
        <v>49.101932053798492</v>
      </c>
      <c r="AR36">
        <v>2786.7474999999999</v>
      </c>
      <c r="AS36">
        <v>93.102331259181</v>
      </c>
      <c r="AT36">
        <v>2786.7474999999999</v>
      </c>
      <c r="AU36">
        <v>2090.3010997533402</v>
      </c>
      <c r="AV36">
        <v>2786.7474999999999</v>
      </c>
      <c r="AW36">
        <v>50.363819635216402</v>
      </c>
      <c r="AY36">
        <v>2786.7474999999999</v>
      </c>
      <c r="AZ36">
        <v>69.557233447541904</v>
      </c>
      <c r="BA36">
        <v>2786.7474999999999</v>
      </c>
      <c r="BB36">
        <v>2156.1873871687199</v>
      </c>
      <c r="BC36">
        <v>2786.7474999999999</v>
      </c>
      <c r="BD36">
        <v>50.871577452688001</v>
      </c>
      <c r="BG36" s="19">
        <v>2637.7299999999973</v>
      </c>
      <c r="BH36" s="34">
        <v>1232.3498715340677</v>
      </c>
      <c r="BJ36" s="19">
        <v>2637.7299999999973</v>
      </c>
      <c r="BK36" s="34">
        <v>1208.0561976049314</v>
      </c>
      <c r="BM36" s="19">
        <v>2637.7299999999973</v>
      </c>
      <c r="BN36" s="34">
        <v>40.873781877009606</v>
      </c>
      <c r="BQ36" s="19">
        <v>2637.7299999999973</v>
      </c>
      <c r="BR36" s="34">
        <v>41.009125675926853</v>
      </c>
    </row>
    <row r="37" spans="3:70" x14ac:dyDescent="0.35">
      <c r="C37">
        <v>2861.2525000000001</v>
      </c>
      <c r="D37">
        <v>186.08440851532399</v>
      </c>
      <c r="E37">
        <v>2324.1729812212402</v>
      </c>
      <c r="F37">
        <v>48.205647580789098</v>
      </c>
      <c r="H37">
        <v>0.54190388257575794</v>
      </c>
      <c r="I37">
        <f t="shared" si="0"/>
        <v>2861.2525000000019</v>
      </c>
      <c r="J37">
        <v>124.39869700881</v>
      </c>
      <c r="K37">
        <v>2171.2089443651198</v>
      </c>
      <c r="L37">
        <v>53.267319111146399</v>
      </c>
      <c r="N37">
        <v>0.54190388257575794</v>
      </c>
      <c r="O37">
        <f t="shared" si="1"/>
        <v>2861.2525000000019</v>
      </c>
      <c r="P37">
        <v>87.728125302174703</v>
      </c>
      <c r="Q37">
        <v>2299.9676352667402</v>
      </c>
      <c r="R37">
        <v>61.988904744737702</v>
      </c>
      <c r="U37">
        <v>2861.2524999999978</v>
      </c>
      <c r="V37">
        <v>157.27758674577876</v>
      </c>
      <c r="W37">
        <v>2162.1513384279256</v>
      </c>
      <c r="X37">
        <v>48.691586826033991</v>
      </c>
      <c r="Z37">
        <v>2861.2525000000001</v>
      </c>
      <c r="AA37">
        <v>106.48959715208299</v>
      </c>
      <c r="AB37">
        <v>2088.8057608067802</v>
      </c>
      <c r="AC37">
        <v>50.099299880597698</v>
      </c>
      <c r="AE37">
        <v>2861.2525000000001</v>
      </c>
      <c r="AF37">
        <v>76.954513388363594</v>
      </c>
      <c r="AG37">
        <v>2212.9943129881199</v>
      </c>
      <c r="AH37">
        <v>50.749568246507799</v>
      </c>
      <c r="AK37">
        <v>2861.2524999999978</v>
      </c>
      <c r="AL37">
        <v>133.52302293581536</v>
      </c>
      <c r="AM37">
        <v>2861.2524999999978</v>
      </c>
      <c r="AN37">
        <v>1897.8693971225146</v>
      </c>
      <c r="AO37">
        <v>2861.2524999999978</v>
      </c>
      <c r="AP37">
        <v>49.102768588470418</v>
      </c>
      <c r="AR37">
        <v>2861.2525000000001</v>
      </c>
      <c r="AS37">
        <v>93.011899259904496</v>
      </c>
      <c r="AT37">
        <v>2861.2525000000001</v>
      </c>
      <c r="AU37">
        <v>2090.0124746802398</v>
      </c>
      <c r="AV37">
        <v>2861.2525000000001</v>
      </c>
      <c r="AW37">
        <v>50.374913083813503</v>
      </c>
      <c r="AY37">
        <v>2861.2525000000001</v>
      </c>
      <c r="AZ37">
        <v>69.350845449193002</v>
      </c>
      <c r="BA37">
        <v>2861.2525000000001</v>
      </c>
      <c r="BB37">
        <v>2155.89731171837</v>
      </c>
      <c r="BC37">
        <v>2861.2525000000001</v>
      </c>
      <c r="BD37">
        <v>50.873250522031803</v>
      </c>
      <c r="BG37" s="19">
        <v>2712.242499999998</v>
      </c>
      <c r="BH37" s="34">
        <v>1231.931292659212</v>
      </c>
      <c r="BJ37" s="19">
        <v>2712.242499999998</v>
      </c>
      <c r="BK37" s="34">
        <v>1207.6338477492211</v>
      </c>
      <c r="BM37" s="19">
        <v>2712.242499999998</v>
      </c>
      <c r="BN37" s="34">
        <v>40.872824277017266</v>
      </c>
      <c r="BQ37" s="19">
        <v>2712.242499999998</v>
      </c>
      <c r="BR37" s="34">
        <v>41.005923475952471</v>
      </c>
    </row>
    <row r="38" spans="3:70" x14ac:dyDescent="0.35">
      <c r="C38">
        <v>2935.7575000000002</v>
      </c>
      <c r="D38">
        <v>185.981754516145</v>
      </c>
      <c r="E38">
        <v>2323.3825256190398</v>
      </c>
      <c r="F38">
        <v>48.207670246712297</v>
      </c>
      <c r="H38">
        <v>0.55601467803030302</v>
      </c>
      <c r="I38">
        <f t="shared" si="0"/>
        <v>2935.7575000000002</v>
      </c>
      <c r="J38">
        <v>124.25723500994199</v>
      </c>
      <c r="K38">
        <v>2170.79558684837</v>
      </c>
      <c r="L38">
        <v>53.267712407298198</v>
      </c>
      <c r="N38">
        <v>0.55601467803030302</v>
      </c>
      <c r="O38">
        <f t="shared" si="1"/>
        <v>2935.7575000000002</v>
      </c>
      <c r="P38">
        <v>87.3820753049431</v>
      </c>
      <c r="Q38">
        <v>2299.5600792589998</v>
      </c>
      <c r="R38">
        <v>61.934074266950098</v>
      </c>
      <c r="U38">
        <v>2935.7574999999956</v>
      </c>
      <c r="V38">
        <v>157.18895474648781</v>
      </c>
      <c r="W38">
        <v>2161.8366065642954</v>
      </c>
      <c r="X38">
        <v>48.69203630735025</v>
      </c>
      <c r="Z38">
        <v>2935.7575000000002</v>
      </c>
      <c r="AA38">
        <v>106.358935153128</v>
      </c>
      <c r="AB38">
        <v>2088.4837770568902</v>
      </c>
      <c r="AC38">
        <v>50.098095020958297</v>
      </c>
      <c r="AE38">
        <v>2935.7575000000002</v>
      </c>
      <c r="AF38">
        <v>76.672741390617801</v>
      </c>
      <c r="AG38">
        <v>2212.6679781064799</v>
      </c>
      <c r="AH38">
        <v>50.7417148090654</v>
      </c>
      <c r="AK38">
        <v>2935.7574999999956</v>
      </c>
      <c r="AL38">
        <v>133.45050093639554</v>
      </c>
      <c r="AM38">
        <v>2935.7574999999956</v>
      </c>
      <c r="AN38">
        <v>1897.5532148816324</v>
      </c>
      <c r="AO38">
        <v>2935.7574999999956</v>
      </c>
      <c r="AP38">
        <v>49.103417839260572</v>
      </c>
      <c r="AR38">
        <v>2935.7575000000002</v>
      </c>
      <c r="AS38">
        <v>92.907751260737697</v>
      </c>
      <c r="AT38">
        <v>2935.7575000000002</v>
      </c>
      <c r="AU38">
        <v>2089.6890405530999</v>
      </c>
      <c r="AV38">
        <v>2935.7575000000002</v>
      </c>
      <c r="AW38">
        <v>50.3738705368716</v>
      </c>
      <c r="AY38">
        <v>2935.7575000000002</v>
      </c>
      <c r="AZ38">
        <v>69.123163451014406</v>
      </c>
      <c r="BA38">
        <v>2935.7575000000002</v>
      </c>
      <c r="BB38">
        <v>2155.5709768367201</v>
      </c>
      <c r="BC38">
        <v>2935.7575000000002</v>
      </c>
      <c r="BD38">
        <v>50.870285193903698</v>
      </c>
      <c r="BG38" s="19">
        <v>2786.7474999999986</v>
      </c>
      <c r="BH38" s="34">
        <v>1231.6763163383537</v>
      </c>
      <c r="BJ38" s="19">
        <v>2786.7474999999986</v>
      </c>
      <c r="BK38" s="34">
        <v>1207.3752454852333</v>
      </c>
      <c r="BM38" s="19">
        <v>2786.7474999999986</v>
      </c>
      <c r="BN38" s="34">
        <v>40.870842477033122</v>
      </c>
      <c r="BQ38" s="19">
        <v>2786.7474999999986</v>
      </c>
      <c r="BR38" s="34">
        <v>40.996849676025057</v>
      </c>
    </row>
    <row r="39" spans="3:70" x14ac:dyDescent="0.35">
      <c r="C39">
        <v>3035.5099999999902</v>
      </c>
      <c r="D39">
        <v>185.80983651752101</v>
      </c>
      <c r="E39">
        <v>2322.5311541722599</v>
      </c>
      <c r="F39">
        <v>48.211234883262101</v>
      </c>
      <c r="H39">
        <v>0.57490719696969705</v>
      </c>
      <c r="I39">
        <f t="shared" si="0"/>
        <v>3035.51</v>
      </c>
      <c r="J39">
        <v>124.020967011832</v>
      </c>
      <c r="K39">
        <v>2170.4692519667301</v>
      </c>
      <c r="L39">
        <v>52.702377281772897</v>
      </c>
      <c r="N39">
        <v>0.57490719696969705</v>
      </c>
      <c r="O39">
        <f t="shared" si="1"/>
        <v>3035.51</v>
      </c>
      <c r="P39">
        <v>86.808307309533205</v>
      </c>
      <c r="Q39">
        <v>2299.2816068266602</v>
      </c>
      <c r="R39">
        <v>60.069120100625497</v>
      </c>
      <c r="U39">
        <v>3035.5099999999939</v>
      </c>
      <c r="V39">
        <v>157.07110874743057</v>
      </c>
      <c r="W39">
        <v>2161.6248514855392</v>
      </c>
      <c r="X39">
        <v>48.730223490844118</v>
      </c>
      <c r="Z39">
        <v>3035.51</v>
      </c>
      <c r="AA39">
        <v>106.21365715429</v>
      </c>
      <c r="AB39">
        <v>2088.2647700918801</v>
      </c>
      <c r="AC39">
        <v>50.260364018924001</v>
      </c>
      <c r="AE39">
        <v>3035.51</v>
      </c>
      <c r="AF39">
        <v>76.2459073940325</v>
      </c>
      <c r="AG39">
        <v>2212.4460703869599</v>
      </c>
      <c r="AH39">
        <v>51.013220252474198</v>
      </c>
      <c r="AK39">
        <v>3035.5099999999939</v>
      </c>
      <c r="AL39">
        <v>133.37128293702926</v>
      </c>
      <c r="AM39">
        <v>3035.5099999999939</v>
      </c>
      <c r="AN39">
        <v>1897.3385590483729</v>
      </c>
      <c r="AO39">
        <v>3035.5099999999939</v>
      </c>
      <c r="AP39">
        <v>49.141374039300253</v>
      </c>
      <c r="AR39">
        <v>3035.51</v>
      </c>
      <c r="AS39">
        <v>92.829469261363897</v>
      </c>
      <c r="AT39">
        <v>3035.51</v>
      </c>
      <c r="AU39">
        <v>2089.4700335880798</v>
      </c>
      <c r="AV39">
        <v>3035.51</v>
      </c>
      <c r="AW39">
        <v>50.534073169341703</v>
      </c>
      <c r="AY39">
        <v>3035.51</v>
      </c>
      <c r="AZ39">
        <v>68.817937453456295</v>
      </c>
      <c r="BA39">
        <v>3035.51</v>
      </c>
      <c r="BB39">
        <v>2155.3490691172001</v>
      </c>
      <c r="BC39">
        <v>3035.51</v>
      </c>
      <c r="BD39">
        <v>51.133487718553901</v>
      </c>
      <c r="BG39" s="19">
        <v>2861.2524999999978</v>
      </c>
      <c r="BH39" s="34">
        <v>1231.3850805862016</v>
      </c>
      <c r="BJ39" s="19">
        <v>2861.2524999999978</v>
      </c>
      <c r="BK39" s="34">
        <v>1207.0802387522269</v>
      </c>
      <c r="BM39" s="19">
        <v>2861.2524999999978</v>
      </c>
      <c r="BN39" s="34">
        <v>40.86577727707364</v>
      </c>
      <c r="BQ39" s="19">
        <v>2861.2524999999978</v>
      </c>
      <c r="BR39" s="34">
        <v>40.971124076230865</v>
      </c>
    </row>
    <row r="40" spans="3:70" x14ac:dyDescent="0.35">
      <c r="C40">
        <v>3160.5099999999902</v>
      </c>
      <c r="D40">
        <v>185.639034518887</v>
      </c>
      <c r="E40">
        <v>2321.61886688091</v>
      </c>
      <c r="F40">
        <v>48.214868190568502</v>
      </c>
      <c r="H40">
        <v>0.59858143939393904</v>
      </c>
      <c r="I40">
        <f t="shared" si="0"/>
        <v>3160.5099999999979</v>
      </c>
      <c r="J40">
        <v>123.785635013714</v>
      </c>
      <c r="K40">
        <v>2170.23139009744</v>
      </c>
      <c r="L40">
        <v>52.673554292367797</v>
      </c>
      <c r="N40">
        <v>0.59858143939393904</v>
      </c>
      <c r="O40">
        <f t="shared" si="1"/>
        <v>3160.5099999999979</v>
      </c>
      <c r="P40">
        <v>86.241325314069101</v>
      </c>
      <c r="Q40">
        <v>2299.1380194787398</v>
      </c>
      <c r="R40">
        <v>58.669972162254901</v>
      </c>
      <c r="U40">
        <v>3160.5099999999943</v>
      </c>
      <c r="V40">
        <v>156.91886474864856</v>
      </c>
      <c r="W40">
        <v>2161.5131724371545</v>
      </c>
      <c r="X40">
        <v>48.699621304562129</v>
      </c>
      <c r="Z40">
        <v>3160.51</v>
      </c>
      <c r="AA40">
        <v>105.995731156034</v>
      </c>
      <c r="AB40">
        <v>2088.1516406662399</v>
      </c>
      <c r="AC40">
        <v>50.106079557118001</v>
      </c>
      <c r="AE40">
        <v>3160.51</v>
      </c>
      <c r="AF40">
        <v>75.706609398346899</v>
      </c>
      <c r="AG40">
        <v>2212.3314905840698</v>
      </c>
      <c r="AH40">
        <v>50.764088990141403</v>
      </c>
      <c r="AK40">
        <v>3160.5099999999943</v>
      </c>
      <c r="AL40">
        <v>133.2350409381192</v>
      </c>
      <c r="AM40">
        <v>3160.5099999999943</v>
      </c>
      <c r="AN40">
        <v>1897.2268799999879</v>
      </c>
      <c r="AO40">
        <v>3160.5099999999943</v>
      </c>
      <c r="AP40">
        <v>49.108711730318738</v>
      </c>
      <c r="AR40">
        <v>3160.51</v>
      </c>
      <c r="AS40">
        <v>92.615863263072796</v>
      </c>
      <c r="AT40">
        <v>3160.51</v>
      </c>
      <c r="AU40">
        <v>2089.3569041624501</v>
      </c>
      <c r="AV40">
        <v>3160.51</v>
      </c>
      <c r="AW40">
        <v>50.379682580002701</v>
      </c>
      <c r="AY40">
        <v>3160.51</v>
      </c>
      <c r="AZ40">
        <v>68.349037457207501</v>
      </c>
      <c r="BA40">
        <v>3160.51</v>
      </c>
      <c r="BB40">
        <v>2155.23303893706</v>
      </c>
      <c r="BC40">
        <v>3160.51</v>
      </c>
      <c r="BD40">
        <v>50.886660047966899</v>
      </c>
      <c r="BG40" s="19">
        <v>2935.7574999999956</v>
      </c>
      <c r="BH40" s="34">
        <v>1231.0575854027559</v>
      </c>
      <c r="BJ40" s="19">
        <v>2935.7574999999956</v>
      </c>
      <c r="BK40" s="34">
        <v>1206.7491176256517</v>
      </c>
      <c r="BM40" s="19">
        <v>2935.7574999999956</v>
      </c>
      <c r="BN40" s="34">
        <v>40.851764277185744</v>
      </c>
      <c r="BQ40" s="19">
        <v>2935.7574999999956</v>
      </c>
      <c r="BR40" s="34">
        <v>40.907197076742285</v>
      </c>
    </row>
    <row r="41" spans="3:70" x14ac:dyDescent="0.35">
      <c r="C41">
        <v>3285.5099999999902</v>
      </c>
      <c r="D41">
        <v>185.46889852024799</v>
      </c>
      <c r="E41">
        <v>2320.8965790095299</v>
      </c>
      <c r="F41">
        <v>48.218507740671001</v>
      </c>
      <c r="H41">
        <v>0.62225568181818203</v>
      </c>
      <c r="I41">
        <f t="shared" si="0"/>
        <v>3285.5100000000011</v>
      </c>
      <c r="J41">
        <v>123.551383015588</v>
      </c>
      <c r="K41">
        <v>2170.1965810433999</v>
      </c>
      <c r="L41">
        <v>52.196030336210697</v>
      </c>
      <c r="N41">
        <v>0.62225568181818203</v>
      </c>
      <c r="O41">
        <f t="shared" si="1"/>
        <v>3285.5100000000011</v>
      </c>
      <c r="P41">
        <v>85.681093318551007</v>
      </c>
      <c r="Q41">
        <v>2299.2148894730799</v>
      </c>
      <c r="R41">
        <v>52.915905878180403</v>
      </c>
      <c r="U41">
        <v>3285.5099999999939</v>
      </c>
      <c r="V41">
        <v>156.78294674973588</v>
      </c>
      <c r="W41">
        <v>2161.5943935632527</v>
      </c>
      <c r="X41">
        <v>48.701512871768045</v>
      </c>
      <c r="Z41">
        <v>3285.51</v>
      </c>
      <c r="AA41">
        <v>105.79139515766801</v>
      </c>
      <c r="AB41">
        <v>2088.2343121695899</v>
      </c>
      <c r="AC41">
        <v>50.110112403372199</v>
      </c>
      <c r="AE41">
        <v>3285.51</v>
      </c>
      <c r="AF41">
        <v>75.047521403619598</v>
      </c>
      <c r="AG41">
        <v>2212.4156124646802</v>
      </c>
      <c r="AH41">
        <v>50.774077463836001</v>
      </c>
      <c r="AK41">
        <v>3285.5099999999939</v>
      </c>
      <c r="AL41">
        <v>133.12603293899127</v>
      </c>
      <c r="AM41">
        <v>3285.5099999999939</v>
      </c>
      <c r="AN41">
        <v>1897.3081011260861</v>
      </c>
      <c r="AO41">
        <v>3285.5099999999939</v>
      </c>
      <c r="AP41">
        <v>49.11078433861038</v>
      </c>
      <c r="AR41">
        <v>3285.51</v>
      </c>
      <c r="AS41">
        <v>92.455483264355806</v>
      </c>
      <c r="AT41">
        <v>3285.51</v>
      </c>
      <c r="AU41">
        <v>2089.4395756658</v>
      </c>
      <c r="AV41">
        <v>3285.51</v>
      </c>
      <c r="AW41">
        <v>50.383290916124899</v>
      </c>
      <c r="AY41">
        <v>3285.51</v>
      </c>
      <c r="AZ41">
        <v>67.826623461386802</v>
      </c>
      <c r="BA41">
        <v>3285.51</v>
      </c>
      <c r="BB41">
        <v>2155.3171608176699</v>
      </c>
      <c r="BC41">
        <v>3285.51</v>
      </c>
      <c r="BD41">
        <v>50.895518575574798</v>
      </c>
      <c r="BG41" s="19">
        <v>3035.5099999999939</v>
      </c>
      <c r="BH41" s="34">
        <v>1230.8362578341385</v>
      </c>
      <c r="BJ41" s="19">
        <v>3035.5099999999939</v>
      </c>
      <c r="BK41" s="34">
        <v>1206.5678204691826</v>
      </c>
      <c r="BM41" s="19">
        <v>3035.5099999999939</v>
      </c>
      <c r="BN41" s="34">
        <v>40.815857877472993</v>
      </c>
      <c r="BQ41" s="19">
        <v>3035.5099999999939</v>
      </c>
      <c r="BR41" s="34">
        <v>40.785005877719811</v>
      </c>
    </row>
    <row r="42" spans="3:70" x14ac:dyDescent="0.35">
      <c r="C42">
        <v>3410.5099999999902</v>
      </c>
      <c r="D42">
        <v>185.299428521604</v>
      </c>
      <c r="E42">
        <v>2320.3628401808901</v>
      </c>
      <c r="F42">
        <v>48.222322089063198</v>
      </c>
      <c r="H42">
        <v>0.64592992424242401</v>
      </c>
      <c r="I42">
        <f t="shared" si="0"/>
        <v>3410.5099999999989</v>
      </c>
      <c r="J42">
        <v>123.31819301745401</v>
      </c>
      <c r="K42">
        <v>2170.3619240500998</v>
      </c>
      <c r="L42">
        <v>52.179980107542598</v>
      </c>
      <c r="N42">
        <v>0.64592992424242401</v>
      </c>
      <c r="O42">
        <f t="shared" si="1"/>
        <v>3410.5099999999989</v>
      </c>
      <c r="P42">
        <v>85.127953322976097</v>
      </c>
      <c r="Q42">
        <v>2299.49481228267</v>
      </c>
      <c r="R42">
        <v>52.832258653783697</v>
      </c>
      <c r="U42">
        <v>3410.5099999999943</v>
      </c>
      <c r="V42">
        <v>156.6572707507413</v>
      </c>
      <c r="W42">
        <v>2161.867064486582</v>
      </c>
      <c r="X42">
        <v>48.737240393614613</v>
      </c>
      <c r="Z42">
        <v>3410.51</v>
      </c>
      <c r="AA42">
        <v>105.696355158429</v>
      </c>
      <c r="AB42">
        <v>2088.51278460193</v>
      </c>
      <c r="AC42">
        <v>50.3968315407772</v>
      </c>
      <c r="AE42">
        <v>3410.51</v>
      </c>
      <c r="AF42">
        <v>74.698717406409997</v>
      </c>
      <c r="AG42">
        <v>2212.6984360287702</v>
      </c>
      <c r="AH42">
        <v>51.127207465718399</v>
      </c>
      <c r="AK42">
        <v>3410.5099999999943</v>
      </c>
      <c r="AL42">
        <v>133.03693293970409</v>
      </c>
      <c r="AM42">
        <v>3410.5099999999943</v>
      </c>
      <c r="AN42">
        <v>1897.5822224266674</v>
      </c>
      <c r="AO42">
        <v>3410.5099999999943</v>
      </c>
      <c r="AP42">
        <v>49.145513013087474</v>
      </c>
      <c r="AR42">
        <v>3410.51</v>
      </c>
      <c r="AS42">
        <v>92.443621264450698</v>
      </c>
      <c r="AT42">
        <v>3410.51</v>
      </c>
      <c r="AU42">
        <v>2089.7194984753801</v>
      </c>
      <c r="AV42">
        <v>3410.51</v>
      </c>
      <c r="AW42">
        <v>50.666102063196803</v>
      </c>
      <c r="AY42">
        <v>3410.51</v>
      </c>
      <c r="AZ42">
        <v>67.589887463280704</v>
      </c>
      <c r="BA42">
        <v>3410.51</v>
      </c>
      <c r="BB42">
        <v>2155.6014347590099</v>
      </c>
      <c r="BC42">
        <v>3410.51</v>
      </c>
      <c r="BD42">
        <v>51.240639070113303</v>
      </c>
      <c r="BG42" s="19">
        <v>3160.5099999999943</v>
      </c>
      <c r="BH42" s="34">
        <v>1230.7271894648065</v>
      </c>
      <c r="BJ42" s="19">
        <v>3160.5099999999943</v>
      </c>
      <c r="BK42" s="34">
        <v>1206.5546220361916</v>
      </c>
      <c r="BM42" s="19">
        <v>3160.5099999999943</v>
      </c>
      <c r="BN42" s="34">
        <v>40.66706807866332</v>
      </c>
      <c r="BQ42" s="19">
        <v>3160.5099999999943</v>
      </c>
      <c r="BR42" s="34">
        <v>40.807043277543514</v>
      </c>
    </row>
    <row r="43" spans="3:70" x14ac:dyDescent="0.35">
      <c r="C43">
        <v>3535.5099999999902</v>
      </c>
      <c r="D43">
        <v>185.13051652295499</v>
      </c>
      <c r="E43">
        <v>2319.9712383229198</v>
      </c>
      <c r="F43">
        <v>48.226223836600099</v>
      </c>
      <c r="H43">
        <v>0.669604166666667</v>
      </c>
      <c r="I43">
        <f t="shared" si="0"/>
        <v>3535.5100000000016</v>
      </c>
      <c r="J43">
        <v>123.085867019313</v>
      </c>
      <c r="K43">
        <v>2170.6781062909799</v>
      </c>
      <c r="L43">
        <v>51.943496750025702</v>
      </c>
      <c r="N43">
        <v>0.669604166666667</v>
      </c>
      <c r="O43">
        <f t="shared" si="1"/>
        <v>3535.5100000000016</v>
      </c>
      <c r="P43">
        <v>84.581653327346501</v>
      </c>
      <c r="Q43">
        <v>2299.9255743264398</v>
      </c>
      <c r="R43">
        <v>52.345801256465997</v>
      </c>
      <c r="U43">
        <v>3535.5099999999939</v>
      </c>
      <c r="V43">
        <v>156.50956275192294</v>
      </c>
      <c r="W43">
        <v>2162.2818723805835</v>
      </c>
      <c r="X43">
        <v>48.708336247860714</v>
      </c>
      <c r="Z43">
        <v>3535.51</v>
      </c>
      <c r="AA43">
        <v>105.435751160514</v>
      </c>
      <c r="AB43">
        <v>2088.9391955139399</v>
      </c>
      <c r="AC43">
        <v>50.104431458958402</v>
      </c>
      <c r="AE43">
        <v>3535.51</v>
      </c>
      <c r="AF43">
        <v>74.2396634100824</v>
      </c>
      <c r="AG43">
        <v>2213.13064844979</v>
      </c>
      <c r="AH43">
        <v>50.773228443572002</v>
      </c>
      <c r="AK43">
        <v>3535.5099999999939</v>
      </c>
      <c r="AL43">
        <v>132.90733294074087</v>
      </c>
      <c r="AM43">
        <v>3535.5099999999939</v>
      </c>
      <c r="AN43">
        <v>1898.0013814524241</v>
      </c>
      <c r="AO43">
        <v>3535.5099999999939</v>
      </c>
      <c r="AP43">
        <v>49.11624678516214</v>
      </c>
      <c r="AR43">
        <v>3535.51</v>
      </c>
      <c r="AS43">
        <v>92.178589266570995</v>
      </c>
      <c r="AT43">
        <v>3535.51</v>
      </c>
      <c r="AU43">
        <v>2090.14735976465</v>
      </c>
      <c r="AV43">
        <v>3535.51</v>
      </c>
      <c r="AW43">
        <v>50.380650213391803</v>
      </c>
      <c r="AY43">
        <v>3535.51</v>
      </c>
      <c r="AZ43">
        <v>67.1854454665162</v>
      </c>
      <c r="BA43">
        <v>3535.51</v>
      </c>
      <c r="BB43">
        <v>2156.0336471800301</v>
      </c>
      <c r="BC43">
        <v>3535.51</v>
      </c>
      <c r="BD43">
        <v>50.900762524264501</v>
      </c>
      <c r="BG43" s="19">
        <v>3285.5099999999939</v>
      </c>
      <c r="BH43" s="34">
        <v>1230.7798381590453</v>
      </c>
      <c r="BJ43" s="19">
        <v>3285.5099999999939</v>
      </c>
      <c r="BK43" s="34">
        <v>1206.605385240003</v>
      </c>
      <c r="BM43" s="19">
        <v>3285.5099999999939</v>
      </c>
      <c r="BN43" s="34">
        <v>40.677715078578139</v>
      </c>
      <c r="BQ43" s="19">
        <v>3285.5099999999939</v>
      </c>
      <c r="BR43" s="34">
        <v>40.772454477820219</v>
      </c>
    </row>
    <row r="44" spans="3:70" x14ac:dyDescent="0.35">
      <c r="C44">
        <v>3660.5099999999902</v>
      </c>
      <c r="D44">
        <v>184.962144524302</v>
      </c>
      <c r="E44">
        <v>2319.72032305836</v>
      </c>
      <c r="F44">
        <v>48.230119341341002</v>
      </c>
      <c r="H44">
        <v>0.69327840909090899</v>
      </c>
      <c r="I44">
        <f t="shared" si="0"/>
        <v>3660.5099999999993</v>
      </c>
      <c r="J44">
        <v>122.854459021164</v>
      </c>
      <c r="K44">
        <v>2171.14077663429</v>
      </c>
      <c r="L44">
        <v>51.928308027213703</v>
      </c>
      <c r="N44">
        <v>0.69327840909090899</v>
      </c>
      <c r="O44">
        <f t="shared" si="1"/>
        <v>3660.5099999999993</v>
      </c>
      <c r="P44">
        <v>84.041563331667206</v>
      </c>
      <c r="Q44">
        <v>2300.50282447264</v>
      </c>
      <c r="R44">
        <v>52.337348510601899</v>
      </c>
      <c r="U44">
        <v>3660.5099999999939</v>
      </c>
      <c r="V44">
        <v>156.40399275276749</v>
      </c>
      <c r="W44">
        <v>2162.8402676225082</v>
      </c>
      <c r="X44">
        <v>48.781027365173543</v>
      </c>
      <c r="Z44">
        <v>3660.51</v>
      </c>
      <c r="AA44">
        <v>105.586753159306</v>
      </c>
      <c r="AB44">
        <v>2089.5106441511298</v>
      </c>
      <c r="AC44">
        <v>51.187132065090204</v>
      </c>
      <c r="AE44">
        <v>3660.51</v>
      </c>
      <c r="AF44">
        <v>74.171389410628606</v>
      </c>
      <c r="AG44">
        <v>2213.7107993504901</v>
      </c>
      <c r="AH44">
        <v>52.590706145866697</v>
      </c>
      <c r="AK44">
        <v>3660.5099999999939</v>
      </c>
      <c r="AL44">
        <v>132.84690694122429</v>
      </c>
      <c r="AM44">
        <v>3660.5099999999939</v>
      </c>
      <c r="AN44">
        <v>1898.5641278261041</v>
      </c>
      <c r="AO44">
        <v>3660.5099999999939</v>
      </c>
      <c r="AP44">
        <v>49.187427145828664</v>
      </c>
      <c r="AR44">
        <v>3660.51</v>
      </c>
      <c r="AS44">
        <v>92.538751263689704</v>
      </c>
      <c r="AT44">
        <v>3660.51</v>
      </c>
      <c r="AU44">
        <v>2090.7231595336002</v>
      </c>
      <c r="AV44">
        <v>3660.51</v>
      </c>
      <c r="AW44">
        <v>51.446183130361</v>
      </c>
      <c r="AY44">
        <v>3660.51</v>
      </c>
      <c r="AZ44">
        <v>67.350595465194999</v>
      </c>
      <c r="BA44">
        <v>3660.51</v>
      </c>
      <c r="BB44">
        <v>2156.6152484579802</v>
      </c>
      <c r="BC44">
        <v>3660.51</v>
      </c>
      <c r="BD44">
        <v>52.691102792090099</v>
      </c>
      <c r="BG44" s="19">
        <v>3410.5099999999943</v>
      </c>
      <c r="BH44" s="34">
        <v>1230.9112423380541</v>
      </c>
      <c r="BJ44" s="19">
        <v>3410.5099999999943</v>
      </c>
      <c r="BK44" s="34">
        <v>1206.8706592393487</v>
      </c>
      <c r="BM44" s="19">
        <v>3410.5099999999943</v>
      </c>
      <c r="BN44" s="34">
        <v>40.807720077538093</v>
      </c>
      <c r="BQ44" s="19">
        <v>3410.5099999999943</v>
      </c>
      <c r="BR44" s="34">
        <v>40.895144276838707</v>
      </c>
    </row>
    <row r="45" spans="3:70" x14ac:dyDescent="0.35">
      <c r="C45">
        <v>3785.5099999999902</v>
      </c>
      <c r="D45">
        <v>184.79508652563899</v>
      </c>
      <c r="E45">
        <v>2319.9349788916202</v>
      </c>
      <c r="F45">
        <v>48.234289529108601</v>
      </c>
      <c r="H45">
        <v>0.71695265151515097</v>
      </c>
      <c r="I45">
        <f t="shared" si="0"/>
        <v>3785.509999999997</v>
      </c>
      <c r="J45">
        <v>122.624617023003</v>
      </c>
      <c r="K45">
        <v>2172.0922241114399</v>
      </c>
      <c r="L45">
        <v>51.490013801492402</v>
      </c>
      <c r="N45">
        <v>0.71695265151515097</v>
      </c>
      <c r="O45">
        <f t="shared" si="1"/>
        <v>3785.509999999997</v>
      </c>
      <c r="P45">
        <v>83.508277335933499</v>
      </c>
      <c r="Q45">
        <v>2301.57320288443</v>
      </c>
      <c r="R45">
        <v>51.830739367605098</v>
      </c>
      <c r="U45">
        <v>3785.5099999999934</v>
      </c>
      <c r="V45">
        <v>156.23923875408553</v>
      </c>
      <c r="W45">
        <v>2163.868585094001</v>
      </c>
      <c r="X45">
        <v>48.715690261618398</v>
      </c>
      <c r="Z45">
        <v>3785.51</v>
      </c>
      <c r="AA45">
        <v>105.110707163114</v>
      </c>
      <c r="AB45">
        <v>2090.5766714311699</v>
      </c>
      <c r="AC45">
        <v>50.108414362844101</v>
      </c>
      <c r="AE45">
        <v>3785.51</v>
      </c>
      <c r="AF45">
        <v>73.470001416239697</v>
      </c>
      <c r="AG45">
        <v>2214.7971319120502</v>
      </c>
      <c r="AH45">
        <v>50.658716835458897</v>
      </c>
      <c r="AK45">
        <v>3785.5099999999934</v>
      </c>
      <c r="AL45">
        <v>132.69187294246456</v>
      </c>
      <c r="AM45">
        <v>3785.5099999999934</v>
      </c>
      <c r="AN45">
        <v>1899.5996971838558</v>
      </c>
      <c r="AO45">
        <v>3785.5099999999934</v>
      </c>
      <c r="AP45">
        <v>49.122158713030167</v>
      </c>
      <c r="AR45">
        <v>3785.51</v>
      </c>
      <c r="AS45">
        <v>91.990093268078894</v>
      </c>
      <c r="AT45">
        <v>3785.51</v>
      </c>
      <c r="AU45">
        <v>2091.7935379453902</v>
      </c>
      <c r="AV45">
        <v>3785.51</v>
      </c>
      <c r="AW45">
        <v>50.384851615139702</v>
      </c>
      <c r="AY45">
        <v>3785.51</v>
      </c>
      <c r="AZ45">
        <v>66.617671471058401</v>
      </c>
      <c r="BA45">
        <v>3785.51</v>
      </c>
      <c r="BB45">
        <v>2157.7073825285502</v>
      </c>
      <c r="BC45">
        <v>3785.51</v>
      </c>
      <c r="BD45">
        <v>50.827035102805901</v>
      </c>
      <c r="BG45" s="19">
        <v>3535.5099999999939</v>
      </c>
      <c r="BH45" s="34">
        <v>1231.3425845327254</v>
      </c>
      <c r="BJ45" s="19">
        <v>3535.5099999999939</v>
      </c>
      <c r="BK45" s="34">
        <v>1207.2906884914562</v>
      </c>
      <c r="BM45" s="19">
        <v>3535.5099999999939</v>
      </c>
      <c r="BN45" s="34">
        <v>40.848378477212826</v>
      </c>
      <c r="BQ45" s="19">
        <v>3535.5099999999939</v>
      </c>
      <c r="BR45" s="34">
        <v>40.961306876309408</v>
      </c>
    </row>
    <row r="46" spans="3:70" x14ac:dyDescent="0.35">
      <c r="C46">
        <v>3910.5099999999902</v>
      </c>
      <c r="D46">
        <v>184.62934252696499</v>
      </c>
      <c r="E46">
        <v>2320.6123050681899</v>
      </c>
      <c r="F46">
        <v>48.238859255823897</v>
      </c>
      <c r="H46">
        <v>0.74062689393939396</v>
      </c>
      <c r="I46">
        <f t="shared" si="0"/>
        <v>3910.51</v>
      </c>
      <c r="J46">
        <v>122.396323024829</v>
      </c>
      <c r="K46">
        <v>2173.5164945726601</v>
      </c>
      <c r="L46">
        <v>51.4835462647751</v>
      </c>
      <c r="N46">
        <v>0.74062689393939396</v>
      </c>
      <c r="O46">
        <f t="shared" si="1"/>
        <v>3910.51</v>
      </c>
      <c r="P46">
        <v>82.981849340144905</v>
      </c>
      <c r="Q46">
        <v>2303.1236561665501</v>
      </c>
      <c r="R46">
        <v>51.8690701354084</v>
      </c>
      <c r="U46">
        <v>3910.5099999999929</v>
      </c>
      <c r="V46">
        <v>156.16921875464573</v>
      </c>
      <c r="W46">
        <v>2165.36537441781</v>
      </c>
      <c r="X46">
        <v>48.841526301782849</v>
      </c>
      <c r="Z46">
        <v>3910.51</v>
      </c>
      <c r="AA46">
        <v>106.975867148193</v>
      </c>
      <c r="AB46">
        <v>2092.0734607549798</v>
      </c>
      <c r="AC46">
        <v>51.309378497520598</v>
      </c>
      <c r="AE46">
        <v>3910.51</v>
      </c>
      <c r="AF46">
        <v>74.861041405111393</v>
      </c>
      <c r="AG46">
        <v>2216.3707912302102</v>
      </c>
      <c r="AH46">
        <v>58.562277687438403</v>
      </c>
      <c r="AK46">
        <v>3910.5099999999929</v>
      </c>
      <c r="AL46">
        <v>132.68319694253395</v>
      </c>
      <c r="AM46">
        <v>3910.5099999999929</v>
      </c>
      <c r="AN46">
        <v>1901.1066391484271</v>
      </c>
      <c r="AO46">
        <v>3910.5099999999929</v>
      </c>
      <c r="AP46">
        <v>49.249979962341421</v>
      </c>
      <c r="AR46">
        <v>3910.51</v>
      </c>
      <c r="AS46">
        <v>95.203831242369006</v>
      </c>
      <c r="AT46">
        <v>3910.51</v>
      </c>
      <c r="AU46">
        <v>2093.2859761374398</v>
      </c>
      <c r="AV46">
        <v>3910.51</v>
      </c>
      <c r="AW46">
        <v>50.074253782808398</v>
      </c>
      <c r="AY46">
        <v>3910.51</v>
      </c>
      <c r="AZ46">
        <v>69.101707451186101</v>
      </c>
      <c r="BA46">
        <v>3910.51</v>
      </c>
      <c r="BB46">
        <v>2159.2737899604499</v>
      </c>
      <c r="BC46">
        <v>3910.51</v>
      </c>
      <c r="BD46">
        <v>57.606237170550799</v>
      </c>
      <c r="BG46" s="19">
        <v>3660.5099999999939</v>
      </c>
      <c r="BH46" s="34">
        <v>1231.9225903957013</v>
      </c>
      <c r="BJ46" s="19">
        <v>3660.5099999999939</v>
      </c>
      <c r="BK46" s="34">
        <v>1207.8586562232426</v>
      </c>
      <c r="BM46" s="19">
        <v>3660.5099999999939</v>
      </c>
      <c r="BN46" s="34">
        <v>40.864306677085402</v>
      </c>
      <c r="BQ46" s="19">
        <v>3660.5099999999939</v>
      </c>
      <c r="BR46" s="34">
        <v>40.98679847610547</v>
      </c>
    </row>
    <row r="47" spans="3:70" x14ac:dyDescent="0.35">
      <c r="C47">
        <v>4010.2599999999902</v>
      </c>
      <c r="D47">
        <v>184.530756527753</v>
      </c>
      <c r="E47">
        <v>2320.6166561999498</v>
      </c>
      <c r="F47">
        <v>48.241805855563797</v>
      </c>
      <c r="H47">
        <v>0.759518939393939</v>
      </c>
      <c r="I47">
        <f t="shared" si="0"/>
        <v>4010.2599999999979</v>
      </c>
      <c r="J47">
        <v>122.26020702591801</v>
      </c>
      <c r="K47">
        <v>2174.0806913235901</v>
      </c>
      <c r="L47">
        <v>52.824286603216201</v>
      </c>
      <c r="N47">
        <v>0.759518939393939</v>
      </c>
      <c r="O47">
        <f t="shared" si="1"/>
        <v>4010.2599999999979</v>
      </c>
      <c r="P47">
        <v>82.668487342651801</v>
      </c>
      <c r="Q47">
        <v>2303.77052442084</v>
      </c>
      <c r="R47">
        <v>61.462249983595001</v>
      </c>
      <c r="U47">
        <v>4010.2599999999925</v>
      </c>
      <c r="V47">
        <v>156.08361075533057</v>
      </c>
      <c r="W47">
        <v>2166.0194945583507</v>
      </c>
      <c r="X47">
        <v>48.829546376145323</v>
      </c>
      <c r="Z47">
        <v>4010.26</v>
      </c>
      <c r="AA47">
        <v>108.01444913988399</v>
      </c>
      <c r="AB47">
        <v>2092.7029244822402</v>
      </c>
      <c r="AC47">
        <v>72.132449493499706</v>
      </c>
      <c r="AE47">
        <v>4010.26</v>
      </c>
      <c r="AF47">
        <v>75.060823403513197</v>
      </c>
      <c r="AG47">
        <v>2217.1162851376098</v>
      </c>
      <c r="AH47">
        <v>71.6250350298114</v>
      </c>
      <c r="AK47">
        <v>4010.2599999999925</v>
      </c>
      <c r="AL47">
        <v>132.60630094314914</v>
      </c>
      <c r="AM47">
        <v>4010.2599999999925</v>
      </c>
      <c r="AN47">
        <v>1901.7636600434712</v>
      </c>
      <c r="AO47">
        <v>4010.2599999999925</v>
      </c>
      <c r="AP47">
        <v>49.225096177249618</v>
      </c>
      <c r="AR47">
        <v>4010.26</v>
      </c>
      <c r="AS47">
        <v>96.346669233226294</v>
      </c>
      <c r="AT47">
        <v>4010.26</v>
      </c>
      <c r="AU47">
        <v>2093.8893330741698</v>
      </c>
      <c r="AV47">
        <v>4010.26</v>
      </c>
      <c r="AW47">
        <v>74.424055070895406</v>
      </c>
      <c r="AY47">
        <v>4010.26</v>
      </c>
      <c r="AZ47">
        <v>69.222919450216395</v>
      </c>
      <c r="BA47">
        <v>4010.26</v>
      </c>
      <c r="BB47">
        <v>2160.01493273609</v>
      </c>
      <c r="BC47">
        <v>4010.26</v>
      </c>
      <c r="BD47">
        <v>73.585085708505105</v>
      </c>
      <c r="BG47" s="19">
        <v>3785.5099999999934</v>
      </c>
      <c r="BH47" s="34">
        <v>1232.9910833170677</v>
      </c>
      <c r="BJ47" s="19">
        <v>3785.5099999999934</v>
      </c>
      <c r="BK47" s="34">
        <v>1208.9154010888699</v>
      </c>
      <c r="BM47" s="19">
        <v>3785.5099999999934</v>
      </c>
      <c r="BN47" s="34">
        <v>40.86073547711397</v>
      </c>
      <c r="BQ47" s="19">
        <v>3785.5099999999934</v>
      </c>
      <c r="BR47" s="34">
        <v>40.987559876099382</v>
      </c>
    </row>
    <row r="48" spans="3:70" x14ac:dyDescent="0.35">
      <c r="C48">
        <v>4084.7599999999902</v>
      </c>
      <c r="D48">
        <v>184.429506528563</v>
      </c>
      <c r="E48">
        <v>2319.9480322868899</v>
      </c>
      <c r="F48">
        <v>48.243878463855403</v>
      </c>
      <c r="H48">
        <v>0.77362878787878797</v>
      </c>
      <c r="I48">
        <f t="shared" si="0"/>
        <v>4084.7600000000007</v>
      </c>
      <c r="J48">
        <v>122.12274102701799</v>
      </c>
      <c r="K48">
        <v>2173.8022188912601</v>
      </c>
      <c r="L48">
        <v>52.990451105922801</v>
      </c>
      <c r="N48">
        <v>0.77362878787878797</v>
      </c>
      <c r="O48">
        <f t="shared" si="1"/>
        <v>4084.7600000000007</v>
      </c>
      <c r="P48">
        <v>82.356295345149306</v>
      </c>
      <c r="Q48">
        <v>2303.5225099107902</v>
      </c>
      <c r="R48">
        <v>61.050337814019699</v>
      </c>
      <c r="U48">
        <v>4084.7599999999929</v>
      </c>
      <c r="V48">
        <v>155.93406675652693</v>
      </c>
      <c r="W48">
        <v>2165.8280447611191</v>
      </c>
      <c r="X48">
        <v>48.724086822317965</v>
      </c>
      <c r="Z48">
        <v>4084.76</v>
      </c>
      <c r="AA48">
        <v>104.68219916654201</v>
      </c>
      <c r="AB48">
        <v>2092.4984212897398</v>
      </c>
      <c r="AC48">
        <v>50.100492254644998</v>
      </c>
      <c r="AE48">
        <v>4084.76</v>
      </c>
      <c r="AF48">
        <v>73.111405419108493</v>
      </c>
      <c r="AG48">
        <v>2216.9117819451099</v>
      </c>
      <c r="AH48">
        <v>50.276045922624597</v>
      </c>
      <c r="AK48">
        <v>4084.7599999999929</v>
      </c>
      <c r="AL48">
        <v>132.43837894449251</v>
      </c>
      <c r="AM48">
        <v>4084.7599999999929</v>
      </c>
      <c r="AN48">
        <v>1901.570759868988</v>
      </c>
      <c r="AO48">
        <v>4084.7599999999929</v>
      </c>
      <c r="AP48">
        <v>49.129156887412485</v>
      </c>
      <c r="AR48">
        <v>4084.76</v>
      </c>
      <c r="AS48">
        <v>91.606027271151504</v>
      </c>
      <c r="AT48">
        <v>4084.76</v>
      </c>
      <c r="AU48">
        <v>2093.68192912717</v>
      </c>
      <c r="AV48">
        <v>4084.76</v>
      </c>
      <c r="AW48">
        <v>50.407100940294498</v>
      </c>
      <c r="AY48">
        <v>4084.76</v>
      </c>
      <c r="AZ48">
        <v>66.311527473507596</v>
      </c>
      <c r="BA48">
        <v>4084.76</v>
      </c>
      <c r="BB48">
        <v>2159.8060784118402</v>
      </c>
      <c r="BC48">
        <v>4084.76</v>
      </c>
      <c r="BD48">
        <v>50.430455240351797</v>
      </c>
      <c r="BG48" s="19">
        <v>3910.5099999999929</v>
      </c>
      <c r="BH48" s="34">
        <v>1234.5457426932217</v>
      </c>
      <c r="BJ48" s="19">
        <v>3910.5099999999929</v>
      </c>
      <c r="BK48" s="34">
        <v>1210.4586024847349</v>
      </c>
      <c r="BM48" s="19">
        <v>3910.5099999999929</v>
      </c>
      <c r="BN48" s="34">
        <v>40.859182077126405</v>
      </c>
      <c r="BQ48" s="19">
        <v>3910.5099999999929</v>
      </c>
      <c r="BR48" s="34">
        <v>40.979477876164033</v>
      </c>
    </row>
    <row r="49" spans="1:70" x14ac:dyDescent="0.35">
      <c r="C49">
        <v>4184.5099999999902</v>
      </c>
      <c r="D49">
        <v>184.26068452991399</v>
      </c>
      <c r="E49">
        <v>2319.61879665074</v>
      </c>
      <c r="F49">
        <v>48.247530499550003</v>
      </c>
      <c r="H49">
        <v>0.79252083333333301</v>
      </c>
      <c r="I49">
        <f t="shared" si="0"/>
        <v>4184.5099999999984</v>
      </c>
      <c r="J49">
        <v>121.893799028849</v>
      </c>
      <c r="K49">
        <v>2174.0357296287898</v>
      </c>
      <c r="L49">
        <v>51.824571485098701</v>
      </c>
      <c r="N49">
        <v>0.79252083333333301</v>
      </c>
      <c r="O49">
        <f t="shared" si="1"/>
        <v>4184.5099999999984</v>
      </c>
      <c r="P49">
        <v>81.842323349261093</v>
      </c>
      <c r="Q49">
        <v>2303.8372417744199</v>
      </c>
      <c r="R49">
        <v>52.191891362423497</v>
      </c>
      <c r="U49">
        <v>4184.5099999999929</v>
      </c>
      <c r="V49">
        <v>155.80857075753087</v>
      </c>
      <c r="W49">
        <v>2166.141326247498</v>
      </c>
      <c r="X49">
        <v>48.727239434327835</v>
      </c>
      <c r="Z49">
        <v>4184.51</v>
      </c>
      <c r="AA49">
        <v>104.77241516581999</v>
      </c>
      <c r="AB49">
        <v>2092.8349088121499</v>
      </c>
      <c r="AC49">
        <v>51.938858352553702</v>
      </c>
      <c r="AE49">
        <v>4184.51</v>
      </c>
      <c r="AF49">
        <v>72.3958334248331</v>
      </c>
      <c r="AG49">
        <v>2217.2526205992699</v>
      </c>
      <c r="AH49">
        <v>52.502876248110397</v>
      </c>
      <c r="AK49">
        <v>4184.5099999999929</v>
      </c>
      <c r="AL49">
        <v>132.34659694522676</v>
      </c>
      <c r="AM49">
        <v>4184.5099999999929</v>
      </c>
      <c r="AN49">
        <v>1901.8869421098702</v>
      </c>
      <c r="AO49">
        <v>4184.5099999999929</v>
      </c>
      <c r="AP49">
        <v>49.131466721954368</v>
      </c>
      <c r="AR49">
        <v>4184.51</v>
      </c>
      <c r="AS49">
        <v>92.742133262062595</v>
      </c>
      <c r="AT49">
        <v>4184.51</v>
      </c>
      <c r="AU49">
        <v>2094.04307306286</v>
      </c>
      <c r="AV49">
        <v>4184.51</v>
      </c>
      <c r="AW49">
        <v>55.0122492804377</v>
      </c>
      <c r="AY49">
        <v>4184.51</v>
      </c>
      <c r="AZ49">
        <v>66.0782474753738</v>
      </c>
      <c r="BA49">
        <v>4184.51</v>
      </c>
      <c r="BB49">
        <v>2160.1527185750101</v>
      </c>
      <c r="BC49">
        <v>4184.51</v>
      </c>
      <c r="BD49">
        <v>53.348512916691803</v>
      </c>
      <c r="BG49" s="19">
        <v>4010.2599999999925</v>
      </c>
      <c r="BH49" s="34">
        <v>1235.2221986434392</v>
      </c>
      <c r="BJ49" s="19">
        <v>4010.2599999999925</v>
      </c>
      <c r="BK49" s="34">
        <v>1211.1275164732435</v>
      </c>
      <c r="BM49" s="19">
        <v>4010.2599999999925</v>
      </c>
      <c r="BN49" s="34">
        <v>40.85688887714474</v>
      </c>
      <c r="BQ49" s="19">
        <v>4010.2599999999925</v>
      </c>
      <c r="BR49" s="34">
        <v>40.959089276327141</v>
      </c>
    </row>
    <row r="50" spans="1:70" x14ac:dyDescent="0.35">
      <c r="C50">
        <v>4309.5099999999902</v>
      </c>
      <c r="D50">
        <v>184.09396853124801</v>
      </c>
      <c r="E50">
        <v>2319.6274989142498</v>
      </c>
      <c r="F50">
        <v>48.251681958929403</v>
      </c>
      <c r="H50">
        <v>0.81619507575757499</v>
      </c>
      <c r="I50">
        <f t="shared" si="0"/>
        <v>4309.5099999999957</v>
      </c>
      <c r="J50">
        <v>121.666495030668</v>
      </c>
      <c r="K50">
        <v>2174.7681701409201</v>
      </c>
      <c r="L50">
        <v>51.793894385263997</v>
      </c>
      <c r="N50">
        <v>0.81619507575757499</v>
      </c>
      <c r="O50">
        <f t="shared" si="1"/>
        <v>4309.5099999999957</v>
      </c>
      <c r="P50">
        <v>81.336253353309701</v>
      </c>
      <c r="Q50">
        <v>2304.6871628439399</v>
      </c>
      <c r="R50">
        <v>52.251909603736202</v>
      </c>
      <c r="U50">
        <v>4309.509999999992</v>
      </c>
      <c r="V50">
        <v>155.75680275794505</v>
      </c>
      <c r="W50">
        <v>2166.9593390174864</v>
      </c>
      <c r="X50">
        <v>48.889714444563481</v>
      </c>
      <c r="Z50">
        <v>4309.51</v>
      </c>
      <c r="AA50">
        <v>107.554657143562</v>
      </c>
      <c r="AB50">
        <v>2093.8298676068498</v>
      </c>
      <c r="AC50">
        <v>66.775506195136401</v>
      </c>
      <c r="AE50">
        <v>4309.51</v>
      </c>
      <c r="AF50">
        <v>73.682311414541203</v>
      </c>
      <c r="AG50">
        <v>2218.2504801484802</v>
      </c>
      <c r="AH50">
        <v>66.502758435311804</v>
      </c>
      <c r="AK50">
        <v>4309.509999999992</v>
      </c>
      <c r="AL50">
        <v>132.36589294507237</v>
      </c>
      <c r="AM50">
        <v>4309.509999999992</v>
      </c>
      <c r="AN50">
        <v>1902.7107563888658</v>
      </c>
      <c r="AO50">
        <v>4309.509999999992</v>
      </c>
      <c r="AP50">
        <v>49.292699415774237</v>
      </c>
      <c r="AR50">
        <v>4309.51</v>
      </c>
      <c r="AS50">
        <v>97.132297226941304</v>
      </c>
      <c r="AT50">
        <v>4309.51</v>
      </c>
      <c r="AU50">
        <v>2095.0670394026001</v>
      </c>
      <c r="AV50">
        <v>4309.51</v>
      </c>
      <c r="AW50">
        <v>66.938880168004502</v>
      </c>
      <c r="AY50">
        <v>4309.51</v>
      </c>
      <c r="AZ50">
        <v>68.379403456964496</v>
      </c>
      <c r="BA50">
        <v>4309.51</v>
      </c>
      <c r="BB50">
        <v>2161.1607307649801</v>
      </c>
      <c r="BC50">
        <v>4309.51</v>
      </c>
      <c r="BD50">
        <v>67.007363640773505</v>
      </c>
      <c r="BG50" s="19">
        <v>4084.7599999999929</v>
      </c>
      <c r="BH50" s="34">
        <v>1235.0577258630906</v>
      </c>
      <c r="BJ50" s="19">
        <v>4084.7599999999929</v>
      </c>
      <c r="BK50" s="34">
        <v>1210.9868298798235</v>
      </c>
      <c r="BM50" s="19">
        <v>4084.7599999999929</v>
      </c>
      <c r="BN50" s="34">
        <v>40.817337477461159</v>
      </c>
      <c r="BQ50" s="19">
        <v>4084.7599999999929</v>
      </c>
      <c r="BR50" s="34">
        <v>40.920983276631993</v>
      </c>
    </row>
    <row r="51" spans="1:70" x14ac:dyDescent="0.35">
      <c r="C51">
        <v>4409.2699999999904</v>
      </c>
      <c r="D51">
        <v>183.994428532044</v>
      </c>
      <c r="E51">
        <v>2319.1010119718599</v>
      </c>
      <c r="F51">
        <v>48.254297690478197</v>
      </c>
      <c r="H51">
        <v>0.83508901515151501</v>
      </c>
      <c r="I51">
        <f t="shared" si="0"/>
        <v>4409.2699999999995</v>
      </c>
      <c r="J51">
        <v>121.530685031754</v>
      </c>
      <c r="K51">
        <v>2174.7710708954301</v>
      </c>
      <c r="L51">
        <v>53.633415400443603</v>
      </c>
      <c r="N51">
        <v>0.83508901515151501</v>
      </c>
      <c r="O51">
        <f t="shared" si="1"/>
        <v>4409.2699999999995</v>
      </c>
      <c r="P51">
        <v>81.0367873557054</v>
      </c>
      <c r="Q51">
        <v>2304.7306741614998</v>
      </c>
      <c r="R51">
        <v>62.420775133314201</v>
      </c>
      <c r="U51">
        <v>4409.2699999999913</v>
      </c>
      <c r="V51">
        <v>155.66485875868059</v>
      </c>
      <c r="W51">
        <v>2167.0695676886198</v>
      </c>
      <c r="X51">
        <v>48.892536188382223</v>
      </c>
      <c r="Z51">
        <v>4409.2700000000004</v>
      </c>
      <c r="AA51">
        <v>108.028255139774</v>
      </c>
      <c r="AB51">
        <v>2093.9879587272899</v>
      </c>
      <c r="AC51">
        <v>66.765392865520496</v>
      </c>
      <c r="AE51">
        <v>4409.2700000000004</v>
      </c>
      <c r="AF51">
        <v>73.977313412181203</v>
      </c>
      <c r="AG51">
        <v>2218.4027697599099</v>
      </c>
      <c r="AH51">
        <v>67.196645217287198</v>
      </c>
      <c r="AK51">
        <v>4409.2699999999913</v>
      </c>
      <c r="AL51">
        <v>132.28545094571592</v>
      </c>
      <c r="AM51">
        <v>4409.2699999999913</v>
      </c>
      <c r="AN51">
        <v>1902.8224354372508</v>
      </c>
      <c r="AO51">
        <v>4409.2699999999913</v>
      </c>
      <c r="AP51">
        <v>49.293255024623505</v>
      </c>
      <c r="AR51">
        <v>4409.2700000000004</v>
      </c>
      <c r="AS51">
        <v>97.472659224218404</v>
      </c>
      <c r="AT51">
        <v>4409.2700000000004</v>
      </c>
      <c r="AU51">
        <v>2095.2251305230402</v>
      </c>
      <c r="AV51">
        <v>4409.2700000000004</v>
      </c>
      <c r="AW51">
        <v>66.930764533127601</v>
      </c>
      <c r="AY51">
        <v>4409.2700000000004</v>
      </c>
      <c r="AZ51">
        <v>68.643589454850996</v>
      </c>
      <c r="BA51">
        <v>4409.2700000000004</v>
      </c>
      <c r="BB51">
        <v>2161.3173715081698</v>
      </c>
      <c r="BC51">
        <v>4409.2700000000004</v>
      </c>
      <c r="BD51">
        <v>67.258448898272803</v>
      </c>
      <c r="BG51" s="19">
        <v>4184.5099999999929</v>
      </c>
      <c r="BH51" s="34">
        <v>1235.3759386321251</v>
      </c>
      <c r="BJ51" s="19">
        <v>4184.5099999999929</v>
      </c>
      <c r="BK51" s="34">
        <v>1211.2940197817447</v>
      </c>
      <c r="BM51" s="19">
        <v>4184.5099999999929</v>
      </c>
      <c r="BN51" s="34">
        <v>40.837549677299457</v>
      </c>
      <c r="BQ51" s="19">
        <v>4184.5099999999929</v>
      </c>
      <c r="BR51" s="34">
        <v>40.930526876555646</v>
      </c>
    </row>
    <row r="52" spans="1:70" x14ac:dyDescent="0.35">
      <c r="A52" s="6"/>
      <c r="C52">
        <v>4483.78999999999</v>
      </c>
      <c r="D52">
        <v>183.89258453285899</v>
      </c>
      <c r="E52">
        <v>2318.0393358235801</v>
      </c>
      <c r="F52">
        <v>48.256126829723499</v>
      </c>
      <c r="H52">
        <v>0.84920265151515095</v>
      </c>
      <c r="I52">
        <f t="shared" si="0"/>
        <v>4483.7899999999972</v>
      </c>
      <c r="J52">
        <v>121.393777032849</v>
      </c>
      <c r="K52">
        <v>2174.0516837785599</v>
      </c>
      <c r="L52">
        <v>53.738981081803999</v>
      </c>
      <c r="N52">
        <v>0.84920265151515095</v>
      </c>
      <c r="O52">
        <f t="shared" si="1"/>
        <v>4483.7899999999972</v>
      </c>
      <c r="P52">
        <v>80.739697358082097</v>
      </c>
      <c r="Q52">
        <v>2303.9692261043301</v>
      </c>
      <c r="R52">
        <v>62.449123670218803</v>
      </c>
      <c r="U52">
        <v>4483.7899999999927</v>
      </c>
      <c r="V52">
        <v>155.52165075982629</v>
      </c>
      <c r="W52">
        <v>2166.4778137699045</v>
      </c>
      <c r="X52">
        <v>48.733912983315079</v>
      </c>
      <c r="Z52">
        <v>4483.79</v>
      </c>
      <c r="AA52">
        <v>107.79864714161</v>
      </c>
      <c r="AB52">
        <v>2093.1859001070702</v>
      </c>
      <c r="AC52">
        <v>66.739297977993203</v>
      </c>
      <c r="AE52">
        <v>4483.79</v>
      </c>
      <c r="AF52">
        <v>73.726303414189303</v>
      </c>
      <c r="AG52">
        <v>2217.5949096306799</v>
      </c>
      <c r="AH52">
        <v>67.158626589286897</v>
      </c>
      <c r="AK52">
        <v>4483.7899999999927</v>
      </c>
      <c r="AL52">
        <v>132.14616694683022</v>
      </c>
      <c r="AM52">
        <v>4483.7899999999927</v>
      </c>
      <c r="AN52">
        <v>1902.2263303867803</v>
      </c>
      <c r="AO52">
        <v>4483.7899999999927</v>
      </c>
      <c r="AP52">
        <v>49.13630488890022</v>
      </c>
      <c r="AR52">
        <v>4483.79</v>
      </c>
      <c r="AS52">
        <v>97.276747225785698</v>
      </c>
      <c r="AT52">
        <v>4483.79</v>
      </c>
      <c r="AU52">
        <v>2094.4216215255701</v>
      </c>
      <c r="AV52">
        <v>4483.79</v>
      </c>
      <c r="AW52">
        <v>66.917404949561003</v>
      </c>
      <c r="AY52">
        <v>4483.79</v>
      </c>
      <c r="AZ52">
        <v>68.441809456465293</v>
      </c>
      <c r="BA52">
        <v>4483.79</v>
      </c>
      <c r="BB52">
        <v>2160.5080610016898</v>
      </c>
      <c r="BC52">
        <v>4483.79</v>
      </c>
      <c r="BD52">
        <v>67.244714746942705</v>
      </c>
      <c r="BG52" s="19">
        <v>4309.509999999992</v>
      </c>
      <c r="BH52" s="34">
        <v>1236.2277451920795</v>
      </c>
      <c r="BJ52" s="19">
        <v>4309.509999999992</v>
      </c>
      <c r="BK52" s="34">
        <v>1212.1250859469992</v>
      </c>
      <c r="BM52" s="19">
        <v>4309.509999999992</v>
      </c>
      <c r="BN52" s="34">
        <v>40.857225477142059</v>
      </c>
      <c r="BQ52" s="19">
        <v>4309.509999999992</v>
      </c>
      <c r="BR52" s="34">
        <v>40.9687066762502</v>
      </c>
    </row>
    <row r="53" spans="1:70" x14ac:dyDescent="0.35">
      <c r="C53">
        <v>4570.2999999999902</v>
      </c>
      <c r="D53">
        <v>183.75875453392899</v>
      </c>
      <c r="E53">
        <v>2317.1110943824601</v>
      </c>
      <c r="F53">
        <v>48.258617705351099</v>
      </c>
      <c r="H53">
        <v>0.865587121212121</v>
      </c>
      <c r="I53">
        <f t="shared" si="0"/>
        <v>4570.2999999999993</v>
      </c>
      <c r="J53">
        <v>121.213579034291</v>
      </c>
      <c r="K53">
        <v>2173.5542043812102</v>
      </c>
      <c r="L53">
        <v>52.934715422706603</v>
      </c>
      <c r="N53">
        <v>0.865587121212121</v>
      </c>
      <c r="O53">
        <f t="shared" si="1"/>
        <v>4570.2999999999993</v>
      </c>
      <c r="P53">
        <v>80.352247361181696</v>
      </c>
      <c r="Q53">
        <v>2303.4804489704902</v>
      </c>
      <c r="R53">
        <v>61.205271526615903</v>
      </c>
      <c r="U53">
        <v>4570.299999999992</v>
      </c>
      <c r="V53">
        <v>155.66433675868475</v>
      </c>
      <c r="W53">
        <v>2166.0949141754418</v>
      </c>
      <c r="X53">
        <v>49.421575697619488</v>
      </c>
      <c r="Z53">
        <v>4570.3</v>
      </c>
      <c r="AA53">
        <v>107.55591714355199</v>
      </c>
      <c r="AB53">
        <v>2092.6739169372099</v>
      </c>
      <c r="AC53">
        <v>66.652335828889207</v>
      </c>
      <c r="AE53">
        <v>4570.3</v>
      </c>
      <c r="AF53">
        <v>73.3890734168872</v>
      </c>
      <c r="AG53">
        <v>2217.0800257063102</v>
      </c>
      <c r="AH53">
        <v>67.024156762172595</v>
      </c>
      <c r="AK53">
        <v>4570.299999999992</v>
      </c>
      <c r="AL53">
        <v>132.48557494411494</v>
      </c>
      <c r="AM53">
        <v>4570.299999999992</v>
      </c>
      <c r="AN53">
        <v>1901.840530037814</v>
      </c>
      <c r="AO53">
        <v>4570.299999999992</v>
      </c>
      <c r="AP53">
        <v>49.845973459313164</v>
      </c>
      <c r="AR53">
        <v>4570.3</v>
      </c>
      <c r="AS53">
        <v>97.073275227413504</v>
      </c>
      <c r="AT53">
        <v>4570.3</v>
      </c>
      <c r="AU53">
        <v>2093.9081879784499</v>
      </c>
      <c r="AV53">
        <v>4570.3</v>
      </c>
      <c r="AW53">
        <v>66.870084555432598</v>
      </c>
      <c r="AY53">
        <v>4570.3</v>
      </c>
      <c r="AZ53">
        <v>68.157697458738198</v>
      </c>
      <c r="BA53">
        <v>4570.3</v>
      </c>
      <c r="BB53">
        <v>2159.9917267000701</v>
      </c>
      <c r="BC53">
        <v>4570.3</v>
      </c>
      <c r="BD53">
        <v>67.175669422528401</v>
      </c>
      <c r="BG53" s="19">
        <v>4409.2699999999913</v>
      </c>
      <c r="BH53" s="34">
        <v>1236.3479814662498</v>
      </c>
      <c r="BJ53" s="19">
        <v>4409.2699999999913</v>
      </c>
      <c r="BK53" s="34">
        <v>1212.2348795049568</v>
      </c>
      <c r="BM53" s="19">
        <v>4409.2699999999913</v>
      </c>
      <c r="BN53" s="34">
        <v>40.868295477053493</v>
      </c>
      <c r="BQ53" s="19">
        <v>4409.2699999999913</v>
      </c>
      <c r="BR53" s="34">
        <v>40.988355476093012</v>
      </c>
    </row>
    <row r="54" spans="1:70" x14ac:dyDescent="0.35">
      <c r="C54">
        <v>4668.7999999999902</v>
      </c>
      <c r="D54">
        <v>183.62587853499201</v>
      </c>
      <c r="E54">
        <v>2316.3162876484998</v>
      </c>
      <c r="F54">
        <v>48.261520605518598</v>
      </c>
      <c r="H54">
        <v>0.88424242424242405</v>
      </c>
      <c r="I54">
        <f t="shared" si="0"/>
        <v>4668.7999999999993</v>
      </c>
      <c r="J54">
        <v>121.03408303572699</v>
      </c>
      <c r="K54">
        <v>2173.2829838351299</v>
      </c>
      <c r="L54">
        <v>52.915119285876898</v>
      </c>
      <c r="N54">
        <v>0.88424242424242405</v>
      </c>
      <c r="O54">
        <f t="shared" si="1"/>
        <v>4668.7999999999993</v>
      </c>
      <c r="P54">
        <v>79.970071364239104</v>
      </c>
      <c r="Q54">
        <v>2303.26579313723</v>
      </c>
      <c r="R54">
        <v>61.285560126732697</v>
      </c>
      <c r="U54">
        <v>4668.799999999992</v>
      </c>
      <c r="V54">
        <v>155.3042107615658</v>
      </c>
      <c r="W54">
        <v>2165.9310215459936</v>
      </c>
      <c r="X54">
        <v>48.740249421315127</v>
      </c>
      <c r="Z54">
        <v>4668.8</v>
      </c>
      <c r="AA54">
        <v>107.383999144928</v>
      </c>
      <c r="AB54">
        <v>2092.4520092176899</v>
      </c>
      <c r="AC54">
        <v>66.615503332140193</v>
      </c>
      <c r="AE54">
        <v>4668.8</v>
      </c>
      <c r="AF54">
        <v>73.117291419061402</v>
      </c>
      <c r="AG54">
        <v>2216.8566676095402</v>
      </c>
      <c r="AH54">
        <v>66.941190002546406</v>
      </c>
      <c r="AK54">
        <v>4668.799999999992</v>
      </c>
      <c r="AL54">
        <v>131.93837494849257</v>
      </c>
      <c r="AM54">
        <v>4668.799999999992</v>
      </c>
      <c r="AN54">
        <v>1901.6766374083659</v>
      </c>
      <c r="AO54">
        <v>4668.799999999992</v>
      </c>
      <c r="AP54">
        <v>49.141274154563305</v>
      </c>
      <c r="AR54">
        <v>4668.8</v>
      </c>
      <c r="AS54">
        <v>96.925675228594301</v>
      </c>
      <c r="AT54">
        <v>4668.8</v>
      </c>
      <c r="AU54">
        <v>2093.6848298816799</v>
      </c>
      <c r="AV54">
        <v>4668.8</v>
      </c>
      <c r="AW54">
        <v>66.841929545205801</v>
      </c>
      <c r="AY54">
        <v>4668.8</v>
      </c>
      <c r="AZ54">
        <v>67.925281460597503</v>
      </c>
      <c r="BA54">
        <v>4668.8</v>
      </c>
      <c r="BB54">
        <v>2159.7683686033001</v>
      </c>
      <c r="BC54">
        <v>4668.8</v>
      </c>
      <c r="BD54">
        <v>67.137276226764598</v>
      </c>
      <c r="BG54" s="19">
        <v>4483.7899999999927</v>
      </c>
      <c r="BH54" s="34">
        <v>1235.7354871528346</v>
      </c>
      <c r="BJ54" s="19">
        <v>4483.7899999999927</v>
      </c>
      <c r="BK54" s="34">
        <v>1211.6149882675577</v>
      </c>
      <c r="BM54" s="19">
        <v>4483.7899999999927</v>
      </c>
      <c r="BN54" s="34">
        <v>40.880719076954108</v>
      </c>
      <c r="BQ54" s="19">
        <v>4483.7899999999927</v>
      </c>
      <c r="BR54" s="34">
        <v>41.004278275965632</v>
      </c>
    </row>
    <row r="55" spans="1:70" x14ac:dyDescent="0.35">
      <c r="C55">
        <v>4755.3199999999897</v>
      </c>
      <c r="D55">
        <v>183.52484453580101</v>
      </c>
      <c r="E55">
        <v>2315.27781753624</v>
      </c>
      <c r="F55">
        <v>48.263524543053599</v>
      </c>
      <c r="H55">
        <v>0.90062878787878697</v>
      </c>
      <c r="I55">
        <f t="shared" si="0"/>
        <v>4755.3199999999952</v>
      </c>
      <c r="J55">
        <v>120.897967036816</v>
      </c>
      <c r="K55">
        <v>2172.6651231258802</v>
      </c>
      <c r="L55">
        <v>53.973173333167203</v>
      </c>
      <c r="N55">
        <v>0.90062878787878697</v>
      </c>
      <c r="O55">
        <f t="shared" si="1"/>
        <v>4755.3199999999952</v>
      </c>
      <c r="P55">
        <v>79.683745366529706</v>
      </c>
      <c r="Q55">
        <v>2302.6363294099701</v>
      </c>
      <c r="R55">
        <v>62.586777323323197</v>
      </c>
      <c r="U55">
        <v>4755.3199999999915</v>
      </c>
      <c r="V55">
        <v>155.21916076224616</v>
      </c>
      <c r="W55">
        <v>2165.4451451666564</v>
      </c>
      <c r="X55">
        <v>48.746841813953601</v>
      </c>
      <c r="Z55">
        <v>4755.32</v>
      </c>
      <c r="AA55">
        <v>107.248819146009</v>
      </c>
      <c r="AB55">
        <v>2091.7891868136398</v>
      </c>
      <c r="AC55">
        <v>66.714951073362499</v>
      </c>
      <c r="AE55">
        <v>4755.32</v>
      </c>
      <c r="AF55">
        <v>72.917023420663597</v>
      </c>
      <c r="AG55">
        <v>2216.1909444509902</v>
      </c>
      <c r="AH55">
        <v>67.092140811256897</v>
      </c>
      <c r="AK55">
        <v>4755.3199999999915</v>
      </c>
      <c r="AL55">
        <v>131.86885894904867</v>
      </c>
      <c r="AM55">
        <v>4755.3199999999915</v>
      </c>
      <c r="AN55">
        <v>1901.1864098972735</v>
      </c>
      <c r="AO55">
        <v>4755.3199999999915</v>
      </c>
      <c r="AP55">
        <v>49.14568781137713</v>
      </c>
      <c r="AR55">
        <v>4755.32</v>
      </c>
      <c r="AS55">
        <v>96.796885229624607</v>
      </c>
      <c r="AT55">
        <v>4755.32</v>
      </c>
      <c r="AU55">
        <v>2093.0205571003698</v>
      </c>
      <c r="AV55">
        <v>4755.32</v>
      </c>
      <c r="AW55">
        <v>66.944061688733598</v>
      </c>
      <c r="AY55">
        <v>4755.32</v>
      </c>
      <c r="AZ55">
        <v>67.758259461933704</v>
      </c>
      <c r="BA55">
        <v>4755.32</v>
      </c>
      <c r="BB55">
        <v>2159.1011950674902</v>
      </c>
      <c r="BC55">
        <v>4755.32</v>
      </c>
      <c r="BD55">
        <v>67.215373605464606</v>
      </c>
      <c r="BG55" s="19">
        <v>4570.299999999992</v>
      </c>
      <c r="BH55" s="34">
        <v>1235.3364883708773</v>
      </c>
      <c r="BJ55" s="19">
        <v>4570.299999999992</v>
      </c>
      <c r="BK55" s="34">
        <v>1211.2110582029445</v>
      </c>
      <c r="BM55" s="19">
        <v>4570.299999999992</v>
      </c>
      <c r="BN55" s="34">
        <v>40.92194627662429</v>
      </c>
      <c r="BQ55" s="19">
        <v>4570.299999999992</v>
      </c>
      <c r="BR55" s="34">
        <v>41.023183675814387</v>
      </c>
    </row>
    <row r="56" spans="1:70" x14ac:dyDescent="0.35">
      <c r="C56">
        <v>4829.8599999999897</v>
      </c>
      <c r="D56">
        <v>183.42280253661701</v>
      </c>
      <c r="E56">
        <v>2313.9985848002002</v>
      </c>
      <c r="F56">
        <v>48.265216340785599</v>
      </c>
      <c r="H56">
        <v>0.91474621212121199</v>
      </c>
      <c r="I56">
        <f t="shared" si="0"/>
        <v>4829.8599999999997</v>
      </c>
      <c r="J56">
        <v>120.761617037907</v>
      </c>
      <c r="K56">
        <v>2171.6977214989602</v>
      </c>
      <c r="L56">
        <v>54.009712418501501</v>
      </c>
      <c r="N56">
        <v>0.91474621212121199</v>
      </c>
      <c r="O56">
        <f t="shared" si="1"/>
        <v>4829.8599999999997</v>
      </c>
      <c r="P56">
        <v>79.400137368798596</v>
      </c>
      <c r="Q56">
        <v>2301.59060741145</v>
      </c>
      <c r="R56">
        <v>62.5919588440523</v>
      </c>
      <c r="U56">
        <v>4829.8599999999924</v>
      </c>
      <c r="V56">
        <v>155.13666676290612</v>
      </c>
      <c r="W56">
        <v>2164.6358346601783</v>
      </c>
      <c r="X56">
        <v>48.747809447342767</v>
      </c>
      <c r="Z56">
        <v>4829.8599999999997</v>
      </c>
      <c r="AA56">
        <v>107.02614114779</v>
      </c>
      <c r="AB56">
        <v>2090.6883504795601</v>
      </c>
      <c r="AC56">
        <v>66.667630679234094</v>
      </c>
      <c r="AE56">
        <v>4829.8599999999997</v>
      </c>
      <c r="AF56">
        <v>72.6832574225337</v>
      </c>
      <c r="AG56">
        <v>2215.0828562306501</v>
      </c>
      <c r="AH56">
        <v>67.090267972439094</v>
      </c>
      <c r="AK56">
        <v>4829.8599999999924</v>
      </c>
      <c r="AL56">
        <v>131.80303294957525</v>
      </c>
      <c r="AM56">
        <v>4829.8599999999924</v>
      </c>
      <c r="AN56">
        <v>1900.37274825904</v>
      </c>
      <c r="AO56">
        <v>4829.8599999999924</v>
      </c>
      <c r="AP56">
        <v>49.146530588845117</v>
      </c>
      <c r="AR56">
        <v>4829.8599999999997</v>
      </c>
      <c r="AS56">
        <v>96.413071232695103</v>
      </c>
      <c r="AT56">
        <v>4829.8599999999997</v>
      </c>
      <c r="AU56">
        <v>2091.9284230297999</v>
      </c>
      <c r="AV56">
        <v>4829.8599999999997</v>
      </c>
      <c r="AW56">
        <v>65.8330312740853</v>
      </c>
      <c r="AY56">
        <v>4829.8599999999997</v>
      </c>
      <c r="AZ56">
        <v>67.560907463512507</v>
      </c>
      <c r="BA56">
        <v>4829.8599999999997</v>
      </c>
      <c r="BB56">
        <v>2157.9916564699001</v>
      </c>
      <c r="BC56">
        <v>4829.8599999999997</v>
      </c>
      <c r="BD56">
        <v>67.209942372893195</v>
      </c>
      <c r="BG56" s="19">
        <v>4668.799999999992</v>
      </c>
      <c r="BH56" s="34">
        <v>1235.1660690437964</v>
      </c>
      <c r="BJ56" s="19">
        <v>4668.799999999992</v>
      </c>
      <c r="BK56" s="34">
        <v>1211.0306312728264</v>
      </c>
      <c r="BM56" s="19">
        <v>4668.799999999992</v>
      </c>
      <c r="BN56" s="34">
        <v>40.872503877019831</v>
      </c>
      <c r="BQ56" s="19">
        <v>4668.799999999992</v>
      </c>
      <c r="BR56" s="34">
        <v>41.000627875994837</v>
      </c>
    </row>
    <row r="57" spans="1:70" x14ac:dyDescent="0.35">
      <c r="C57">
        <v>4904.3874999999998</v>
      </c>
      <c r="D57">
        <v>183.32119253742999</v>
      </c>
      <c r="E57">
        <v>2312.85568752582</v>
      </c>
      <c r="F57">
        <v>48.266858196149201</v>
      </c>
      <c r="H57">
        <v>0.92886126893939402</v>
      </c>
      <c r="I57">
        <f t="shared" si="0"/>
        <v>4904.3875000000007</v>
      </c>
      <c r="J57">
        <v>120.625717038994</v>
      </c>
      <c r="K57">
        <v>2170.8855102379798</v>
      </c>
      <c r="L57">
        <v>53.712511626513098</v>
      </c>
      <c r="N57">
        <v>0.92886126893939402</v>
      </c>
      <c r="O57">
        <f t="shared" si="1"/>
        <v>4904.3875000000007</v>
      </c>
      <c r="P57">
        <v>79.119085371047007</v>
      </c>
      <c r="Q57">
        <v>2300.7232818149</v>
      </c>
      <c r="R57">
        <v>62.423228552165398</v>
      </c>
      <c r="U57">
        <v>4904.3874999999953</v>
      </c>
      <c r="V57">
        <v>155.05604476355109</v>
      </c>
      <c r="W57">
        <v>2163.9657603698683</v>
      </c>
      <c r="X57">
        <v>48.750006911555595</v>
      </c>
      <c r="Z57">
        <v>4904.3874999999998</v>
      </c>
      <c r="AA57">
        <v>105.90655915674699</v>
      </c>
      <c r="AB57">
        <v>2089.86308582331</v>
      </c>
      <c r="AC57">
        <v>54.6085776016604</v>
      </c>
      <c r="AE57">
        <v>4904.3874999999998</v>
      </c>
      <c r="AF57">
        <v>72.443767424449604</v>
      </c>
      <c r="AG57">
        <v>2214.1647674302899</v>
      </c>
      <c r="AH57">
        <v>67.062425102015297</v>
      </c>
      <c r="AK57">
        <v>4904.3874999999953</v>
      </c>
      <c r="AL57">
        <v>131.73870095008994</v>
      </c>
      <c r="AM57">
        <v>4904.3874999999953</v>
      </c>
      <c r="AN57">
        <v>1899.6968724597232</v>
      </c>
      <c r="AO57">
        <v>4904.3874999999953</v>
      </c>
      <c r="AP57">
        <v>49.148022617103258</v>
      </c>
      <c r="AR57">
        <v>4904.3874999999998</v>
      </c>
      <c r="AS57">
        <v>92.759701261922103</v>
      </c>
      <c r="AT57">
        <v>4904.3874999999998</v>
      </c>
      <c r="AU57">
        <v>2091.1133110143201</v>
      </c>
      <c r="AV57">
        <v>4904.3874999999998</v>
      </c>
      <c r="AW57">
        <v>50.353843647113798</v>
      </c>
      <c r="AY57">
        <v>4904.3874999999998</v>
      </c>
      <c r="AZ57">
        <v>67.357201465142197</v>
      </c>
      <c r="BA57">
        <v>4904.3874999999998</v>
      </c>
      <c r="BB57">
        <v>2157.0721172922899</v>
      </c>
      <c r="BC57">
        <v>4904.3874999999998</v>
      </c>
      <c r="BD57">
        <v>67.190776988991502</v>
      </c>
      <c r="BG57" s="19">
        <v>4755.3199999999915</v>
      </c>
      <c r="BH57" s="34">
        <v>1234.6607576092856</v>
      </c>
      <c r="BJ57" s="19">
        <v>4755.3199999999915</v>
      </c>
      <c r="BK57" s="34">
        <v>1210.5164725370798</v>
      </c>
      <c r="BM57" s="19">
        <v>4755.3199999999915</v>
      </c>
      <c r="BN57" s="34">
        <v>40.855927677152437</v>
      </c>
      <c r="BQ57" s="19">
        <v>4755.3199999999915</v>
      </c>
      <c r="BR57" s="34">
        <v>40.986526676107644</v>
      </c>
    </row>
    <row r="58" spans="1:70" x14ac:dyDescent="0.35">
      <c r="C58">
        <v>4978.9025000000001</v>
      </c>
      <c r="D58">
        <v>183.219996538239</v>
      </c>
      <c r="E58">
        <v>2311.8505760903499</v>
      </c>
      <c r="F58">
        <v>48.268706063782702</v>
      </c>
      <c r="H58">
        <v>0.94297395833333297</v>
      </c>
      <c r="I58">
        <f t="shared" si="0"/>
        <v>4978.9024999999983</v>
      </c>
      <c r="J58">
        <v>120.49019504007801</v>
      </c>
      <c r="K58">
        <v>2170.22993972019</v>
      </c>
      <c r="L58">
        <v>53.6985277633406</v>
      </c>
      <c r="N58">
        <v>0.94297395833333297</v>
      </c>
      <c r="O58">
        <f t="shared" si="1"/>
        <v>4978.9024999999983</v>
      </c>
      <c r="P58">
        <v>78.840031373279501</v>
      </c>
      <c r="Q58">
        <v>2300.03580299757</v>
      </c>
      <c r="R58">
        <v>62.416929570941697</v>
      </c>
      <c r="U58">
        <v>4978.9025000000011</v>
      </c>
      <c r="V58">
        <v>154.97490076420027</v>
      </c>
      <c r="W58">
        <v>2163.4349222957271</v>
      </c>
      <c r="X58">
        <v>48.751761137248216</v>
      </c>
      <c r="Z58">
        <v>4978.9025000000001</v>
      </c>
      <c r="AA58">
        <v>103.95422517236599</v>
      </c>
      <c r="AB58">
        <v>2089.3162935994001</v>
      </c>
      <c r="AC58">
        <v>50.150091269335</v>
      </c>
      <c r="AE58">
        <v>4978.9025000000001</v>
      </c>
      <c r="AF58">
        <v>72.211639426306604</v>
      </c>
      <c r="AG58">
        <v>2213.4366780499099</v>
      </c>
      <c r="AH58">
        <v>67.042947578310702</v>
      </c>
      <c r="AK58">
        <v>4978.9025000000011</v>
      </c>
      <c r="AL58">
        <v>131.67388295060849</v>
      </c>
      <c r="AM58">
        <v>4978.9025000000011</v>
      </c>
      <c r="AN58">
        <v>1899.1631336310782</v>
      </c>
      <c r="AO58">
        <v>4978.9025000000011</v>
      </c>
      <c r="AP58">
        <v>49.149327361479621</v>
      </c>
      <c r="AR58">
        <v>4978.9025000000001</v>
      </c>
      <c r="AS58">
        <v>90.935599276514907</v>
      </c>
      <c r="AT58">
        <v>4978.9025000000001</v>
      </c>
      <c r="AU58">
        <v>2090.5665187904101</v>
      </c>
      <c r="AV58">
        <v>4978.9025000000001</v>
      </c>
      <c r="AW58">
        <v>50.418131960930999</v>
      </c>
      <c r="AY58">
        <v>4978.9025000000001</v>
      </c>
      <c r="AZ58">
        <v>67.159723466721999</v>
      </c>
      <c r="BA58">
        <v>4978.9025000000001</v>
      </c>
      <c r="BB58">
        <v>2156.34257753465</v>
      </c>
      <c r="BC58">
        <v>4978.9025000000001</v>
      </c>
      <c r="BD58">
        <v>67.181350366942198</v>
      </c>
      <c r="BG58" s="19">
        <v>4829.8599999999924</v>
      </c>
      <c r="BH58" s="34">
        <v>1233.8204090296201</v>
      </c>
      <c r="BJ58" s="19">
        <v>4829.8599999999924</v>
      </c>
      <c r="BK58" s="34">
        <v>1209.6681468825298</v>
      </c>
      <c r="BM58" s="19">
        <v>4829.8599999999924</v>
      </c>
      <c r="BN58" s="34">
        <v>40.848353277213036</v>
      </c>
      <c r="BQ58" s="19">
        <v>4829.8599999999924</v>
      </c>
      <c r="BR58" s="34">
        <v>40.978511276171766</v>
      </c>
    </row>
    <row r="59" spans="1:70" x14ac:dyDescent="0.35">
      <c r="C59">
        <v>5053.415</v>
      </c>
      <c r="D59">
        <v>183.11901653904701</v>
      </c>
      <c r="E59">
        <v>2310.9063804994598</v>
      </c>
      <c r="F59">
        <v>48.270535203027997</v>
      </c>
      <c r="H59">
        <v>0.95708617424242404</v>
      </c>
      <c r="I59">
        <f t="shared" si="0"/>
        <v>5053.4149999999991</v>
      </c>
      <c r="J59">
        <v>120.35496104116</v>
      </c>
      <c r="K59">
        <v>2169.6425369332301</v>
      </c>
      <c r="L59">
        <v>53.526095493390599</v>
      </c>
      <c r="N59">
        <v>0.95708617424242404</v>
      </c>
      <c r="O59">
        <f t="shared" si="1"/>
        <v>5053.4149999999991</v>
      </c>
      <c r="P59">
        <v>78.562831375497097</v>
      </c>
      <c r="Q59">
        <v>2299.4266445518401</v>
      </c>
      <c r="R59">
        <v>62.269025246708203</v>
      </c>
      <c r="U59">
        <v>5053.4150000000036</v>
      </c>
      <c r="V59">
        <v>154.89406276484695</v>
      </c>
      <c r="W59">
        <v>2162.9650000661591</v>
      </c>
      <c r="X59">
        <v>48.753515362940838</v>
      </c>
      <c r="Z59">
        <v>5053.415</v>
      </c>
      <c r="AA59">
        <v>103.2249911782</v>
      </c>
      <c r="AB59">
        <v>2088.83476835182</v>
      </c>
      <c r="AC59">
        <v>50.183696240521499</v>
      </c>
      <c r="AE59">
        <v>5053.415</v>
      </c>
      <c r="AF59">
        <v>71.9796734281624</v>
      </c>
      <c r="AG59">
        <v>2212.7941609273798</v>
      </c>
      <c r="AH59">
        <v>67.009611047354795</v>
      </c>
      <c r="AK59">
        <v>5053.4150000000036</v>
      </c>
      <c r="AL59">
        <v>131.60917295112614</v>
      </c>
      <c r="AM59">
        <v>5053.4150000000036</v>
      </c>
      <c r="AN59">
        <v>1898.688860269755</v>
      </c>
      <c r="AO59">
        <v>5053.4150000000036</v>
      </c>
      <c r="AP59">
        <v>49.150613377467806</v>
      </c>
      <c r="AR59">
        <v>5053.415</v>
      </c>
      <c r="AS59">
        <v>90.4014492807881</v>
      </c>
      <c r="AT59">
        <v>5053.415</v>
      </c>
      <c r="AU59">
        <v>2090.0835431655701</v>
      </c>
      <c r="AV59">
        <v>5053.415</v>
      </c>
      <c r="AW59">
        <v>50.435724160225703</v>
      </c>
      <c r="AY59">
        <v>5053.415</v>
      </c>
      <c r="AZ59">
        <v>66.9625154682996</v>
      </c>
      <c r="BA59">
        <v>5053.415</v>
      </c>
      <c r="BB59">
        <v>2155.6986100348799</v>
      </c>
      <c r="BC59">
        <v>5053.415</v>
      </c>
      <c r="BD59">
        <v>67.163932965937207</v>
      </c>
      <c r="BG59" s="19">
        <v>4904.3874999999953</v>
      </c>
      <c r="BH59" s="34">
        <v>1233.1240829110534</v>
      </c>
      <c r="BJ59" s="19">
        <v>4904.3874999999953</v>
      </c>
      <c r="BK59" s="34">
        <v>1208.9641337645287</v>
      </c>
      <c r="BM59" s="19">
        <v>4904.3874999999953</v>
      </c>
      <c r="BN59" s="34">
        <v>40.84507367723927</v>
      </c>
      <c r="BQ59" s="19">
        <v>4904.3874999999953</v>
      </c>
      <c r="BR59" s="34">
        <v>40.974526076203652</v>
      </c>
    </row>
    <row r="60" spans="1:70" x14ac:dyDescent="0.35">
      <c r="C60">
        <v>5127.9250000000002</v>
      </c>
      <c r="D60">
        <v>183.01827053985301</v>
      </c>
      <c r="E60">
        <v>2310.0231007531402</v>
      </c>
      <c r="F60">
        <v>48.272520412174799</v>
      </c>
      <c r="H60">
        <v>0.97119791666666599</v>
      </c>
      <c r="I60">
        <f t="shared" si="0"/>
        <v>5127.9249999999965</v>
      </c>
      <c r="J60">
        <v>120.21999704224</v>
      </c>
      <c r="K60">
        <v>2169.1233018770999</v>
      </c>
      <c r="L60">
        <v>53.525989365857598</v>
      </c>
      <c r="N60">
        <v>0.97119791666666599</v>
      </c>
      <c r="O60">
        <f t="shared" si="1"/>
        <v>5127.9249999999965</v>
      </c>
      <c r="P60">
        <v>78.287359377700895</v>
      </c>
      <c r="Q60">
        <v>2298.8972568549498</v>
      </c>
      <c r="R60">
        <v>62.275829894412702</v>
      </c>
      <c r="U60">
        <v>5127.9250000000029</v>
      </c>
      <c r="V60">
        <v>154.81290076549627</v>
      </c>
      <c r="W60">
        <v>2162.5559936811646</v>
      </c>
      <c r="X60">
        <v>48.755282074225576</v>
      </c>
      <c r="Z60">
        <v>5127.9250000000002</v>
      </c>
      <c r="AA60">
        <v>103.12872717897</v>
      </c>
      <c r="AB60">
        <v>2088.4170597033099</v>
      </c>
      <c r="AC60">
        <v>50.1624894623085</v>
      </c>
      <c r="AE60">
        <v>5127.9250000000002</v>
      </c>
      <c r="AF60">
        <v>71.7578594299369</v>
      </c>
      <c r="AG60">
        <v>2212.2343153082102</v>
      </c>
      <c r="AH60">
        <v>66.991756650625604</v>
      </c>
      <c r="AK60">
        <v>5127.9250000000029</v>
      </c>
      <c r="AL60">
        <v>131.54408495164685</v>
      </c>
      <c r="AM60">
        <v>5127.9250000000029</v>
      </c>
      <c r="AN60">
        <v>1898.2784035075088</v>
      </c>
      <c r="AO60">
        <v>5127.9250000000029</v>
      </c>
      <c r="AP60">
        <v>49.151955578620523</v>
      </c>
      <c r="AR60">
        <v>5127.9250000000002</v>
      </c>
      <c r="AS60">
        <v>90.321709281425996</v>
      </c>
      <c r="AT60">
        <v>5127.9250000000002</v>
      </c>
      <c r="AU60">
        <v>2089.66293376257</v>
      </c>
      <c r="AV60">
        <v>5127.9250000000002</v>
      </c>
      <c r="AW60">
        <v>50.423413366397099</v>
      </c>
      <c r="AY60">
        <v>5127.9250000000002</v>
      </c>
      <c r="AZ60">
        <v>66.774595469803003</v>
      </c>
      <c r="BA60">
        <v>5127.9250000000002</v>
      </c>
      <c r="BB60">
        <v>2155.1373140384499</v>
      </c>
      <c r="BC60">
        <v>5127.9250000000002</v>
      </c>
      <c r="BD60">
        <v>67.154506343887803</v>
      </c>
      <c r="BG60" s="19">
        <v>4978.9025000000011</v>
      </c>
      <c r="BH60" s="34">
        <v>1232.5719242913112</v>
      </c>
      <c r="BJ60" s="19">
        <v>4978.9025000000011</v>
      </c>
      <c r="BK60" s="34">
        <v>1208.4042881453522</v>
      </c>
      <c r="BM60" s="19">
        <v>4978.9025000000011</v>
      </c>
      <c r="BN60" s="34">
        <v>40.843579677251221</v>
      </c>
      <c r="BQ60" s="19">
        <v>4978.9025000000011</v>
      </c>
      <c r="BR60" s="34">
        <v>40.972535276219574</v>
      </c>
    </row>
    <row r="61" spans="1:70" x14ac:dyDescent="0.35">
      <c r="C61">
        <v>5202.4425000000101</v>
      </c>
      <c r="D61">
        <v>182.91723654066101</v>
      </c>
      <c r="E61">
        <v>2309.00203516791</v>
      </c>
      <c r="F61">
        <v>48.274418222176799</v>
      </c>
      <c r="H61">
        <v>0.98531107954545405</v>
      </c>
      <c r="I61">
        <f t="shared" si="0"/>
        <v>5202.4424999999974</v>
      </c>
      <c r="J61">
        <v>120.085015043319</v>
      </c>
      <c r="K61">
        <v>2168.4474260777902</v>
      </c>
      <c r="L61">
        <v>53.8876844839331</v>
      </c>
      <c r="N61">
        <v>0.98531107954545405</v>
      </c>
      <c r="O61">
        <f t="shared" si="1"/>
        <v>5202.4424999999974</v>
      </c>
      <c r="P61">
        <v>78.013417379892402</v>
      </c>
      <c r="Q61">
        <v>2298.1880223788398</v>
      </c>
      <c r="R61">
        <v>62.538333225904204</v>
      </c>
      <c r="U61">
        <v>5202.4425000000074</v>
      </c>
      <c r="V61">
        <v>154.7298307661608</v>
      </c>
      <c r="W61">
        <v>2162.007751080002</v>
      </c>
      <c r="X61">
        <v>48.755282074225576</v>
      </c>
      <c r="Z61">
        <v>5202.4425000000001</v>
      </c>
      <c r="AA61">
        <v>103.024543179803</v>
      </c>
      <c r="AB61">
        <v>2087.8557637068802</v>
      </c>
      <c r="AC61">
        <v>50.177203732620001</v>
      </c>
      <c r="AE61">
        <v>5202.4425000000001</v>
      </c>
      <c r="AF61">
        <v>71.547079431623104</v>
      </c>
      <c r="AG61">
        <v>2211.4830198917998</v>
      </c>
      <c r="AH61">
        <v>67.037391489818006</v>
      </c>
      <c r="AK61">
        <v>5202.4425000000074</v>
      </c>
      <c r="AL61">
        <v>131.47741295218026</v>
      </c>
      <c r="AM61">
        <v>5202.4425000000074</v>
      </c>
      <c r="AN61">
        <v>1897.725809774591</v>
      </c>
      <c r="AO61">
        <v>5202.4425000000074</v>
      </c>
      <c r="AP61">
        <v>49.152224018851072</v>
      </c>
      <c r="AR61">
        <v>5202.4425000000001</v>
      </c>
      <c r="AS61">
        <v>90.238729282089807</v>
      </c>
      <c r="AT61">
        <v>5202.4425000000001</v>
      </c>
      <c r="AU61">
        <v>2089.1001873888899</v>
      </c>
      <c r="AV61">
        <v>5202.4425000000001</v>
      </c>
      <c r="AW61">
        <v>50.434843925981397</v>
      </c>
      <c r="AY61">
        <v>5202.4425000000001</v>
      </c>
      <c r="AZ61">
        <v>66.597403471220503</v>
      </c>
      <c r="BA61">
        <v>5202.4425000000001</v>
      </c>
      <c r="BB61">
        <v>2154.38601862204</v>
      </c>
      <c r="BC61">
        <v>5202.4425000000001</v>
      </c>
      <c r="BD61">
        <v>67.178416252794406</v>
      </c>
      <c r="BG61" s="19">
        <v>5053.4150000000036</v>
      </c>
      <c r="BH61" s="34">
        <v>1232.0834372329207</v>
      </c>
      <c r="BJ61" s="19">
        <v>5053.4150000000036</v>
      </c>
      <c r="BK61" s="34">
        <v>1207.9079690498022</v>
      </c>
      <c r="BM61" s="19">
        <v>5053.4150000000036</v>
      </c>
      <c r="BN61" s="34">
        <v>40.842742677257917</v>
      </c>
      <c r="BQ61" s="19">
        <v>5053.4150000000036</v>
      </c>
      <c r="BR61" s="34">
        <v>40.971419276228502</v>
      </c>
    </row>
    <row r="62" spans="1:70" x14ac:dyDescent="0.35">
      <c r="C62">
        <v>5276.9675000000198</v>
      </c>
      <c r="D62">
        <v>182.81593254147199</v>
      </c>
      <c r="E62">
        <v>2307.8417333665102</v>
      </c>
      <c r="F62">
        <v>48.276191176257598</v>
      </c>
      <c r="H62">
        <v>0.99942566287878798</v>
      </c>
      <c r="I62">
        <f t="shared" si="0"/>
        <v>5276.9675000000007</v>
      </c>
      <c r="J62">
        <v>119.950069044399</v>
      </c>
      <c r="K62">
        <v>2167.6163599125298</v>
      </c>
      <c r="L62">
        <v>53.904920843852501</v>
      </c>
      <c r="N62">
        <v>0.99942566287878798</v>
      </c>
      <c r="O62">
        <f t="shared" si="1"/>
        <v>5276.9675000000007</v>
      </c>
      <c r="P62">
        <v>77.740915382072401</v>
      </c>
      <c r="Q62">
        <v>2297.2974907462599</v>
      </c>
      <c r="R62">
        <v>62.542578327224398</v>
      </c>
      <c r="U62">
        <v>5276.967500000017</v>
      </c>
      <c r="V62">
        <v>154.64811076681457</v>
      </c>
      <c r="W62">
        <v>2161.3188218854193</v>
      </c>
      <c r="X62">
        <v>48.756549361825584</v>
      </c>
      <c r="Z62">
        <v>5276.9674999999997</v>
      </c>
      <c r="AA62">
        <v>102.91504918067901</v>
      </c>
      <c r="AB62">
        <v>2087.1508803625302</v>
      </c>
      <c r="AC62">
        <v>50.178745703246598</v>
      </c>
      <c r="AE62">
        <v>5276.9674999999997</v>
      </c>
      <c r="AF62">
        <v>71.327317433381197</v>
      </c>
      <c r="AG62">
        <v>2210.5402746781601</v>
      </c>
      <c r="AH62">
        <v>67.029088571059404</v>
      </c>
      <c r="AK62">
        <v>5276.967500000017</v>
      </c>
      <c r="AL62">
        <v>131.41203695270323</v>
      </c>
      <c r="AM62">
        <v>5276.967500000017</v>
      </c>
      <c r="AN62">
        <v>1897.0325294482532</v>
      </c>
      <c r="AO62">
        <v>5276.967500000017</v>
      </c>
      <c r="AP62">
        <v>49.153185409444184</v>
      </c>
      <c r="AR62">
        <v>5276.9674999999997</v>
      </c>
      <c r="AS62">
        <v>90.151411282788402</v>
      </c>
      <c r="AT62">
        <v>5276.9674999999997</v>
      </c>
      <c r="AU62">
        <v>2088.39240329003</v>
      </c>
      <c r="AV62">
        <v>5276.9674999999997</v>
      </c>
      <c r="AW62">
        <v>50.436086242397202</v>
      </c>
      <c r="AY62">
        <v>5276.9674999999997</v>
      </c>
      <c r="AZ62">
        <v>66.411589472707007</v>
      </c>
      <c r="BA62">
        <v>5276.9674999999997</v>
      </c>
      <c r="BB62">
        <v>2153.4418230311499</v>
      </c>
      <c r="BC62">
        <v>5276.9674999999997</v>
      </c>
      <c r="BD62">
        <v>67.175919134370801</v>
      </c>
      <c r="BG62" s="19">
        <v>5127.9250000000029</v>
      </c>
      <c r="BH62" s="34">
        <v>1231.6586217358824</v>
      </c>
      <c r="BJ62" s="19">
        <v>5127.9250000000029</v>
      </c>
      <c r="BK62" s="34">
        <v>1207.4754665533296</v>
      </c>
      <c r="BM62" s="19">
        <v>5127.9250000000029</v>
      </c>
      <c r="BN62" s="34">
        <v>40.842177477262439</v>
      </c>
      <c r="BQ62" s="19">
        <v>5127.9250000000029</v>
      </c>
      <c r="BR62" s="34">
        <v>40.970776676233641</v>
      </c>
    </row>
    <row r="63" spans="1:70" x14ac:dyDescent="0.35">
      <c r="C63">
        <v>5351.4975000000204</v>
      </c>
      <c r="D63">
        <v>182.714574542283</v>
      </c>
      <c r="E63">
        <v>2306.6306683612902</v>
      </c>
      <c r="F63">
        <v>48.277932916358097</v>
      </c>
      <c r="H63">
        <v>1.0135411931818199</v>
      </c>
      <c r="I63">
        <f t="shared" si="0"/>
        <v>5351.4975000000095</v>
      </c>
      <c r="J63">
        <v>119.815231045478</v>
      </c>
      <c r="K63">
        <v>2166.7287290344598</v>
      </c>
      <c r="L63">
        <v>54.007908250440401</v>
      </c>
      <c r="N63">
        <v>1.0135411931818199</v>
      </c>
      <c r="O63">
        <f t="shared" si="1"/>
        <v>5351.4975000000095</v>
      </c>
      <c r="P63">
        <v>77.469745384241804</v>
      </c>
      <c r="Q63">
        <v>2296.34459289186</v>
      </c>
      <c r="R63">
        <v>62.5922709838553</v>
      </c>
      <c r="U63">
        <v>5351.4975000000195</v>
      </c>
      <c r="V63">
        <v>154.56617476747007</v>
      </c>
      <c r="W63">
        <v>2160.5805798642773</v>
      </c>
      <c r="X63">
        <v>48.757623122747759</v>
      </c>
      <c r="Z63">
        <v>5351.4975000000004</v>
      </c>
      <c r="AA63">
        <v>102.80978518152099</v>
      </c>
      <c r="AB63">
        <v>2086.3966841916199</v>
      </c>
      <c r="AC63">
        <v>50.179950562885999</v>
      </c>
      <c r="AE63">
        <v>5351.4975000000004</v>
      </c>
      <c r="AF63">
        <v>71.109553435123303</v>
      </c>
      <c r="AG63">
        <v>2209.5293617336902</v>
      </c>
      <c r="AH63">
        <v>67.039514040478196</v>
      </c>
      <c r="AK63">
        <v>5351.4975000000195</v>
      </c>
      <c r="AL63">
        <v>131.34651695322742</v>
      </c>
      <c r="AM63">
        <v>5351.4975000000195</v>
      </c>
      <c r="AN63">
        <v>1896.2899362953556</v>
      </c>
      <c r="AO63">
        <v>5351.4975000000195</v>
      </c>
      <c r="AP63">
        <v>49.154034429708226</v>
      </c>
      <c r="AR63">
        <v>5351.4975000000004</v>
      </c>
      <c r="AS63">
        <v>90.067225283461894</v>
      </c>
      <c r="AT63">
        <v>5351.4975000000004</v>
      </c>
      <c r="AU63">
        <v>2087.6324056101098</v>
      </c>
      <c r="AV63">
        <v>5351.4975000000004</v>
      </c>
      <c r="AW63">
        <v>50.437097575358798</v>
      </c>
      <c r="AY63">
        <v>5351.4975000000004</v>
      </c>
      <c r="AZ63">
        <v>66.227665474178394</v>
      </c>
      <c r="BA63">
        <v>5351.4975000000004</v>
      </c>
      <c r="BB63">
        <v>2152.4294597094299</v>
      </c>
      <c r="BC63">
        <v>5351.4975000000004</v>
      </c>
      <c r="BD63">
        <v>67.181225511020997</v>
      </c>
      <c r="BG63" s="19">
        <v>5202.4425000000074</v>
      </c>
      <c r="BH63" s="34">
        <v>1231.0887685136686</v>
      </c>
      <c r="BJ63" s="19">
        <v>5202.4425000000074</v>
      </c>
      <c r="BK63" s="34">
        <v>1206.8977812939563</v>
      </c>
      <c r="BM63" s="19">
        <v>5202.4425000000074</v>
      </c>
      <c r="BN63" s="34">
        <v>40.841749077265867</v>
      </c>
      <c r="BQ63" s="19">
        <v>5202.4425000000074</v>
      </c>
      <c r="BR63" s="34">
        <v>40.970258276237793</v>
      </c>
    </row>
    <row r="64" spans="1:70" x14ac:dyDescent="0.35">
      <c r="C64">
        <v>5426.0325000000103</v>
      </c>
      <c r="D64">
        <v>182.613018543095</v>
      </c>
      <c r="E64">
        <v>2305.3717409067699</v>
      </c>
      <c r="F64">
        <v>48.279674656458603</v>
      </c>
      <c r="H64">
        <v>1.0276576704545499</v>
      </c>
      <c r="I64">
        <f t="shared" si="0"/>
        <v>5426.0325000000239</v>
      </c>
      <c r="J64">
        <v>119.68051904655501</v>
      </c>
      <c r="K64">
        <v>2165.7845334435701</v>
      </c>
      <c r="L64">
        <v>54.015817873047297</v>
      </c>
      <c r="N64">
        <v>1.0276576704545499</v>
      </c>
      <c r="O64">
        <f t="shared" si="1"/>
        <v>5426.0325000000239</v>
      </c>
      <c r="P64">
        <v>77.199961386400005</v>
      </c>
      <c r="Q64">
        <v>2295.3249776838802</v>
      </c>
      <c r="R64">
        <v>62.5957045216878</v>
      </c>
      <c r="U64">
        <v>5426.0325000000148</v>
      </c>
      <c r="V64">
        <v>154.48425676812542</v>
      </c>
      <c r="W64">
        <v>2159.7915746393237</v>
      </c>
      <c r="X64">
        <v>48.758846710775352</v>
      </c>
      <c r="Z64">
        <v>5426.0325000000003</v>
      </c>
      <c r="AA64">
        <v>102.70493518236</v>
      </c>
      <c r="AB64">
        <v>2085.5888240623899</v>
      </c>
      <c r="AC64">
        <v>50.180187789136198</v>
      </c>
      <c r="AE64">
        <v>5426.0325000000003</v>
      </c>
      <c r="AF64">
        <v>70.890835436873104</v>
      </c>
      <c r="AG64">
        <v>2208.4502810583799</v>
      </c>
      <c r="AH64">
        <v>67.030524414153007</v>
      </c>
      <c r="AK64">
        <v>5426.0325000000148</v>
      </c>
      <c r="AL64">
        <v>131.28103295375126</v>
      </c>
      <c r="AM64">
        <v>5426.0325000000148</v>
      </c>
      <c r="AN64">
        <v>1895.4951295613951</v>
      </c>
      <c r="AO64">
        <v>5426.0325000000148</v>
      </c>
      <c r="AP64">
        <v>49.154958363524976</v>
      </c>
      <c r="AR64">
        <v>5426.0325000000003</v>
      </c>
      <c r="AS64">
        <v>89.983399284132503</v>
      </c>
      <c r="AT64">
        <v>5426.0325000000003</v>
      </c>
      <c r="AU64">
        <v>2086.8216447263799</v>
      </c>
      <c r="AV64">
        <v>5426.0325000000003</v>
      </c>
      <c r="AW64">
        <v>50.437028904602101</v>
      </c>
      <c r="AY64">
        <v>5426.0325000000003</v>
      </c>
      <c r="AZ64">
        <v>66.042625475658795</v>
      </c>
      <c r="BA64">
        <v>5426.0325000000003</v>
      </c>
      <c r="BB64">
        <v>2151.3474782796202</v>
      </c>
      <c r="BC64">
        <v>5426.0325000000003</v>
      </c>
      <c r="BD64">
        <v>67.178228968912606</v>
      </c>
      <c r="BG64" s="19">
        <v>5276.967500000017</v>
      </c>
      <c r="BH64" s="34">
        <v>1230.3738775662796</v>
      </c>
      <c r="BJ64" s="19">
        <v>5276.967500000017</v>
      </c>
      <c r="BK64" s="34">
        <v>1206.175203347133</v>
      </c>
      <c r="BM64" s="19">
        <v>5276.967500000017</v>
      </c>
      <c r="BN64" s="34">
        <v>40.841430477268418</v>
      </c>
      <c r="BQ64" s="19">
        <v>5276.967500000017</v>
      </c>
      <c r="BR64" s="34">
        <v>40.969831676241206</v>
      </c>
    </row>
    <row r="65" spans="3:70" x14ac:dyDescent="0.35">
      <c r="C65">
        <v>5500.5800000000099</v>
      </c>
      <c r="D65">
        <v>182.510940543912</v>
      </c>
      <c r="E65">
        <v>2303.9880810086001</v>
      </c>
      <c r="F65">
        <v>48.281335240210403</v>
      </c>
      <c r="H65">
        <v>1.0417765151515199</v>
      </c>
      <c r="I65">
        <f t="shared" si="0"/>
        <v>5500.5800000000254</v>
      </c>
      <c r="J65">
        <v>119.545699047634</v>
      </c>
      <c r="K65">
        <v>2164.69965125926</v>
      </c>
      <c r="L65">
        <v>54.216773478191598</v>
      </c>
      <c r="N65">
        <v>1.0417765151515199</v>
      </c>
      <c r="O65">
        <f t="shared" si="1"/>
        <v>5500.5800000000254</v>
      </c>
      <c r="P65">
        <v>76.931491388547798</v>
      </c>
      <c r="Q65">
        <v>2294.1472713554599</v>
      </c>
      <c r="R65">
        <v>62.6660608332745</v>
      </c>
      <c r="U65">
        <v>5500.5800000000127</v>
      </c>
      <c r="V65">
        <v>154.40161876878653</v>
      </c>
      <c r="W65">
        <v>2158.8792873479711</v>
      </c>
      <c r="X65">
        <v>48.75964578867093</v>
      </c>
      <c r="Z65">
        <v>5500.58</v>
      </c>
      <c r="AA65">
        <v>102.601579183187</v>
      </c>
      <c r="AB65">
        <v>2084.65478111226</v>
      </c>
      <c r="AC65">
        <v>50.182229183447603</v>
      </c>
      <c r="AE65">
        <v>5500.58</v>
      </c>
      <c r="AF65">
        <v>70.674799438601397</v>
      </c>
      <c r="AG65">
        <v>2207.2000558673699</v>
      </c>
      <c r="AH65">
        <v>67.054122183256595</v>
      </c>
      <c r="AK65">
        <v>5500.5800000000127</v>
      </c>
      <c r="AL65">
        <v>131.21504495427919</v>
      </c>
      <c r="AM65">
        <v>5500.5800000000127</v>
      </c>
      <c r="AN65">
        <v>1894.5755903837837</v>
      </c>
      <c r="AO65">
        <v>5500.5800000000127</v>
      </c>
      <c r="AP65">
        <v>49.15560761431513</v>
      </c>
      <c r="AR65">
        <v>5500.58</v>
      </c>
      <c r="AS65">
        <v>89.900725284793893</v>
      </c>
      <c r="AT65">
        <v>5500.58</v>
      </c>
      <c r="AU65">
        <v>2085.8832506445001</v>
      </c>
      <c r="AV65">
        <v>5500.58</v>
      </c>
      <c r="AW65">
        <v>50.438995385360698</v>
      </c>
      <c r="AY65">
        <v>5500.58</v>
      </c>
      <c r="AZ65">
        <v>65.860753477113704</v>
      </c>
      <c r="BA65">
        <v>5500.58</v>
      </c>
      <c r="BB65">
        <v>2150.0958027113602</v>
      </c>
      <c r="BC65">
        <v>5500.58</v>
      </c>
      <c r="BD65">
        <v>67.189341145897899</v>
      </c>
      <c r="BG65" s="19">
        <v>5351.4975000000195</v>
      </c>
      <c r="BH65" s="34">
        <v>1229.6069180755526</v>
      </c>
      <c r="BJ65" s="19">
        <v>5351.4975000000195</v>
      </c>
      <c r="BK65" s="34">
        <v>1205.4002667815214</v>
      </c>
      <c r="BM65" s="19">
        <v>5351.4975000000195</v>
      </c>
      <c r="BN65" s="34">
        <v>40.841216277270128</v>
      </c>
      <c r="BQ65" s="19">
        <v>5351.4975000000195</v>
      </c>
      <c r="BR65" s="34">
        <v>40.969583276243192</v>
      </c>
    </row>
    <row r="66" spans="3:70" x14ac:dyDescent="0.35">
      <c r="C66">
        <v>5575.1400000000103</v>
      </c>
      <c r="D66">
        <v>182.40862854472999</v>
      </c>
      <c r="E66">
        <v>2302.48113904403</v>
      </c>
      <c r="F66">
        <v>48.282864725244899</v>
      </c>
      <c r="H66">
        <v>1.0558977272727299</v>
      </c>
      <c r="I66">
        <f t="shared" si="0"/>
        <v>5575.140000000014</v>
      </c>
      <c r="J66">
        <v>119.41095104871199</v>
      </c>
      <c r="K66">
        <v>2163.4755328587798</v>
      </c>
      <c r="L66">
        <v>54.223896508495102</v>
      </c>
      <c r="N66">
        <v>1.0558977272727299</v>
      </c>
      <c r="O66">
        <f t="shared" si="1"/>
        <v>5575.140000000014</v>
      </c>
      <c r="P66">
        <v>76.664263390685605</v>
      </c>
      <c r="Q66">
        <v>2292.80857315209</v>
      </c>
      <c r="R66">
        <v>62.669057375382899</v>
      </c>
      <c r="U66">
        <v>5575.1400000000122</v>
      </c>
      <c r="V66">
        <v>154.3192867694452</v>
      </c>
      <c r="W66">
        <v>2157.8422676129676</v>
      </c>
      <c r="X66">
        <v>48.760775734757637</v>
      </c>
      <c r="Z66">
        <v>5575.14</v>
      </c>
      <c r="AA66">
        <v>102.49575718403401</v>
      </c>
      <c r="AB66">
        <v>2083.5931049639798</v>
      </c>
      <c r="AC66">
        <v>50.183646298153</v>
      </c>
      <c r="AE66">
        <v>5575.14</v>
      </c>
      <c r="AF66">
        <v>70.456117440350795</v>
      </c>
      <c r="AG66">
        <v>2205.7786861606501</v>
      </c>
      <c r="AH66">
        <v>67.046942967788596</v>
      </c>
      <c r="AK66">
        <v>5575.1400000000122</v>
      </c>
      <c r="AL66">
        <v>131.14941695480422</v>
      </c>
      <c r="AM66">
        <v>5575.1400000000122</v>
      </c>
      <c r="AN66">
        <v>1893.5313187625216</v>
      </c>
      <c r="AO66">
        <v>5575.1400000000122</v>
      </c>
      <c r="AP66">
        <v>49.156419177802825</v>
      </c>
      <c r="AR66">
        <v>5575.14</v>
      </c>
      <c r="AS66">
        <v>89.816305285469198</v>
      </c>
      <c r="AT66">
        <v>5575.14</v>
      </c>
      <c r="AU66">
        <v>2084.81577298721</v>
      </c>
      <c r="AV66">
        <v>5575.14</v>
      </c>
      <c r="AW66">
        <v>50.440081631875003</v>
      </c>
      <c r="AY66">
        <v>5575.14</v>
      </c>
      <c r="AZ66">
        <v>65.675767478593599</v>
      </c>
      <c r="BA66">
        <v>5575.14</v>
      </c>
      <c r="BB66">
        <v>2148.67298262739</v>
      </c>
      <c r="BC66">
        <v>5575.14</v>
      </c>
      <c r="BD66">
        <v>67.186844027474294</v>
      </c>
      <c r="BG66" s="19">
        <v>5426.0325000000148</v>
      </c>
      <c r="BH66" s="34">
        <v>1228.7875999660373</v>
      </c>
      <c r="BJ66" s="19">
        <v>5426.0325000000148</v>
      </c>
      <c r="BK66" s="34">
        <v>1204.5731166348469</v>
      </c>
      <c r="BM66" s="19">
        <v>5426.0325000000148</v>
      </c>
      <c r="BN66" s="34">
        <v>40.84107227727128</v>
      </c>
      <c r="BQ66" s="19">
        <v>5426.0325000000148</v>
      </c>
      <c r="BR66" s="34">
        <v>40.96949687624388</v>
      </c>
    </row>
    <row r="67" spans="3:70" x14ac:dyDescent="0.35">
      <c r="C67">
        <v>5649.7025000000103</v>
      </c>
      <c r="D67">
        <v>182.306388545548</v>
      </c>
      <c r="E67">
        <v>2300.9669451932</v>
      </c>
      <c r="F67">
        <v>48.284400453075399</v>
      </c>
      <c r="H67">
        <v>1.0700194128787901</v>
      </c>
      <c r="I67">
        <f t="shared" si="0"/>
        <v>5649.7025000000122</v>
      </c>
      <c r="J67">
        <v>119.27640104978801</v>
      </c>
      <c r="K67">
        <v>2162.2427121947899</v>
      </c>
      <c r="L67">
        <v>54.237256092061699</v>
      </c>
      <c r="N67">
        <v>1.0700194128787901</v>
      </c>
      <c r="O67">
        <f t="shared" si="1"/>
        <v>5649.7025000000122</v>
      </c>
      <c r="P67">
        <v>76.398277392813497</v>
      </c>
      <c r="Q67">
        <v>2291.45827193071</v>
      </c>
      <c r="R67">
        <v>62.675175315520903</v>
      </c>
      <c r="U67">
        <v>5649.7025000000085</v>
      </c>
      <c r="V67">
        <v>154.23706277010297</v>
      </c>
      <c r="W67">
        <v>2156.7950952372021</v>
      </c>
      <c r="X67">
        <v>48.761955623212813</v>
      </c>
      <c r="Z67">
        <v>5649.7025000000003</v>
      </c>
      <c r="AA67">
        <v>102.39211318486301</v>
      </c>
      <c r="AB67">
        <v>2082.5241769294398</v>
      </c>
      <c r="AC67">
        <v>50.185100869634802</v>
      </c>
      <c r="AE67">
        <v>5649.7025000000003</v>
      </c>
      <c r="AF67">
        <v>70.237687442098206</v>
      </c>
      <c r="AG67">
        <v>2204.34716381317</v>
      </c>
      <c r="AH67">
        <v>67.046818111867395</v>
      </c>
      <c r="AK67">
        <v>5649.7025000000085</v>
      </c>
      <c r="AL67">
        <v>131.08389695532836</v>
      </c>
      <c r="AM67">
        <v>5649.7025000000085</v>
      </c>
      <c r="AN67">
        <v>1892.4783448777489</v>
      </c>
      <c r="AO67">
        <v>5649.7025000000085</v>
      </c>
      <c r="AP67">
        <v>49.15725571247475</v>
      </c>
      <c r="AR67">
        <v>5649.7025000000003</v>
      </c>
      <c r="AS67">
        <v>89.733523286131501</v>
      </c>
      <c r="AT67">
        <v>5649.7025000000003</v>
      </c>
      <c r="AU67">
        <v>2083.7410434436601</v>
      </c>
      <c r="AV67">
        <v>5649.7025000000003</v>
      </c>
      <c r="AW67">
        <v>50.441180363981402</v>
      </c>
      <c r="AY67">
        <v>5649.7025000000003</v>
      </c>
      <c r="AZ67">
        <v>65.490997480071798</v>
      </c>
      <c r="BA67">
        <v>5649.7025000000003</v>
      </c>
      <c r="BB67">
        <v>2147.2400099026499</v>
      </c>
      <c r="BC67">
        <v>5649.7025000000003</v>
      </c>
      <c r="BD67">
        <v>67.186968883395494</v>
      </c>
      <c r="BG67" s="19">
        <v>5500.5800000000127</v>
      </c>
      <c r="BH67" s="34">
        <v>1227.8391982811161</v>
      </c>
      <c r="BJ67" s="19">
        <v>5500.5800000000127</v>
      </c>
      <c r="BK67" s="34">
        <v>1203.6168829127662</v>
      </c>
      <c r="BM67" s="19">
        <v>5500.5800000000127</v>
      </c>
      <c r="BN67" s="34">
        <v>40.840987677271961</v>
      </c>
      <c r="BQ67" s="19">
        <v>5500.5800000000127</v>
      </c>
      <c r="BR67" s="34">
        <v>40.969477076244047</v>
      </c>
    </row>
    <row r="68" spans="3:70" x14ac:dyDescent="0.35">
      <c r="C68">
        <v>5724.2674999999999</v>
      </c>
      <c r="D68">
        <v>182.20418454636601</v>
      </c>
      <c r="E68">
        <v>2299.4440490788602</v>
      </c>
      <c r="F68">
        <v>48.285917452517801</v>
      </c>
      <c r="H68">
        <v>1.0841415719697001</v>
      </c>
      <c r="I68">
        <f t="shared" si="0"/>
        <v>5724.2675000000163</v>
      </c>
      <c r="J68">
        <v>119.142085050863</v>
      </c>
      <c r="K68">
        <v>2160.9982885127802</v>
      </c>
      <c r="L68">
        <v>54.236232273508001</v>
      </c>
      <c r="N68">
        <v>1.0841415719697001</v>
      </c>
      <c r="O68">
        <f t="shared" si="1"/>
        <v>5724.2675000000163</v>
      </c>
      <c r="P68">
        <v>76.133497394931794</v>
      </c>
      <c r="Q68">
        <v>2290.0992684458101</v>
      </c>
      <c r="R68">
        <v>62.677048154338699</v>
      </c>
      <c r="U68">
        <v>5724.2674999999981</v>
      </c>
      <c r="V68">
        <v>154.15492877076002</v>
      </c>
      <c r="W68">
        <v>2155.7406709751776</v>
      </c>
      <c r="X68">
        <v>48.763073083707411</v>
      </c>
      <c r="Z68">
        <v>5724.2674999999999</v>
      </c>
      <c r="AA68">
        <v>102.28875718569</v>
      </c>
      <c r="AB68">
        <v>2081.44509625413</v>
      </c>
      <c r="AC68">
        <v>50.186455556379599</v>
      </c>
      <c r="AE68">
        <v>5724.2674999999999</v>
      </c>
      <c r="AF68">
        <v>70.018483443851906</v>
      </c>
      <c r="AG68">
        <v>2202.9025880704298</v>
      </c>
      <c r="AH68">
        <v>67.037578773699806</v>
      </c>
      <c r="AK68">
        <v>5724.2674999999981</v>
      </c>
      <c r="AL68">
        <v>131.01844895585194</v>
      </c>
      <c r="AM68">
        <v>5724.2674999999981</v>
      </c>
      <c r="AN68">
        <v>1891.4166687294658</v>
      </c>
      <c r="AO68">
        <v>5724.2674999999981</v>
      </c>
      <c r="AP68">
        <v>49.158054790370322</v>
      </c>
      <c r="AR68">
        <v>5724.2674999999999</v>
      </c>
      <c r="AS68">
        <v>89.650957286792007</v>
      </c>
      <c r="AT68">
        <v>5724.2674999999999</v>
      </c>
      <c r="AU68">
        <v>2082.65616125935</v>
      </c>
      <c r="AV68">
        <v>5724.2674999999999</v>
      </c>
      <c r="AW68">
        <v>50.442216668127301</v>
      </c>
      <c r="AY68">
        <v>5724.2674999999999</v>
      </c>
      <c r="AZ68">
        <v>65.305129481558694</v>
      </c>
      <c r="BA68">
        <v>5724.2674999999999</v>
      </c>
      <c r="BB68">
        <v>2145.7939837826598</v>
      </c>
      <c r="BC68">
        <v>5724.2674999999999</v>
      </c>
      <c r="BD68">
        <v>67.182099502469299</v>
      </c>
      <c r="BG68" s="19">
        <v>5575.1400000000122</v>
      </c>
      <c r="BH68" s="34">
        <v>1226.7617130207889</v>
      </c>
      <c r="BJ68" s="19">
        <v>5575.1400000000122</v>
      </c>
      <c r="BK68" s="34">
        <v>1202.5314205775542</v>
      </c>
      <c r="BM68" s="19">
        <v>5575.1400000000122</v>
      </c>
      <c r="BN68" s="34">
        <v>40.84093727727236</v>
      </c>
      <c r="BQ68" s="19">
        <v>5575.1400000000122</v>
      </c>
      <c r="BR68" s="34">
        <v>40.969446476244286</v>
      </c>
    </row>
    <row r="69" spans="3:70" x14ac:dyDescent="0.35">
      <c r="C69">
        <v>5798.8125</v>
      </c>
      <c r="D69">
        <v>182.10255654717901</v>
      </c>
      <c r="E69">
        <v>2298.1024501209899</v>
      </c>
      <c r="F69">
        <v>48.287378266795599</v>
      </c>
      <c r="H69">
        <v>1.0982599431818201</v>
      </c>
      <c r="I69">
        <f t="shared" si="0"/>
        <v>5798.81250000001</v>
      </c>
      <c r="J69">
        <v>119.008309051933</v>
      </c>
      <c r="K69">
        <v>2159.9612687777799</v>
      </c>
      <c r="L69">
        <v>53.927207625783701</v>
      </c>
      <c r="N69">
        <v>1.0982599431818201</v>
      </c>
      <c r="O69">
        <f t="shared" si="1"/>
        <v>5798.81250000001</v>
      </c>
      <c r="P69">
        <v>75.870121397038801</v>
      </c>
      <c r="Q69">
        <v>2288.97377569845</v>
      </c>
      <c r="R69">
        <v>62.561181859480698</v>
      </c>
      <c r="U69">
        <v>5798.8124999999991</v>
      </c>
      <c r="V69">
        <v>154.0737307714096</v>
      </c>
      <c r="W69">
        <v>2154.8704446241259</v>
      </c>
      <c r="X69">
        <v>48.764714939070963</v>
      </c>
      <c r="Z69">
        <v>5798.8125</v>
      </c>
      <c r="AA69">
        <v>102.18585118651301</v>
      </c>
      <c r="AB69">
        <v>2080.5545646215601</v>
      </c>
      <c r="AC69">
        <v>50.188565621447601</v>
      </c>
      <c r="AE69">
        <v>5798.8125</v>
      </c>
      <c r="AF69">
        <v>69.797893445616594</v>
      </c>
      <c r="AG69">
        <v>2201.7118283467398</v>
      </c>
      <c r="AH69">
        <v>66.985326570684705</v>
      </c>
      <c r="AK69">
        <v>5798.8124999999991</v>
      </c>
      <c r="AL69">
        <v>130.95370295636991</v>
      </c>
      <c r="AM69">
        <v>5798.8124999999991</v>
      </c>
      <c r="AN69">
        <v>1890.5406408694071</v>
      </c>
      <c r="AO69">
        <v>5798.8124999999991</v>
      </c>
      <c r="AP69">
        <v>49.159203464845206</v>
      </c>
      <c r="AR69">
        <v>5798.8125</v>
      </c>
      <c r="AS69">
        <v>89.568931287448194</v>
      </c>
      <c r="AT69">
        <v>5798.8125</v>
      </c>
      <c r="AU69">
        <v>2081.7612784950202</v>
      </c>
      <c r="AV69">
        <v>5798.8125</v>
      </c>
      <c r="AW69">
        <v>50.4437086963854</v>
      </c>
      <c r="AY69">
        <v>5798.8125</v>
      </c>
      <c r="AZ69">
        <v>65.116759483065707</v>
      </c>
      <c r="BA69">
        <v>5798.8125</v>
      </c>
      <c r="BB69">
        <v>2144.6003233044598</v>
      </c>
      <c r="BC69">
        <v>5798.8125</v>
      </c>
      <c r="BD69">
        <v>67.156441610666207</v>
      </c>
      <c r="BG69" s="19">
        <v>5649.7025000000085</v>
      </c>
      <c r="BH69" s="34">
        <v>1225.6753804592261</v>
      </c>
      <c r="BJ69" s="19">
        <v>5649.7025000000085</v>
      </c>
      <c r="BK69" s="34">
        <v>1201.4372559788319</v>
      </c>
      <c r="BM69" s="19">
        <v>5649.7025000000085</v>
      </c>
      <c r="BN69" s="34">
        <v>40.840876077272846</v>
      </c>
      <c r="BQ69" s="19">
        <v>5649.7025000000085</v>
      </c>
      <c r="BR69" s="34">
        <v>40.969401476244649</v>
      </c>
    </row>
    <row r="70" spans="3:70" x14ac:dyDescent="0.35">
      <c r="C70">
        <v>5873.3375000000096</v>
      </c>
      <c r="D70">
        <v>182.00145054798799</v>
      </c>
      <c r="E70">
        <v>2296.9435986968401</v>
      </c>
      <c r="F70">
        <v>48.289107521303997</v>
      </c>
      <c r="H70">
        <v>1.1123745265151499</v>
      </c>
      <c r="I70">
        <f t="shared" si="0"/>
        <v>5873.3374999999915</v>
      </c>
      <c r="J70">
        <v>118.87498305299999</v>
      </c>
      <c r="K70">
        <v>2159.1316529897799</v>
      </c>
      <c r="L70">
        <v>53.9136233015589</v>
      </c>
      <c r="N70">
        <v>1.1123745265151499</v>
      </c>
      <c r="O70">
        <f t="shared" si="1"/>
        <v>5873.3374999999915</v>
      </c>
      <c r="P70">
        <v>75.607969399135996</v>
      </c>
      <c r="Q70">
        <v>2288.08614482038</v>
      </c>
      <c r="R70">
        <v>62.559808444347702</v>
      </c>
      <c r="U70">
        <v>5873.3375000000096</v>
      </c>
      <c r="V70">
        <v>153.99258677205879</v>
      </c>
      <c r="W70">
        <v>2154.1844161840468</v>
      </c>
      <c r="X70">
        <v>48.766256909697574</v>
      </c>
      <c r="Z70">
        <v>5873.3374999999996</v>
      </c>
      <c r="AA70">
        <v>102.089461187284</v>
      </c>
      <c r="AB70">
        <v>2079.85113165446</v>
      </c>
      <c r="AC70">
        <v>50.190307361548101</v>
      </c>
      <c r="AE70">
        <v>5873.3374999999996</v>
      </c>
      <c r="AF70">
        <v>69.5831174473348</v>
      </c>
      <c r="AG70">
        <v>2200.7719838876001</v>
      </c>
      <c r="AH70">
        <v>66.979333486467894</v>
      </c>
      <c r="AK70">
        <v>5873.3375000000096</v>
      </c>
      <c r="AL70">
        <v>130.88890295688833</v>
      </c>
      <c r="AM70">
        <v>5873.3375000000096</v>
      </c>
      <c r="AN70">
        <v>1889.8502612975726</v>
      </c>
      <c r="AO70">
        <v>5873.3375000000096</v>
      </c>
      <c r="AP70">
        <v>49.160339653727974</v>
      </c>
      <c r="AR70">
        <v>5873.3374999999996</v>
      </c>
      <c r="AS70">
        <v>89.491531288067407</v>
      </c>
      <c r="AT70">
        <v>5873.3374999999996</v>
      </c>
      <c r="AU70">
        <v>2081.0549447734102</v>
      </c>
      <c r="AV70">
        <v>5873.3374999999996</v>
      </c>
      <c r="AW70">
        <v>50.445013440761798</v>
      </c>
      <c r="AY70">
        <v>5873.3374999999996</v>
      </c>
      <c r="AZ70">
        <v>64.932241484541805</v>
      </c>
      <c r="BA70">
        <v>5873.3374999999996</v>
      </c>
      <c r="BB70">
        <v>2143.6590284680801</v>
      </c>
      <c r="BC70">
        <v>5873.3374999999996</v>
      </c>
      <c r="BD70">
        <v>67.1528832169125</v>
      </c>
      <c r="BG70" s="19">
        <v>5724.2674999999981</v>
      </c>
      <c r="BH70" s="34">
        <v>1224.5800555587023</v>
      </c>
      <c r="BJ70" s="19">
        <v>5724.2674999999981</v>
      </c>
      <c r="BK70" s="34">
        <v>1200.3340990411484</v>
      </c>
      <c r="BM70" s="19">
        <v>5724.2674999999981</v>
      </c>
      <c r="BN70" s="34">
        <v>40.840768077273715</v>
      </c>
      <c r="BQ70" s="19">
        <v>5724.2674999999981</v>
      </c>
      <c r="BR70" s="34">
        <v>40.969219676246105</v>
      </c>
    </row>
    <row r="71" spans="3:70" x14ac:dyDescent="0.35">
      <c r="C71">
        <v>5947.8550000000096</v>
      </c>
      <c r="D71">
        <v>181.90070454879401</v>
      </c>
      <c r="E71">
        <v>2295.9036782073299</v>
      </c>
      <c r="F71">
        <v>48.290805561832101</v>
      </c>
      <c r="H71">
        <v>1.12648768939394</v>
      </c>
      <c r="I71">
        <f t="shared" ref="I71:I134" si="2">H71*5280</f>
        <v>5947.8550000000032</v>
      </c>
      <c r="J71">
        <v>118.742107054063</v>
      </c>
      <c r="K71">
        <v>2158.4354719089301</v>
      </c>
      <c r="L71">
        <v>53.615286320687801</v>
      </c>
      <c r="N71">
        <v>1.12648768939394</v>
      </c>
      <c r="O71">
        <f t="shared" ref="O71:O134" si="3">N71*5280</f>
        <v>5947.8550000000032</v>
      </c>
      <c r="P71">
        <v>75.346789401225394</v>
      </c>
      <c r="Q71">
        <v>2287.3537043082501</v>
      </c>
      <c r="R71">
        <v>62.353215594361998</v>
      </c>
      <c r="U71">
        <v>5947.8550000000141</v>
      </c>
      <c r="V71">
        <v>153.91191077270418</v>
      </c>
      <c r="W71">
        <v>2153.6173186786114</v>
      </c>
      <c r="X71">
        <v>48.767880036672963</v>
      </c>
      <c r="Z71">
        <v>5947.8549999999996</v>
      </c>
      <c r="AA71">
        <v>101.989849188081</v>
      </c>
      <c r="AB71">
        <v>2079.2724311310099</v>
      </c>
      <c r="AC71">
        <v>50.192192685957998</v>
      </c>
      <c r="AE71">
        <v>5947.8549999999996</v>
      </c>
      <c r="AF71">
        <v>69.373345449013001</v>
      </c>
      <c r="AG71">
        <v>2199.9945816806598</v>
      </c>
      <c r="AH71">
        <v>67.112617182330894</v>
      </c>
      <c r="AK71">
        <v>5947.8550000000141</v>
      </c>
      <c r="AL71">
        <v>130.82435495740469</v>
      </c>
      <c r="AM71">
        <v>5947.8550000000141</v>
      </c>
      <c r="AN71">
        <v>1889.2788126603818</v>
      </c>
      <c r="AO71">
        <v>5947.8550000000141</v>
      </c>
      <c r="AP71">
        <v>49.16155075616345</v>
      </c>
      <c r="AR71">
        <v>5947.8549999999996</v>
      </c>
      <c r="AS71">
        <v>89.4119352887042</v>
      </c>
      <c r="AT71">
        <v>5947.8549999999996</v>
      </c>
      <c r="AU71">
        <v>2080.4718931182101</v>
      </c>
      <c r="AV71">
        <v>5947.8549999999996</v>
      </c>
      <c r="AW71">
        <v>50.446424312671098</v>
      </c>
      <c r="AY71">
        <v>5947.8549999999996</v>
      </c>
      <c r="AZ71">
        <v>64.703623486370802</v>
      </c>
      <c r="BA71">
        <v>5947.8549999999996</v>
      </c>
      <c r="BB71">
        <v>2142.8816262611399</v>
      </c>
      <c r="BC71">
        <v>5947.8549999999996</v>
      </c>
      <c r="BD71">
        <v>67.105250682981094</v>
      </c>
      <c r="BG71" s="19">
        <v>5798.8124999999991</v>
      </c>
      <c r="BH71" s="34">
        <v>1223.6758903799594</v>
      </c>
      <c r="BJ71" s="19">
        <v>5798.8124999999991</v>
      </c>
      <c r="BK71" s="34">
        <v>1199.4219567875211</v>
      </c>
      <c r="BM71" s="19">
        <v>5798.8124999999991</v>
      </c>
      <c r="BN71" s="34">
        <v>40.840699677274259</v>
      </c>
      <c r="BQ71" s="19">
        <v>5798.8124999999991</v>
      </c>
      <c r="BR71" s="34">
        <v>40.969046876247489</v>
      </c>
    </row>
    <row r="72" spans="3:70" x14ac:dyDescent="0.35">
      <c r="C72">
        <v>6022.3650000000098</v>
      </c>
      <c r="D72">
        <v>181.80033654959701</v>
      </c>
      <c r="E72">
        <v>2294.9826886524702</v>
      </c>
      <c r="F72">
        <v>48.292715857426202</v>
      </c>
      <c r="H72">
        <v>1.14059943181818</v>
      </c>
      <c r="I72">
        <f t="shared" si="2"/>
        <v>6022.3649999999907</v>
      </c>
      <c r="J72">
        <v>118.609609055123</v>
      </c>
      <c r="K72">
        <v>2157.8741759125101</v>
      </c>
      <c r="L72">
        <v>53.606521435020802</v>
      </c>
      <c r="N72">
        <v>1.14059943181818</v>
      </c>
      <c r="O72">
        <f t="shared" si="3"/>
        <v>6022.3649999999907</v>
      </c>
      <c r="P72">
        <v>75.086599403306906</v>
      </c>
      <c r="Q72">
        <v>2286.7750037848</v>
      </c>
      <c r="R72">
        <v>62.359420933644799</v>
      </c>
      <c r="U72">
        <v>6022.3650000000134</v>
      </c>
      <c r="V72">
        <v>153.83109077335075</v>
      </c>
      <c r="W72">
        <v>2153.1706024850714</v>
      </c>
      <c r="X72">
        <v>48.769559348812869</v>
      </c>
      <c r="Z72">
        <v>6022.3649999999998</v>
      </c>
      <c r="AA72">
        <v>101.896627188827</v>
      </c>
      <c r="AB72">
        <v>2078.8155622967101</v>
      </c>
      <c r="AC72">
        <v>50.181323978019002</v>
      </c>
      <c r="AE72">
        <v>6022.3649999999998</v>
      </c>
      <c r="AF72">
        <v>69.100465451196001</v>
      </c>
      <c r="AG72">
        <v>2199.4260337979799</v>
      </c>
      <c r="AH72">
        <v>60.1285140623323</v>
      </c>
      <c r="AK72">
        <v>6022.3650000000134</v>
      </c>
      <c r="AL72">
        <v>130.75962695792253</v>
      </c>
      <c r="AM72">
        <v>6022.3650000000134</v>
      </c>
      <c r="AN72">
        <v>1888.8306460895903</v>
      </c>
      <c r="AO72">
        <v>6022.3650000000134</v>
      </c>
      <c r="AP72">
        <v>49.162830529355581</v>
      </c>
      <c r="AR72">
        <v>6022.3649999999998</v>
      </c>
      <c r="AS72">
        <v>89.336551289307295</v>
      </c>
      <c r="AT72">
        <v>6022.3649999999998</v>
      </c>
      <c r="AU72">
        <v>2080.01357390665</v>
      </c>
      <c r="AV72">
        <v>6022.3649999999998</v>
      </c>
      <c r="AW72">
        <v>50.4376906409844</v>
      </c>
      <c r="AY72">
        <v>6022.3649999999998</v>
      </c>
      <c r="AZ72">
        <v>63.732073494143201</v>
      </c>
      <c r="BA72">
        <v>6022.3649999999998</v>
      </c>
      <c r="BB72">
        <v>2142.3377347917299</v>
      </c>
      <c r="BC72">
        <v>6022.3649999999998</v>
      </c>
      <c r="BD72">
        <v>55.5128903104019</v>
      </c>
      <c r="BG72" s="19">
        <v>5873.3375000000096</v>
      </c>
      <c r="BH72" s="34">
        <v>1222.9627398852724</v>
      </c>
      <c r="BJ72" s="19">
        <v>5873.3375000000096</v>
      </c>
      <c r="BK72" s="34">
        <v>1198.7008292179496</v>
      </c>
      <c r="BM72" s="19">
        <v>5873.3375000000096</v>
      </c>
      <c r="BN72" s="34">
        <v>40.840582677275201</v>
      </c>
      <c r="BQ72" s="19">
        <v>5873.3375000000096</v>
      </c>
      <c r="BR72" s="34">
        <v>40.968848876249069</v>
      </c>
    </row>
    <row r="73" spans="3:70" x14ac:dyDescent="0.35">
      <c r="C73">
        <v>6096.8800000000101</v>
      </c>
      <c r="D73">
        <v>181.699842550401</v>
      </c>
      <c r="E73">
        <v>2293.9848291032599</v>
      </c>
      <c r="F73">
        <v>48.294576210651897</v>
      </c>
      <c r="H73">
        <v>1.1547121212121201</v>
      </c>
      <c r="I73">
        <f t="shared" si="2"/>
        <v>6096.8799999999937</v>
      </c>
      <c r="J73">
        <v>118.47721905618199</v>
      </c>
      <c r="K73">
        <v>2157.2258572809701</v>
      </c>
      <c r="L73">
        <v>53.814999609416297</v>
      </c>
      <c r="N73">
        <v>1.1547121212121201</v>
      </c>
      <c r="O73">
        <f t="shared" si="3"/>
        <v>6096.8799999999937</v>
      </c>
      <c r="P73">
        <v>74.827597405378995</v>
      </c>
      <c r="Q73">
        <v>2286.0947768537198</v>
      </c>
      <c r="R73">
        <v>62.518730846278402</v>
      </c>
      <c r="U73">
        <v>6096.8800000000138</v>
      </c>
      <c r="V73">
        <v>153.7494067740042</v>
      </c>
      <c r="W73">
        <v>2152.6470162971887</v>
      </c>
      <c r="X73">
        <v>48.770395883484802</v>
      </c>
      <c r="Z73">
        <v>6096.88</v>
      </c>
      <c r="AA73">
        <v>101.80002118959899</v>
      </c>
      <c r="AB73">
        <v>2078.27892271356</v>
      </c>
      <c r="AC73">
        <v>50.194614890829001</v>
      </c>
      <c r="AE73">
        <v>6096.88</v>
      </c>
      <c r="AF73">
        <v>68.178793458569402</v>
      </c>
      <c r="AG73">
        <v>2198.8400813882699</v>
      </c>
      <c r="AH73">
        <v>50.730278006684998</v>
      </c>
      <c r="AK73">
        <v>6096.8800000000138</v>
      </c>
      <c r="AL73">
        <v>130.69417895844612</v>
      </c>
      <c r="AM73">
        <v>6096.8800000000138</v>
      </c>
      <c r="AN73">
        <v>1888.3027087699522</v>
      </c>
      <c r="AO73">
        <v>6096.8800000000138</v>
      </c>
      <c r="AP73">
        <v>49.163592150474798</v>
      </c>
      <c r="AR73">
        <v>6096.88</v>
      </c>
      <c r="AS73">
        <v>89.259079289927101</v>
      </c>
      <c r="AT73">
        <v>6096.88</v>
      </c>
      <c r="AU73">
        <v>2079.4740335689999</v>
      </c>
      <c r="AV73">
        <v>6096.88</v>
      </c>
      <c r="AW73">
        <v>50.448478192574598</v>
      </c>
      <c r="AY73">
        <v>6096.88</v>
      </c>
      <c r="AZ73">
        <v>62.335327505317203</v>
      </c>
      <c r="BA73">
        <v>6096.88</v>
      </c>
      <c r="BB73">
        <v>2141.7735380407998</v>
      </c>
      <c r="BC73">
        <v>6096.88</v>
      </c>
      <c r="BD73">
        <v>50.963009443770403</v>
      </c>
      <c r="BG73" s="19">
        <v>5947.8550000000141</v>
      </c>
      <c r="BH73" s="34">
        <v>1222.3743218342363</v>
      </c>
      <c r="BJ73" s="19">
        <v>5947.8550000000141</v>
      </c>
      <c r="BK73" s="34">
        <v>1198.104579129754</v>
      </c>
      <c r="BM73" s="19">
        <v>5947.8550000000141</v>
      </c>
      <c r="BN73" s="34">
        <v>40.840355877277013</v>
      </c>
      <c r="BQ73" s="19">
        <v>5947.8550000000141</v>
      </c>
      <c r="BR73" s="34">
        <v>40.968584276251185</v>
      </c>
    </row>
    <row r="74" spans="3:70" x14ac:dyDescent="0.35">
      <c r="C74">
        <v>6171.4000000000096</v>
      </c>
      <c r="D74">
        <v>181.599222551206</v>
      </c>
      <c r="E74">
        <v>2292.9086491824601</v>
      </c>
      <c r="F74">
        <v>48.296386621509001</v>
      </c>
      <c r="H74">
        <v>1.1688257575757599</v>
      </c>
      <c r="I74">
        <f t="shared" si="2"/>
        <v>6171.4000000000124</v>
      </c>
      <c r="J74">
        <v>118.34497305724</v>
      </c>
      <c r="K74">
        <v>2156.4876152598299</v>
      </c>
      <c r="L74">
        <v>53.828446592127797</v>
      </c>
      <c r="N74">
        <v>1.1688257575757599</v>
      </c>
      <c r="O74">
        <f t="shared" si="3"/>
        <v>6171.4000000000124</v>
      </c>
      <c r="P74">
        <v>74.569855407440897</v>
      </c>
      <c r="Q74">
        <v>2285.3144738922801</v>
      </c>
      <c r="R74">
        <v>62.526409485431202</v>
      </c>
      <c r="U74">
        <v>6171.4000000000142</v>
      </c>
      <c r="V74">
        <v>153.66810077465468</v>
      </c>
      <c r="W74">
        <v>2152.0436593604595</v>
      </c>
      <c r="X74">
        <v>48.77158201473604</v>
      </c>
      <c r="Z74">
        <v>6171.4</v>
      </c>
      <c r="AA74">
        <v>101.69617919043</v>
      </c>
      <c r="AB74">
        <v>2077.6610620043102</v>
      </c>
      <c r="AC74">
        <v>50.184882371772702</v>
      </c>
      <c r="AE74">
        <v>6171.4</v>
      </c>
      <c r="AF74">
        <v>67.615231463077905</v>
      </c>
      <c r="AG74">
        <v>2198.2149687927599</v>
      </c>
      <c r="AH74">
        <v>50.913017132928701</v>
      </c>
      <c r="AK74">
        <v>6171.4000000000142</v>
      </c>
      <c r="AL74">
        <v>130.62909095896683</v>
      </c>
      <c r="AM74">
        <v>6171.4000000000142</v>
      </c>
      <c r="AN74">
        <v>1887.6950007014677</v>
      </c>
      <c r="AO74">
        <v>6171.4000000000142</v>
      </c>
      <c r="AP74">
        <v>49.164541055475787</v>
      </c>
      <c r="AR74">
        <v>6171.4</v>
      </c>
      <c r="AS74">
        <v>89.175739290593796</v>
      </c>
      <c r="AT74">
        <v>6171.4</v>
      </c>
      <c r="AU74">
        <v>2078.8532721052502</v>
      </c>
      <c r="AV74">
        <v>6171.4</v>
      </c>
      <c r="AW74">
        <v>50.439769492072102</v>
      </c>
      <c r="AY74">
        <v>6171.4</v>
      </c>
      <c r="AZ74">
        <v>61.889773508881603</v>
      </c>
      <c r="BA74">
        <v>6171.4</v>
      </c>
      <c r="BB74">
        <v>2141.1455246907899</v>
      </c>
      <c r="BC74">
        <v>6171.4</v>
      </c>
      <c r="BD74">
        <v>51.010729376846598</v>
      </c>
      <c r="BG74" s="19">
        <v>6022.3650000000134</v>
      </c>
      <c r="BH74" s="34">
        <v>1221.910636226851</v>
      </c>
      <c r="BJ74" s="19">
        <v>6022.3650000000134</v>
      </c>
      <c r="BK74" s="34">
        <v>1197.6329164474839</v>
      </c>
      <c r="BM74" s="19">
        <v>6022.3650000000134</v>
      </c>
      <c r="BN74" s="34">
        <v>40.840093077279114</v>
      </c>
      <c r="BQ74" s="19">
        <v>6022.3650000000134</v>
      </c>
      <c r="BR74" s="34">
        <v>40.968361076252968</v>
      </c>
    </row>
    <row r="75" spans="3:70" x14ac:dyDescent="0.35">
      <c r="C75">
        <v>6245.9250000000102</v>
      </c>
      <c r="D75">
        <v>181.49849455201101</v>
      </c>
      <c r="E75">
        <v>2291.76140077632</v>
      </c>
      <c r="F75">
        <v>48.298153332793703</v>
      </c>
      <c r="H75">
        <v>1.1829403409090899</v>
      </c>
      <c r="I75">
        <f t="shared" si="2"/>
        <v>6245.9249999999947</v>
      </c>
      <c r="J75">
        <v>118.212835058297</v>
      </c>
      <c r="K75">
        <v>2155.6696024898401</v>
      </c>
      <c r="L75">
        <v>53.988212228873699</v>
      </c>
      <c r="N75">
        <v>1.1829403409090899</v>
      </c>
      <c r="O75">
        <f t="shared" si="3"/>
        <v>6245.9249999999947</v>
      </c>
      <c r="P75">
        <v>74.313409409492493</v>
      </c>
      <c r="Q75">
        <v>2284.4413467867298</v>
      </c>
      <c r="R75">
        <v>62.615931180919503</v>
      </c>
      <c r="U75">
        <v>6245.9250000000147</v>
      </c>
      <c r="V75">
        <v>153.58666877530612</v>
      </c>
      <c r="W75">
        <v>2151.3677835611425</v>
      </c>
      <c r="X75">
        <v>48.772668261250331</v>
      </c>
      <c r="Z75">
        <v>6245.9250000000002</v>
      </c>
      <c r="AA75">
        <v>101.595199191238</v>
      </c>
      <c r="AB75">
        <v>2076.9706824324799</v>
      </c>
      <c r="AC75">
        <v>50.197130737640798</v>
      </c>
      <c r="AE75">
        <v>6245.9250000000002</v>
      </c>
      <c r="AF75">
        <v>67.364941465080193</v>
      </c>
      <c r="AG75">
        <v>2197.5144365801698</v>
      </c>
      <c r="AH75">
        <v>50.930390834361297</v>
      </c>
      <c r="AK75">
        <v>6245.9250000000147</v>
      </c>
      <c r="AL75">
        <v>130.5639669594878</v>
      </c>
      <c r="AM75">
        <v>6245.9250000000147</v>
      </c>
      <c r="AN75">
        <v>1887.0147737703955</v>
      </c>
      <c r="AO75">
        <v>6245.9250000000147</v>
      </c>
      <c r="AP75">
        <v>49.165415046924068</v>
      </c>
      <c r="AR75">
        <v>6245.9250000000002</v>
      </c>
      <c r="AS75">
        <v>89.095009291239606</v>
      </c>
      <c r="AT75">
        <v>6245.9250000000002</v>
      </c>
      <c r="AU75">
        <v>2078.1585414016599</v>
      </c>
      <c r="AV75">
        <v>6245.9250000000002</v>
      </c>
      <c r="AW75">
        <v>50.450582014846503</v>
      </c>
      <c r="AY75">
        <v>6245.9250000000002</v>
      </c>
      <c r="AZ75">
        <v>61.687597510499003</v>
      </c>
      <c r="BA75">
        <v>6245.9250000000002</v>
      </c>
      <c r="BB75">
        <v>2140.4435421009398</v>
      </c>
      <c r="BC75">
        <v>6245.9250000000002</v>
      </c>
      <c r="BD75">
        <v>51.015186733232802</v>
      </c>
      <c r="BG75" s="19">
        <v>6096.8800000000138</v>
      </c>
      <c r="BH75" s="34">
        <v>1221.3655844556422</v>
      </c>
      <c r="BJ75" s="19">
        <v>6096.8800000000138</v>
      </c>
      <c r="BK75" s="34">
        <v>1197.0798876013905</v>
      </c>
      <c r="BM75" s="19">
        <v>6096.8800000000138</v>
      </c>
      <c r="BN75" s="34">
        <v>40.839788877281542</v>
      </c>
      <c r="BQ75" s="19">
        <v>6096.8800000000138</v>
      </c>
      <c r="BR75" s="34">
        <v>40.968029876255621</v>
      </c>
    </row>
    <row r="76" spans="3:70" x14ac:dyDescent="0.35">
      <c r="C76">
        <v>6320.4550000000099</v>
      </c>
      <c r="D76">
        <v>181.39767655281801</v>
      </c>
      <c r="E76">
        <v>2290.5416335076002</v>
      </c>
      <c r="F76">
        <v>48.299845130525803</v>
      </c>
      <c r="H76">
        <v>1.19705587121212</v>
      </c>
      <c r="I76">
        <f t="shared" si="2"/>
        <v>6320.4549999999936</v>
      </c>
      <c r="J76">
        <v>118.080859059353</v>
      </c>
      <c r="K76">
        <v>2154.7703685937499</v>
      </c>
      <c r="L76">
        <v>53.993836988123</v>
      </c>
      <c r="N76">
        <v>1.19705587121212</v>
      </c>
      <c r="O76">
        <f t="shared" si="3"/>
        <v>6320.4549999999936</v>
      </c>
      <c r="P76">
        <v>74.058421411532393</v>
      </c>
      <c r="Q76">
        <v>2283.4739451598098</v>
      </c>
      <c r="R76">
        <v>62.619115006909702</v>
      </c>
      <c r="U76">
        <v>6320.4550000000136</v>
      </c>
      <c r="V76">
        <v>153.50534477595673</v>
      </c>
      <c r="W76">
        <v>2150.6193888992379</v>
      </c>
      <c r="X76">
        <v>48.773798207337038</v>
      </c>
      <c r="Z76">
        <v>6320.4549999999999</v>
      </c>
      <c r="AA76">
        <v>101.488063192095</v>
      </c>
      <c r="AB76">
        <v>2076.2048832435498</v>
      </c>
      <c r="AC76">
        <v>50.198435482017203</v>
      </c>
      <c r="AE76">
        <v>6320.4549999999999</v>
      </c>
      <c r="AF76">
        <v>67.163809466689301</v>
      </c>
      <c r="AG76">
        <v>2196.73703437323</v>
      </c>
      <c r="AH76">
        <v>50.9332375493643</v>
      </c>
      <c r="AK76">
        <v>6320.4550000000136</v>
      </c>
      <c r="AL76">
        <v>130.49896896000777</v>
      </c>
      <c r="AM76">
        <v>6320.4550000000136</v>
      </c>
      <c r="AN76">
        <v>1886.2620279767359</v>
      </c>
      <c r="AO76">
        <v>6320.4550000000136</v>
      </c>
      <c r="AP76">
        <v>49.166301523964464</v>
      </c>
      <c r="AR76">
        <v>6320.4549999999999</v>
      </c>
      <c r="AS76">
        <v>89.009257291925607</v>
      </c>
      <c r="AT76">
        <v>6320.4549999999999</v>
      </c>
      <c r="AU76">
        <v>2077.38984145823</v>
      </c>
      <c r="AV76">
        <v>6320.4549999999999</v>
      </c>
      <c r="AW76">
        <v>50.451618318992402</v>
      </c>
      <c r="AY76">
        <v>6320.4549999999999</v>
      </c>
      <c r="AZ76">
        <v>61.526821511785201</v>
      </c>
      <c r="BA76">
        <v>6320.4549999999999</v>
      </c>
      <c r="BB76">
        <v>2139.6646895167501</v>
      </c>
      <c r="BC76">
        <v>6320.4549999999999</v>
      </c>
      <c r="BD76">
        <v>51.017846164353998</v>
      </c>
      <c r="BG76" s="19">
        <v>6171.4000000000142</v>
      </c>
      <c r="BH76" s="34">
        <v>1220.7390214828849</v>
      </c>
      <c r="BJ76" s="19">
        <v>6171.4000000000142</v>
      </c>
      <c r="BK76" s="34">
        <v>1196.4454925914738</v>
      </c>
      <c r="BM76" s="19">
        <v>6171.4000000000142</v>
      </c>
      <c r="BN76" s="34">
        <v>40.839457677284194</v>
      </c>
      <c r="BQ76" s="19">
        <v>6171.4000000000142</v>
      </c>
      <c r="BR76" s="34">
        <v>40.967668076258512</v>
      </c>
    </row>
    <row r="77" spans="3:70" x14ac:dyDescent="0.35">
      <c r="C77">
        <v>6394.9800000000096</v>
      </c>
      <c r="D77">
        <v>181.29711055362199</v>
      </c>
      <c r="E77">
        <v>2289.3914843469602</v>
      </c>
      <c r="F77">
        <v>48.3015119570736</v>
      </c>
      <c r="H77">
        <v>1.21117045454545</v>
      </c>
      <c r="I77">
        <f t="shared" si="2"/>
        <v>6394.9799999999759</v>
      </c>
      <c r="J77">
        <v>117.949243060406</v>
      </c>
      <c r="K77">
        <v>2153.9509054465102</v>
      </c>
      <c r="L77">
        <v>53.8437851420451</v>
      </c>
      <c r="N77">
        <v>1.21117045454545</v>
      </c>
      <c r="O77">
        <f t="shared" si="3"/>
        <v>6394.9799999999759</v>
      </c>
      <c r="P77">
        <v>73.805089413559003</v>
      </c>
      <c r="Q77">
        <v>2282.59791729975</v>
      </c>
      <c r="R77">
        <v>62.540767916367301</v>
      </c>
      <c r="U77">
        <v>6394.9800000000141</v>
      </c>
      <c r="V77">
        <v>153.42447077660367</v>
      </c>
      <c r="W77">
        <v>2149.9420627226696</v>
      </c>
      <c r="X77">
        <v>48.775234050430647</v>
      </c>
      <c r="Z77">
        <v>6394.98</v>
      </c>
      <c r="AA77">
        <v>101.379199192966</v>
      </c>
      <c r="AB77">
        <v>2075.51160291721</v>
      </c>
      <c r="AC77">
        <v>50.200283349650697</v>
      </c>
      <c r="AE77">
        <v>6394.98</v>
      </c>
      <c r="AF77">
        <v>66.973045468215403</v>
      </c>
      <c r="AG77">
        <v>2196.0336014061299</v>
      </c>
      <c r="AH77">
        <v>50.936552474071704</v>
      </c>
      <c r="AK77">
        <v>6394.9800000000141</v>
      </c>
      <c r="AL77">
        <v>130.43427696052535</v>
      </c>
      <c r="AM77">
        <v>6394.9800000000141</v>
      </c>
      <c r="AN77">
        <v>1885.5803506684119</v>
      </c>
      <c r="AO77">
        <v>6394.9800000000141</v>
      </c>
      <c r="AP77">
        <v>49.167381527682707</v>
      </c>
      <c r="AR77">
        <v>6394.98</v>
      </c>
      <c r="AS77">
        <v>88.922137292622594</v>
      </c>
      <c r="AT77">
        <v>6394.98</v>
      </c>
      <c r="AU77">
        <v>2076.6936603773902</v>
      </c>
      <c r="AV77">
        <v>6394.98</v>
      </c>
      <c r="AW77">
        <v>50.453016705309601</v>
      </c>
      <c r="AY77">
        <v>6394.98</v>
      </c>
      <c r="AZ77">
        <v>61.374199513006197</v>
      </c>
      <c r="BA77">
        <v>6394.98</v>
      </c>
      <c r="BB77">
        <v>2138.96125654965</v>
      </c>
      <c r="BC77">
        <v>6394.98</v>
      </c>
      <c r="BD77">
        <v>51.020305826001298</v>
      </c>
      <c r="BG77" s="19">
        <v>6245.9250000000147</v>
      </c>
      <c r="BH77" s="34">
        <v>1220.0374740062121</v>
      </c>
      <c r="BJ77" s="19">
        <v>6245.9250000000147</v>
      </c>
      <c r="BK77" s="34">
        <v>1195.7359680399163</v>
      </c>
      <c r="BM77" s="19">
        <v>6245.9250000000147</v>
      </c>
      <c r="BN77" s="34">
        <v>40.83913727728676</v>
      </c>
      <c r="BQ77" s="19">
        <v>6245.9250000000147</v>
      </c>
      <c r="BR77" s="34">
        <v>40.967216276262128</v>
      </c>
    </row>
    <row r="78" spans="3:70" x14ac:dyDescent="0.35">
      <c r="C78">
        <v>6469.50000000001</v>
      </c>
      <c r="D78">
        <v>181.19677855442501</v>
      </c>
      <c r="E78">
        <v>2288.3124036716499</v>
      </c>
      <c r="F78">
        <v>48.3032849111544</v>
      </c>
      <c r="H78">
        <v>1.2252840909090901</v>
      </c>
      <c r="I78">
        <f t="shared" si="2"/>
        <v>6469.4999999999955</v>
      </c>
      <c r="J78">
        <v>117.81777106145699</v>
      </c>
      <c r="K78">
        <v>2153.2097626708701</v>
      </c>
      <c r="L78">
        <v>53.833802911146499</v>
      </c>
      <c r="N78">
        <v>1.2252840909090901</v>
      </c>
      <c r="O78">
        <f t="shared" si="3"/>
        <v>6469.4999999999955</v>
      </c>
      <c r="P78">
        <v>73.553377415572697</v>
      </c>
      <c r="Q78">
        <v>2281.8132632065499</v>
      </c>
      <c r="R78">
        <v>62.536148247283499</v>
      </c>
      <c r="U78">
        <v>6469.5000000000146</v>
      </c>
      <c r="V78">
        <v>153.34336277725259</v>
      </c>
      <c r="W78">
        <v>2149.3358050314368</v>
      </c>
      <c r="X78">
        <v>48.776345268129177</v>
      </c>
      <c r="Z78">
        <v>6469.5</v>
      </c>
      <c r="AA78">
        <v>101.268967193848</v>
      </c>
      <c r="AB78">
        <v>2074.8908414534599</v>
      </c>
      <c r="AC78">
        <v>50.201413295737403</v>
      </c>
      <c r="AE78">
        <v>6469.5</v>
      </c>
      <c r="AF78">
        <v>66.778087469775102</v>
      </c>
      <c r="AG78">
        <v>2195.40413767887</v>
      </c>
      <c r="AH78">
        <v>50.939074563679597</v>
      </c>
      <c r="AK78">
        <v>6469.5000000000146</v>
      </c>
      <c r="AL78">
        <v>130.36924296104559</v>
      </c>
      <c r="AM78">
        <v>6469.5000000000146</v>
      </c>
      <c r="AN78">
        <v>1884.9697418454241</v>
      </c>
      <c r="AO78">
        <v>6469.5000000000146</v>
      </c>
      <c r="AP78">
        <v>49.168286733111287</v>
      </c>
      <c r="AR78">
        <v>6469.5</v>
      </c>
      <c r="AS78">
        <v>88.833577293331103</v>
      </c>
      <c r="AT78">
        <v>6469.5</v>
      </c>
      <c r="AU78">
        <v>2076.0699981591401</v>
      </c>
      <c r="AV78">
        <v>6469.5</v>
      </c>
      <c r="AW78">
        <v>50.453940639126401</v>
      </c>
      <c r="AY78">
        <v>6469.5</v>
      </c>
      <c r="AZ78">
        <v>61.218193514254203</v>
      </c>
      <c r="BA78">
        <v>6469.5</v>
      </c>
      <c r="BB78">
        <v>2138.3303424451401</v>
      </c>
      <c r="BC78">
        <v>6469.5</v>
      </c>
      <c r="BD78">
        <v>51.022590689358999</v>
      </c>
      <c r="BG78" s="19">
        <v>6320.4550000000136</v>
      </c>
      <c r="BH78" s="34">
        <v>1219.260651950173</v>
      </c>
      <c r="BJ78" s="19">
        <v>6320.4550000000136</v>
      </c>
      <c r="BK78" s="34">
        <v>1194.9511689089927</v>
      </c>
      <c r="BM78" s="19">
        <v>6320.4550000000136</v>
      </c>
      <c r="BN78" s="34">
        <v>40.838912277288557</v>
      </c>
      <c r="BQ78" s="19">
        <v>6320.4550000000136</v>
      </c>
      <c r="BR78" s="34">
        <v>40.966388276268752</v>
      </c>
    </row>
    <row r="79" spans="3:70" x14ac:dyDescent="0.35">
      <c r="C79">
        <v>6544.0125000000098</v>
      </c>
      <c r="D79">
        <v>181.09686055522499</v>
      </c>
      <c r="E79">
        <v>2287.3653073262599</v>
      </c>
      <c r="F79">
        <v>48.305014165662797</v>
      </c>
      <c r="H79">
        <v>1.2393963068181799</v>
      </c>
      <c r="I79">
        <f t="shared" si="2"/>
        <v>6544.0124999999898</v>
      </c>
      <c r="J79">
        <v>117.686731062506</v>
      </c>
      <c r="K79">
        <v>2152.6165583748998</v>
      </c>
      <c r="L79">
        <v>53.458329942168497</v>
      </c>
      <c r="N79">
        <v>1.2393963068181799</v>
      </c>
      <c r="O79">
        <f t="shared" si="3"/>
        <v>6544.0124999999898</v>
      </c>
      <c r="P79">
        <v>73.303663417570405</v>
      </c>
      <c r="Q79">
        <v>2281.1997536290601</v>
      </c>
      <c r="R79">
        <v>62.204893002792403</v>
      </c>
      <c r="U79">
        <v>6544.0125000000135</v>
      </c>
      <c r="V79">
        <v>153.26218277790198</v>
      </c>
      <c r="W79">
        <v>2148.8629820473652</v>
      </c>
      <c r="X79">
        <v>48.777955909512436</v>
      </c>
      <c r="Z79">
        <v>6544.0124999999998</v>
      </c>
      <c r="AA79">
        <v>101.150419194796</v>
      </c>
      <c r="AB79">
        <v>2074.4064154513799</v>
      </c>
      <c r="AC79">
        <v>50.203804286627999</v>
      </c>
      <c r="AE79">
        <v>6544.0124999999998</v>
      </c>
      <c r="AF79">
        <v>66.567685471458304</v>
      </c>
      <c r="AG79">
        <v>2194.9139101677702</v>
      </c>
      <c r="AH79">
        <v>50.942632957433297</v>
      </c>
      <c r="AK79">
        <v>6544.0125000000135</v>
      </c>
      <c r="AL79">
        <v>130.30397496156775</v>
      </c>
      <c r="AM79">
        <v>6544.0125000000135</v>
      </c>
      <c r="AN79">
        <v>1884.4940181068491</v>
      </c>
      <c r="AO79">
        <v>6544.0125000000135</v>
      </c>
      <c r="AP79">
        <v>49.169522806730996</v>
      </c>
      <c r="AR79">
        <v>6544.0124999999998</v>
      </c>
      <c r="AS79">
        <v>88.740157294078401</v>
      </c>
      <c r="AT79">
        <v>6544.0124999999998</v>
      </c>
      <c r="AU79">
        <v>2075.5826714025502</v>
      </c>
      <c r="AV79">
        <v>6544.0124999999998</v>
      </c>
      <c r="AW79">
        <v>50.455788506759902</v>
      </c>
      <c r="AY79">
        <v>6544.0124999999998</v>
      </c>
      <c r="AZ79">
        <v>61.050181515598297</v>
      </c>
      <c r="BA79">
        <v>6544.0124999999998</v>
      </c>
      <c r="BB79">
        <v>2137.8386645567898</v>
      </c>
      <c r="BC79">
        <v>6544.0124999999998</v>
      </c>
      <c r="BD79">
        <v>51.025487346730401</v>
      </c>
      <c r="BG79" s="19">
        <v>6394.9800000000141</v>
      </c>
      <c r="BH79" s="34">
        <v>1218.557218983073</v>
      </c>
      <c r="BJ79" s="19">
        <v>6394.9800000000141</v>
      </c>
      <c r="BK79" s="34">
        <v>1194.2397588670078</v>
      </c>
      <c r="BM79" s="19">
        <v>6394.9800000000141</v>
      </c>
      <c r="BN79" s="34">
        <v>40.838852877289035</v>
      </c>
      <c r="BQ79" s="19">
        <v>6394.9800000000141</v>
      </c>
      <c r="BR79" s="34">
        <v>40.9646692762825</v>
      </c>
    </row>
    <row r="80" spans="3:70" x14ac:dyDescent="0.35">
      <c r="C80">
        <v>6618.5175000000099</v>
      </c>
      <c r="D80">
        <v>180.99733855602099</v>
      </c>
      <c r="E80">
        <v>2286.5501953107701</v>
      </c>
      <c r="F80">
        <v>48.306943189644997</v>
      </c>
      <c r="H80">
        <v>1.25350710227273</v>
      </c>
      <c r="I80">
        <f t="shared" si="2"/>
        <v>6618.5175000000145</v>
      </c>
      <c r="J80">
        <v>117.55606906355101</v>
      </c>
      <c r="K80">
        <v>2152.1741933131202</v>
      </c>
      <c r="L80">
        <v>53.426897464010601</v>
      </c>
      <c r="N80">
        <v>1.25350710227273</v>
      </c>
      <c r="O80">
        <f t="shared" si="3"/>
        <v>6618.5175000000145</v>
      </c>
      <c r="P80">
        <v>73.056037419551501</v>
      </c>
      <c r="Q80">
        <v>2280.76028932178</v>
      </c>
      <c r="R80">
        <v>62.060453430371702</v>
      </c>
      <c r="U80">
        <v>6618.5175000000127</v>
      </c>
      <c r="V80">
        <v>153.17563877859433</v>
      </c>
      <c r="W80">
        <v>2148.5235937704551</v>
      </c>
      <c r="X80">
        <v>48.778455333197172</v>
      </c>
      <c r="Z80">
        <v>6618.5174999999999</v>
      </c>
      <c r="AA80">
        <v>101.04198719566401</v>
      </c>
      <c r="AB80">
        <v>2074.0597752882099</v>
      </c>
      <c r="AC80">
        <v>50.190519616614097</v>
      </c>
      <c r="AE80">
        <v>6618.5174999999999</v>
      </c>
      <c r="AF80">
        <v>66.342847473256995</v>
      </c>
      <c r="AG80">
        <v>2194.5614684955999</v>
      </c>
      <c r="AH80">
        <v>50.923323989222297</v>
      </c>
      <c r="AK80">
        <v>6618.5175000000127</v>
      </c>
      <c r="AL80">
        <v>130.23847296209175</v>
      </c>
      <c r="AM80">
        <v>6618.5175000000127</v>
      </c>
      <c r="AN80">
        <v>1884.1517290754352</v>
      </c>
      <c r="AO80">
        <v>6618.5175000000127</v>
      </c>
      <c r="AP80">
        <v>49.170065929988148</v>
      </c>
      <c r="AR80">
        <v>6618.5174999999999</v>
      </c>
      <c r="AS80">
        <v>88.668013294655594</v>
      </c>
      <c r="AT80">
        <v>6618.5174999999999</v>
      </c>
      <c r="AU80">
        <v>2075.2345808621299</v>
      </c>
      <c r="AV80">
        <v>6618.5174999999999</v>
      </c>
      <c r="AW80">
        <v>50.445968588558799</v>
      </c>
      <c r="AY80">
        <v>6618.5174999999999</v>
      </c>
      <c r="AZ80">
        <v>60.872251517021802</v>
      </c>
      <c r="BA80">
        <v>6618.5174999999999</v>
      </c>
      <c r="BB80">
        <v>2137.48477250736</v>
      </c>
      <c r="BC80">
        <v>6618.5174999999999</v>
      </c>
      <c r="BD80">
        <v>51.015211704417098</v>
      </c>
      <c r="BG80" s="19">
        <v>6469.5000000000146</v>
      </c>
      <c r="BH80" s="34">
        <v>1217.9271751049116</v>
      </c>
      <c r="BJ80" s="19">
        <v>6469.5000000000146</v>
      </c>
      <c r="BK80" s="34">
        <v>1193.6017379139619</v>
      </c>
      <c r="BM80" s="19">
        <v>6469.5000000000146</v>
      </c>
      <c r="BN80" s="34">
        <v>40.838746677289883</v>
      </c>
      <c r="BQ80" s="19">
        <v>6469.5000000000146</v>
      </c>
      <c r="BR80" s="34">
        <v>40.960279076317626</v>
      </c>
    </row>
    <row r="81" spans="3:70" x14ac:dyDescent="0.35">
      <c r="C81">
        <v>6718.2700000000104</v>
      </c>
      <c r="D81">
        <v>180.83078455735301</v>
      </c>
      <c r="E81">
        <v>2285.72348027728</v>
      </c>
      <c r="F81">
        <v>48.310357999089398</v>
      </c>
      <c r="H81">
        <v>1.27239962121212</v>
      </c>
      <c r="I81">
        <f t="shared" si="2"/>
        <v>6718.2699999999941</v>
      </c>
      <c r="J81">
        <v>117.33798106529601</v>
      </c>
      <c r="K81">
        <v>2151.8710644675002</v>
      </c>
      <c r="L81">
        <v>52.703188845260598</v>
      </c>
      <c r="N81">
        <v>1.27239962121212</v>
      </c>
      <c r="O81">
        <f t="shared" si="3"/>
        <v>6718.2699999999941</v>
      </c>
      <c r="P81">
        <v>72.648535422811406</v>
      </c>
      <c r="Q81">
        <v>2280.5137251889801</v>
      </c>
      <c r="R81">
        <v>57.786978602055498</v>
      </c>
      <c r="U81">
        <v>6718.2700000000114</v>
      </c>
      <c r="V81">
        <v>153.09242477926009</v>
      </c>
      <c r="W81">
        <v>2148.3350447277271</v>
      </c>
      <c r="X81">
        <v>48.889932942425553</v>
      </c>
      <c r="Z81">
        <v>6718.27</v>
      </c>
      <c r="AA81">
        <v>101.06248919550001</v>
      </c>
      <c r="AB81">
        <v>2073.8639743592198</v>
      </c>
      <c r="AC81">
        <v>50.920246290765199</v>
      </c>
      <c r="AE81">
        <v>6718.27</v>
      </c>
      <c r="AF81">
        <v>66.071299475429399</v>
      </c>
      <c r="AG81">
        <v>2194.3613164348499</v>
      </c>
      <c r="AH81">
        <v>51.702774533984503</v>
      </c>
      <c r="AK81">
        <v>6718.2700000000114</v>
      </c>
      <c r="AL81">
        <v>130.20945696232388</v>
      </c>
      <c r="AM81">
        <v>6718.2700000000114</v>
      </c>
      <c r="AN81">
        <v>1883.9617296554557</v>
      </c>
      <c r="AO81">
        <v>6718.2700000000114</v>
      </c>
      <c r="AP81">
        <v>49.283597419119985</v>
      </c>
      <c r="AR81">
        <v>6718.27</v>
      </c>
      <c r="AS81">
        <v>88.825729293393806</v>
      </c>
      <c r="AT81">
        <v>6718.27</v>
      </c>
      <c r="AU81">
        <v>2075.0373295558902</v>
      </c>
      <c r="AV81">
        <v>6718.27</v>
      </c>
      <c r="AW81">
        <v>51.165550719113703</v>
      </c>
      <c r="AY81">
        <v>6718.27</v>
      </c>
      <c r="AZ81">
        <v>60.731455518148103</v>
      </c>
      <c r="BA81">
        <v>6718.27</v>
      </c>
      <c r="BB81">
        <v>2137.28462044662</v>
      </c>
      <c r="BC81">
        <v>6718.27</v>
      </c>
      <c r="BD81">
        <v>51.785042100452102</v>
      </c>
      <c r="BG81" s="19">
        <v>6544.0125000000135</v>
      </c>
      <c r="BH81" s="34">
        <v>1217.4359323297429</v>
      </c>
      <c r="BJ81" s="19">
        <v>6544.0125000000135</v>
      </c>
      <c r="BK81" s="34">
        <v>1193.1025180639085</v>
      </c>
      <c r="BM81" s="19">
        <v>6544.0125000000135</v>
      </c>
      <c r="BN81" s="34">
        <v>40.838260677293775</v>
      </c>
      <c r="BQ81" s="19">
        <v>6544.0125000000135</v>
      </c>
      <c r="BR81" s="34">
        <v>40.949115476406931</v>
      </c>
    </row>
    <row r="82" spans="3:70" x14ac:dyDescent="0.35">
      <c r="C82">
        <v>6843.2700000000104</v>
      </c>
      <c r="D82">
        <v>180.66547255867599</v>
      </c>
      <c r="E82">
        <v>2284.8822614712599</v>
      </c>
      <c r="F82">
        <v>48.314072462744598</v>
      </c>
      <c r="H82">
        <v>1.29607386363636</v>
      </c>
      <c r="I82">
        <f t="shared" si="2"/>
        <v>6843.2699999999804</v>
      </c>
      <c r="J82">
        <v>117.120847067033</v>
      </c>
      <c r="K82">
        <v>2151.7071718380498</v>
      </c>
      <c r="L82">
        <v>52.698194608413303</v>
      </c>
      <c r="N82">
        <v>1.29607386363636</v>
      </c>
      <c r="O82">
        <f t="shared" si="3"/>
        <v>6843.2699999999804</v>
      </c>
      <c r="P82">
        <v>72.247099426022999</v>
      </c>
      <c r="Q82">
        <v>2280.4586108534099</v>
      </c>
      <c r="R82">
        <v>58.579501561765603</v>
      </c>
      <c r="U82">
        <v>6843.2700000000104</v>
      </c>
      <c r="V82">
        <v>152.9308567805526</v>
      </c>
      <c r="W82">
        <v>2148.2973349191816</v>
      </c>
      <c r="X82">
        <v>48.789199185214983</v>
      </c>
      <c r="Z82">
        <v>6843.27</v>
      </c>
      <c r="AA82">
        <v>100.78672919770599</v>
      </c>
      <c r="AB82">
        <v>2073.8248141734198</v>
      </c>
      <c r="AC82">
        <v>50.196587614383603</v>
      </c>
      <c r="AE82">
        <v>6843.27</v>
      </c>
      <c r="AF82">
        <v>65.824051477407394</v>
      </c>
      <c r="AG82">
        <v>2194.3236066263098</v>
      </c>
      <c r="AH82">
        <v>50.945966610528899</v>
      </c>
      <c r="AK82">
        <v>6843.2700000000104</v>
      </c>
      <c r="AL82">
        <v>130.04209296366281</v>
      </c>
      <c r="AM82">
        <v>6843.2700000000104</v>
      </c>
      <c r="AN82">
        <v>1883.9240198469101</v>
      </c>
      <c r="AO82">
        <v>6843.2700000000104</v>
      </c>
      <c r="AP82">
        <v>49.175859244731043</v>
      </c>
      <c r="AR82">
        <v>6843.27</v>
      </c>
      <c r="AS82">
        <v>88.448197296414094</v>
      </c>
      <c r="AT82">
        <v>6843.27</v>
      </c>
      <c r="AU82">
        <v>2074.9981693700902</v>
      </c>
      <c r="AV82">
        <v>6843.27</v>
      </c>
      <c r="AW82">
        <v>50.450613228826803</v>
      </c>
      <c r="AY82">
        <v>6843.27</v>
      </c>
      <c r="AZ82">
        <v>60.456703520346203</v>
      </c>
      <c r="BA82">
        <v>6843.27</v>
      </c>
      <c r="BB82">
        <v>2137.24546026082</v>
      </c>
      <c r="BC82">
        <v>6843.27</v>
      </c>
      <c r="BD82">
        <v>51.032267023250697</v>
      </c>
      <c r="BG82" s="19">
        <v>6618.5175000000127</v>
      </c>
      <c r="BH82" s="34">
        <v>1217.0836356952921</v>
      </c>
      <c r="BJ82" s="19">
        <v>6618.5175000000127</v>
      </c>
      <c r="BK82" s="34">
        <v>1192.7423893922983</v>
      </c>
      <c r="BM82" s="19">
        <v>6618.5175000000127</v>
      </c>
      <c r="BN82" s="34">
        <v>40.836163677310552</v>
      </c>
      <c r="BQ82" s="19">
        <v>6618.5175000000127</v>
      </c>
      <c r="BR82" s="34">
        <v>40.922180276622413</v>
      </c>
    </row>
    <row r="83" spans="3:70" x14ac:dyDescent="0.35">
      <c r="C83">
        <v>6943.0550000000103</v>
      </c>
      <c r="D83">
        <v>180.566346559469</v>
      </c>
      <c r="E83">
        <v>2283.68715061581</v>
      </c>
      <c r="F83">
        <v>48.3160576718914</v>
      </c>
      <c r="H83">
        <v>1.31497253787879</v>
      </c>
      <c r="I83">
        <f t="shared" si="2"/>
        <v>6943.0550000000112</v>
      </c>
      <c r="J83">
        <v>116.990833068073</v>
      </c>
      <c r="K83">
        <v>2150.9892350984401</v>
      </c>
      <c r="L83">
        <v>54.2461083768736</v>
      </c>
      <c r="N83">
        <v>1.31497253787879</v>
      </c>
      <c r="O83">
        <f t="shared" si="3"/>
        <v>6943.0550000000112</v>
      </c>
      <c r="P83">
        <v>72.008815427929207</v>
      </c>
      <c r="Q83">
        <v>2279.7334222275399</v>
      </c>
      <c r="R83">
        <v>62.748216029413101</v>
      </c>
      <c r="U83">
        <v>6943.0550000000103</v>
      </c>
      <c r="V83">
        <v>152.8341067813266</v>
      </c>
      <c r="W83">
        <v>2147.7374893000051</v>
      </c>
      <c r="X83">
        <v>48.786664610014959</v>
      </c>
      <c r="Z83">
        <v>6943.0550000000003</v>
      </c>
      <c r="AA83">
        <v>100.683049198535</v>
      </c>
      <c r="AB83">
        <v>2073.25191515898</v>
      </c>
      <c r="AC83">
        <v>50.207075511763001</v>
      </c>
      <c r="AE83">
        <v>6943.0550000000003</v>
      </c>
      <c r="AF83">
        <v>65.741539478067494</v>
      </c>
      <c r="AG83">
        <v>2193.7420053483602</v>
      </c>
      <c r="AH83">
        <v>50.950954604580197</v>
      </c>
      <c r="AK83">
        <v>6943.0550000000103</v>
      </c>
      <c r="AL83">
        <v>129.960318964317</v>
      </c>
      <c r="AM83">
        <v>6943.0550000000103</v>
      </c>
      <c r="AN83">
        <v>1883.3612734732301</v>
      </c>
      <c r="AO83">
        <v>6943.0550000000103</v>
      </c>
      <c r="AP83">
        <v>49.17648976713302</v>
      </c>
      <c r="AR83">
        <v>6943.0550000000003</v>
      </c>
      <c r="AS83">
        <v>88.361059297111197</v>
      </c>
      <c r="AT83">
        <v>6943.0550000000003</v>
      </c>
      <c r="AU83">
        <v>2074.42236960115</v>
      </c>
      <c r="AV83">
        <v>6943.0550000000003</v>
      </c>
      <c r="AW83">
        <v>50.457592674821001</v>
      </c>
      <c r="AY83">
        <v>6943.0550000000003</v>
      </c>
      <c r="AZ83">
        <v>60.381877520944798</v>
      </c>
      <c r="BA83">
        <v>6943.0550000000003</v>
      </c>
      <c r="BB83">
        <v>2136.6638589828699</v>
      </c>
      <c r="BC83">
        <v>6943.0550000000003</v>
      </c>
      <c r="BD83">
        <v>51.035731775063503</v>
      </c>
      <c r="BG83" s="19">
        <v>6718.2700000000114</v>
      </c>
      <c r="BH83" s="34">
        <v>1216.8871095776794</v>
      </c>
      <c r="BJ83" s="19">
        <v>6718.2700000000114</v>
      </c>
      <c r="BK83" s="34">
        <v>1192.5449930483346</v>
      </c>
      <c r="BM83" s="19">
        <v>6718.2700000000114</v>
      </c>
      <c r="BN83" s="34">
        <v>40.829959077360186</v>
      </c>
      <c r="BQ83" s="19">
        <v>6718.2700000000114</v>
      </c>
      <c r="BR83" s="34">
        <v>40.865051877079445</v>
      </c>
    </row>
    <row r="84" spans="3:70" x14ac:dyDescent="0.35">
      <c r="C84">
        <v>7017.62500000001</v>
      </c>
      <c r="D84">
        <v>180.46536656027601</v>
      </c>
      <c r="E84">
        <v>2282.1352469564399</v>
      </c>
      <c r="F84">
        <v>48.317543457353501</v>
      </c>
      <c r="H84">
        <v>1.3290956439393899</v>
      </c>
      <c r="I84">
        <f t="shared" si="2"/>
        <v>7017.6249999999791</v>
      </c>
      <c r="J84">
        <v>116.860333069117</v>
      </c>
      <c r="K84">
        <v>2149.7114527396402</v>
      </c>
      <c r="L84">
        <v>54.2684888007457</v>
      </c>
      <c r="N84">
        <v>1.3290956439393899</v>
      </c>
      <c r="O84">
        <f t="shared" si="3"/>
        <v>7017.6249999999791</v>
      </c>
      <c r="P84">
        <v>71.772727429817905</v>
      </c>
      <c r="Q84">
        <v>2278.3367089341</v>
      </c>
      <c r="R84">
        <v>62.653075817471503</v>
      </c>
      <c r="U84">
        <v>7017.6250000000118</v>
      </c>
      <c r="V84">
        <v>152.74372878204963</v>
      </c>
      <c r="W84">
        <v>2146.6555078701972</v>
      </c>
      <c r="X84">
        <v>48.787782070509557</v>
      </c>
      <c r="Z84">
        <v>7017.625</v>
      </c>
      <c r="AA84">
        <v>100.52729519978099</v>
      </c>
      <c r="AB84">
        <v>2072.1452773158899</v>
      </c>
      <c r="AC84">
        <v>50.213249637065502</v>
      </c>
      <c r="AE84">
        <v>7017.625</v>
      </c>
      <c r="AF84">
        <v>65.469847480241</v>
      </c>
      <c r="AG84">
        <v>2192.61796297825</v>
      </c>
      <c r="AH84">
        <v>50.9456357423377</v>
      </c>
      <c r="AK84">
        <v>7017.6250000000118</v>
      </c>
      <c r="AL84">
        <v>129.88552896491532</v>
      </c>
      <c r="AM84">
        <v>7017.6250000000118</v>
      </c>
      <c r="AN84">
        <v>1882.2720401571635</v>
      </c>
      <c r="AO84">
        <v>7017.6250000000118</v>
      </c>
      <c r="AP84">
        <v>49.177388729765539</v>
      </c>
      <c r="AR84">
        <v>7017.625</v>
      </c>
      <c r="AS84">
        <v>88.241215298070003</v>
      </c>
      <c r="AT84">
        <v>7017.625</v>
      </c>
      <c r="AU84">
        <v>2073.30993024905</v>
      </c>
      <c r="AV84">
        <v>7017.625</v>
      </c>
      <c r="AW84">
        <v>50.463273619234798</v>
      </c>
      <c r="AY84">
        <v>7017.625</v>
      </c>
      <c r="AZ84">
        <v>60.157831522737098</v>
      </c>
      <c r="BA84">
        <v>7017.625</v>
      </c>
      <c r="BB84">
        <v>2135.5383662355098</v>
      </c>
      <c r="BC84">
        <v>7017.625</v>
      </c>
      <c r="BD84">
        <v>51.033428183317703</v>
      </c>
      <c r="BG84" s="19">
        <v>6843.2700000000104</v>
      </c>
      <c r="BH84" s="34">
        <v>1216.847804354157</v>
      </c>
      <c r="BJ84" s="19">
        <v>6843.2700000000104</v>
      </c>
      <c r="BK84" s="34">
        <v>1192.4955351840499</v>
      </c>
      <c r="BM84" s="19">
        <v>6843.2700000000104</v>
      </c>
      <c r="BN84" s="34">
        <v>40.780034277759583</v>
      </c>
      <c r="BQ84" s="19">
        <v>6843.2700000000104</v>
      </c>
      <c r="BR84" s="34">
        <v>40.798619277610904</v>
      </c>
    </row>
    <row r="85" spans="3:70" x14ac:dyDescent="0.35">
      <c r="C85">
        <v>7117.4100000000099</v>
      </c>
      <c r="D85">
        <v>180.301476561588</v>
      </c>
      <c r="E85">
        <v>2282.1555522379599</v>
      </c>
      <c r="F85">
        <v>48.320483814297397</v>
      </c>
      <c r="H85">
        <v>1.3479943181818199</v>
      </c>
      <c r="I85">
        <f t="shared" si="2"/>
        <v>7117.4100000000089</v>
      </c>
      <c r="J85">
        <v>116.645917070832</v>
      </c>
      <c r="K85">
        <v>2150.2756494905698</v>
      </c>
      <c r="L85">
        <v>51.426399709649601</v>
      </c>
      <c r="N85">
        <v>1.3479943181818199</v>
      </c>
      <c r="O85">
        <f t="shared" si="3"/>
        <v>7117.4100000000089</v>
      </c>
      <c r="P85">
        <v>71.387077432903098</v>
      </c>
      <c r="Q85">
        <v>2278.9154094575501</v>
      </c>
      <c r="R85">
        <v>51.873240323175899</v>
      </c>
      <c r="U85">
        <v>7117.4100000000117</v>
      </c>
      <c r="V85">
        <v>152.62503678299916</v>
      </c>
      <c r="W85">
        <v>2147.3212310287518</v>
      </c>
      <c r="X85">
        <v>48.790635028308593</v>
      </c>
      <c r="Z85">
        <v>7117.41</v>
      </c>
      <c r="AA85">
        <v>100.34500920124</v>
      </c>
      <c r="AB85">
        <v>2072.82695462422</v>
      </c>
      <c r="AC85">
        <v>50.200127279749204</v>
      </c>
      <c r="AE85">
        <v>7117.41</v>
      </c>
      <c r="AF85">
        <v>64.761961485904095</v>
      </c>
      <c r="AG85">
        <v>2193.28513651405</v>
      </c>
      <c r="AH85">
        <v>49.940164766253702</v>
      </c>
      <c r="AK85">
        <v>7117.4100000000117</v>
      </c>
      <c r="AL85">
        <v>129.79961496560261</v>
      </c>
      <c r="AM85">
        <v>7117.4100000000117</v>
      </c>
      <c r="AN85">
        <v>1882.9435648247252</v>
      </c>
      <c r="AO85">
        <v>7117.4100000000117</v>
      </c>
      <c r="AP85">
        <v>49.179548737202005</v>
      </c>
      <c r="AR85">
        <v>7117.41</v>
      </c>
      <c r="AS85">
        <v>88.189609298482793</v>
      </c>
      <c r="AT85">
        <v>7117.41</v>
      </c>
      <c r="AU85">
        <v>2073.9945083118801</v>
      </c>
      <c r="AV85">
        <v>7117.41</v>
      </c>
      <c r="AW85">
        <v>50.4547584454101</v>
      </c>
      <c r="AY85">
        <v>7117.41</v>
      </c>
      <c r="AZ85">
        <v>59.714545526283402</v>
      </c>
      <c r="BA85">
        <v>7117.41</v>
      </c>
      <c r="BB85">
        <v>2136.2098909030701</v>
      </c>
      <c r="BC85">
        <v>7117.41</v>
      </c>
      <c r="BD85">
        <v>50.200670403006299</v>
      </c>
      <c r="BG85" s="19">
        <v>6943.0550000000103</v>
      </c>
      <c r="BH85" s="34">
        <v>1216.4882558334475</v>
      </c>
      <c r="BJ85" s="19">
        <v>6943.0550000000103</v>
      </c>
      <c r="BK85" s="34">
        <v>1192.2511466171295</v>
      </c>
      <c r="BM85" s="19">
        <v>6943.0550000000103</v>
      </c>
      <c r="BN85" s="34">
        <v>40.635204478918226</v>
      </c>
      <c r="BQ85" s="19">
        <v>6943.0550000000103</v>
      </c>
      <c r="BR85" s="34">
        <v>40.782764877737741</v>
      </c>
    </row>
    <row r="86" spans="3:70" x14ac:dyDescent="0.35">
      <c r="C86">
        <v>7242.4100000000099</v>
      </c>
      <c r="D86">
        <v>180.14260856285799</v>
      </c>
      <c r="E86">
        <v>2283.7422649513801</v>
      </c>
      <c r="F86">
        <v>48.325459322756501</v>
      </c>
      <c r="H86">
        <v>1.3716685606060599</v>
      </c>
      <c r="I86">
        <f t="shared" si="2"/>
        <v>7242.4099999999962</v>
      </c>
      <c r="J86">
        <v>116.43497507252</v>
      </c>
      <c r="K86">
        <v>2152.64701629719</v>
      </c>
      <c r="L86">
        <v>51.393587573562598</v>
      </c>
      <c r="N86">
        <v>1.3716685606060599</v>
      </c>
      <c r="O86">
        <f t="shared" si="3"/>
        <v>7242.4099999999962</v>
      </c>
      <c r="P86">
        <v>71.008771435929603</v>
      </c>
      <c r="Q86">
        <v>2281.4274628575799</v>
      </c>
      <c r="R86">
        <v>51.929918668596997</v>
      </c>
      <c r="U86">
        <v>7242.4100000000099</v>
      </c>
      <c r="V86">
        <v>152.54563878363436</v>
      </c>
      <c r="W86">
        <v>2149.7346587756688</v>
      </c>
      <c r="X86">
        <v>48.858138382096264</v>
      </c>
      <c r="Z86">
        <v>7242.41</v>
      </c>
      <c r="AA86">
        <v>101.69866319041</v>
      </c>
      <c r="AB86">
        <v>2075.3027485929601</v>
      </c>
      <c r="AC86">
        <v>50.811215857592003</v>
      </c>
      <c r="AE86">
        <v>7242.41</v>
      </c>
      <c r="AF86">
        <v>66.111259475109705</v>
      </c>
      <c r="AG86">
        <v>2196.0524563104</v>
      </c>
      <c r="AH86">
        <v>67.643816699004603</v>
      </c>
      <c r="AK86">
        <v>7242.4100000000099</v>
      </c>
      <c r="AL86">
        <v>129.76741296586022</v>
      </c>
      <c r="AM86">
        <v>7242.4100000000099</v>
      </c>
      <c r="AN86">
        <v>1885.3714963441596</v>
      </c>
      <c r="AO86">
        <v>7242.4100000000099</v>
      </c>
      <c r="AP86">
        <v>49.249624122966047</v>
      </c>
      <c r="AR86">
        <v>7242.41</v>
      </c>
      <c r="AS86">
        <v>90.3266412813866</v>
      </c>
      <c r="AT86">
        <v>7242.41</v>
      </c>
      <c r="AU86">
        <v>2076.4833556758899</v>
      </c>
      <c r="AV86">
        <v>7242.41</v>
      </c>
      <c r="AW86">
        <v>51.154188830286003</v>
      </c>
      <c r="AY86">
        <v>7242.41</v>
      </c>
      <c r="AZ86">
        <v>61.9302555085577</v>
      </c>
      <c r="BA86">
        <v>7242.41</v>
      </c>
      <c r="BB86">
        <v>2138.9859129629299</v>
      </c>
      <c r="BC86">
        <v>7242.41</v>
      </c>
      <c r="BD86">
        <v>68.585542484528602</v>
      </c>
      <c r="BG86" s="19">
        <v>7017.6250000000118</v>
      </c>
      <c r="BH86" s="34">
        <v>1216.3536608244847</v>
      </c>
      <c r="BJ86" s="19">
        <v>7017.6250000000118</v>
      </c>
      <c r="BK86" s="34">
        <v>1192.130765305234</v>
      </c>
      <c r="BM86" s="19">
        <v>7017.6250000000118</v>
      </c>
      <c r="BN86" s="34">
        <v>40.299351481605051</v>
      </c>
      <c r="BQ86" s="19">
        <v>7017.6250000000118</v>
      </c>
      <c r="BR86" s="34">
        <v>40.374317881005318</v>
      </c>
    </row>
    <row r="87" spans="3:70" x14ac:dyDescent="0.35">
      <c r="C87">
        <v>7342.21000000001</v>
      </c>
      <c r="D87">
        <v>180.046434563628</v>
      </c>
      <c r="E87">
        <v>2283.64363929826</v>
      </c>
      <c r="F87">
        <v>48.329005230918099</v>
      </c>
      <c r="H87">
        <v>1.3905700757575801</v>
      </c>
      <c r="I87">
        <f t="shared" si="2"/>
        <v>7342.2100000000228</v>
      </c>
      <c r="J87">
        <v>116.308057073535</v>
      </c>
      <c r="K87">
        <v>2153.05022117318</v>
      </c>
      <c r="L87">
        <v>54.341598185394503</v>
      </c>
      <c r="N87">
        <v>1.3905700757575801</v>
      </c>
      <c r="O87">
        <f t="shared" si="3"/>
        <v>7342.2100000000228</v>
      </c>
      <c r="P87">
        <v>70.784311437725293</v>
      </c>
      <c r="Q87">
        <v>2281.8321181108199</v>
      </c>
      <c r="R87">
        <v>62.750463435994398</v>
      </c>
      <c r="U87">
        <v>7342.21000000001</v>
      </c>
      <c r="V87">
        <v>152.4578347843368</v>
      </c>
      <c r="W87">
        <v>2150.2814509995796</v>
      </c>
      <c r="X87">
        <v>48.894658739042335</v>
      </c>
      <c r="Z87">
        <v>7342.21</v>
      </c>
      <c r="AA87">
        <v>101.841331189269</v>
      </c>
      <c r="AB87">
        <v>2075.6667932831501</v>
      </c>
      <c r="AC87">
        <v>66.358612274305798</v>
      </c>
      <c r="AE87">
        <v>7342.21</v>
      </c>
      <c r="AF87">
        <v>66.125335474997101</v>
      </c>
      <c r="AG87">
        <v>2196.7877975770398</v>
      </c>
      <c r="AH87">
        <v>68.216343525590005</v>
      </c>
      <c r="AK87">
        <v>7342.21000000001</v>
      </c>
      <c r="AL87">
        <v>129.68959896648275</v>
      </c>
      <c r="AM87">
        <v>7342.21000000001</v>
      </c>
      <c r="AN87">
        <v>1885.9226396998256</v>
      </c>
      <c r="AO87">
        <v>7342.21000000001</v>
      </c>
      <c r="AP87">
        <v>49.281237642209625</v>
      </c>
      <c r="AR87">
        <v>7342.21</v>
      </c>
      <c r="AS87">
        <v>91.011091275910999</v>
      </c>
      <c r="AT87">
        <v>7342.21</v>
      </c>
      <c r="AU87">
        <v>2076.8604537613401</v>
      </c>
      <c r="AV87">
        <v>7342.21</v>
      </c>
      <c r="AW87">
        <v>66.192741183013993</v>
      </c>
      <c r="AY87">
        <v>7342.21</v>
      </c>
      <c r="AZ87">
        <v>61.895299508837397</v>
      </c>
      <c r="BA87">
        <v>7342.21</v>
      </c>
      <c r="BB87">
        <v>2139.7836204513901</v>
      </c>
      <c r="BC87">
        <v>7342.21</v>
      </c>
      <c r="BD87">
        <v>66.213716977772805</v>
      </c>
      <c r="BG87" s="19">
        <v>7117.4100000000117</v>
      </c>
      <c r="BH87" s="34">
        <v>1217.2363604199015</v>
      </c>
      <c r="BJ87" s="19">
        <v>7117.4100000000117</v>
      </c>
      <c r="BK87" s="34">
        <v>1192.8035953123222</v>
      </c>
      <c r="BM87" s="19">
        <v>7117.4100000000117</v>
      </c>
      <c r="BN87" s="34">
        <v>40.656730678746008</v>
      </c>
      <c r="BQ87" s="19">
        <v>7117.4100000000117</v>
      </c>
      <c r="BR87" s="34">
        <v>40.674379678604822</v>
      </c>
    </row>
    <row r="88" spans="3:70" x14ac:dyDescent="0.35">
      <c r="C88">
        <v>7416.8100000000104</v>
      </c>
      <c r="D88">
        <v>179.94522056443799</v>
      </c>
      <c r="E88">
        <v>2281.8567745240998</v>
      </c>
      <c r="F88">
        <v>48.330347432070802</v>
      </c>
      <c r="H88">
        <v>1.40469886363636</v>
      </c>
      <c r="I88">
        <f t="shared" si="2"/>
        <v>7416.8099999999804</v>
      </c>
      <c r="J88">
        <v>116.178367074573</v>
      </c>
      <c r="K88">
        <v>2151.5070197773098</v>
      </c>
      <c r="L88">
        <v>54.432786707430601</v>
      </c>
      <c r="N88">
        <v>1.40469886363636</v>
      </c>
      <c r="O88">
        <f t="shared" si="3"/>
        <v>7416.8099999999804</v>
      </c>
      <c r="P88">
        <v>70.5599594395201</v>
      </c>
      <c r="Q88">
        <v>2280.13227597177</v>
      </c>
      <c r="R88">
        <v>62.760701621531403</v>
      </c>
      <c r="U88">
        <v>7416.8100000000104</v>
      </c>
      <c r="V88">
        <v>152.32994478535988</v>
      </c>
      <c r="W88">
        <v>2148.9616077004844</v>
      </c>
      <c r="X88">
        <v>48.798550893711607</v>
      </c>
      <c r="Z88">
        <v>7416.81</v>
      </c>
      <c r="AA88">
        <v>100.00619520395</v>
      </c>
      <c r="AB88">
        <v>2074.1656528275898</v>
      </c>
      <c r="AC88">
        <v>50.1557659709528</v>
      </c>
      <c r="AE88">
        <v>7416.81</v>
      </c>
      <c r="AF88">
        <v>64.620895487032598</v>
      </c>
      <c r="AG88">
        <v>2195.3084127802499</v>
      </c>
      <c r="AH88">
        <v>49.458358251999996</v>
      </c>
      <c r="AK88">
        <v>7416.8100000000104</v>
      </c>
      <c r="AL88">
        <v>129.5557689675534</v>
      </c>
      <c r="AM88">
        <v>7416.8100000000104</v>
      </c>
      <c r="AN88">
        <v>1884.5940941372201</v>
      </c>
      <c r="AO88">
        <v>7416.8100000000104</v>
      </c>
      <c r="AP88">
        <v>49.186134887044417</v>
      </c>
      <c r="AR88">
        <v>7416.81</v>
      </c>
      <c r="AS88">
        <v>87.842425301260306</v>
      </c>
      <c r="AT88">
        <v>7416.81</v>
      </c>
      <c r="AU88">
        <v>2075.3578629285298</v>
      </c>
      <c r="AV88">
        <v>7416.81</v>
      </c>
      <c r="AW88">
        <v>50.454639832284997</v>
      </c>
      <c r="AY88">
        <v>7416.81</v>
      </c>
      <c r="AZ88">
        <v>59.568421527452401</v>
      </c>
      <c r="BA88">
        <v>7416.81</v>
      </c>
      <c r="BB88">
        <v>2138.2911822593401</v>
      </c>
      <c r="BC88">
        <v>7416.81</v>
      </c>
      <c r="BD88">
        <v>49.387427603175901</v>
      </c>
      <c r="BG88" s="19">
        <v>7242.4100000000099</v>
      </c>
      <c r="BH88" s="34">
        <v>1219.3875599597015</v>
      </c>
      <c r="BJ88" s="19">
        <v>7242.4100000000099</v>
      </c>
      <c r="BK88" s="34">
        <v>1194.7153375678577</v>
      </c>
      <c r="BM88" s="19">
        <v>7242.4100000000099</v>
      </c>
      <c r="BN88" s="34">
        <v>40.775550477795456</v>
      </c>
      <c r="BQ88" s="19">
        <v>7242.4100000000099</v>
      </c>
      <c r="BR88" s="34">
        <v>40.819715277442135</v>
      </c>
    </row>
    <row r="89" spans="3:70" x14ac:dyDescent="0.35">
      <c r="C89">
        <v>7503.3600000000097</v>
      </c>
      <c r="D89">
        <v>179.81383856548899</v>
      </c>
      <c r="E89">
        <v>2280.59784706958</v>
      </c>
      <c r="F89">
        <v>48.332214028092501</v>
      </c>
      <c r="H89">
        <v>1.4210909090909101</v>
      </c>
      <c r="I89">
        <f t="shared" si="2"/>
        <v>7503.3600000000051</v>
      </c>
      <c r="J89">
        <v>116.00871707592999</v>
      </c>
      <c r="K89">
        <v>2150.62809116275</v>
      </c>
      <c r="L89">
        <v>52.912734537782299</v>
      </c>
      <c r="N89">
        <v>1.4210909090909101</v>
      </c>
      <c r="O89">
        <f t="shared" si="3"/>
        <v>7503.3600000000051</v>
      </c>
      <c r="P89">
        <v>70.267909441856503</v>
      </c>
      <c r="Q89">
        <v>2279.2141871714098</v>
      </c>
      <c r="R89">
        <v>60.067815356249099</v>
      </c>
      <c r="U89">
        <v>7503.3600000000115</v>
      </c>
      <c r="V89">
        <v>152.23893678608798</v>
      </c>
      <c r="W89">
        <v>2148.2509228471254</v>
      </c>
      <c r="X89">
        <v>48.824957921041843</v>
      </c>
      <c r="Z89">
        <v>7503.36</v>
      </c>
      <c r="AA89">
        <v>100.065235203478</v>
      </c>
      <c r="AB89">
        <v>2073.4230596746902</v>
      </c>
      <c r="AC89">
        <v>51.075410986815498</v>
      </c>
      <c r="AE89">
        <v>7503.36</v>
      </c>
      <c r="AF89">
        <v>64.258519489931601</v>
      </c>
      <c r="AG89">
        <v>2194.5890256633802</v>
      </c>
      <c r="AH89">
        <v>51.017534024551097</v>
      </c>
      <c r="AK89">
        <v>7503.3600000000115</v>
      </c>
      <c r="AL89">
        <v>129.49095096807193</v>
      </c>
      <c r="AM89">
        <v>7503.3600000000115</v>
      </c>
      <c r="AN89">
        <v>1883.8776077748541</v>
      </c>
      <c r="AO89">
        <v>7503.3600000000115</v>
      </c>
      <c r="AP89">
        <v>49.212379601677114</v>
      </c>
      <c r="AR89">
        <v>7503.36</v>
      </c>
      <c r="AS89">
        <v>88.042441299660197</v>
      </c>
      <c r="AT89">
        <v>7503.36</v>
      </c>
      <c r="AU89">
        <v>2074.6109186438698</v>
      </c>
      <c r="AV89">
        <v>7503.36</v>
      </c>
      <c r="AW89">
        <v>51.313910767459603</v>
      </c>
      <c r="AY89">
        <v>7503.36</v>
      </c>
      <c r="AZ89">
        <v>59.208259530333699</v>
      </c>
      <c r="BA89">
        <v>7503.36</v>
      </c>
      <c r="BB89">
        <v>2137.5732455197199</v>
      </c>
      <c r="BC89">
        <v>7503.36</v>
      </c>
      <c r="BD89">
        <v>51.107161847572399</v>
      </c>
      <c r="BG89" s="19">
        <v>7342.21000000001</v>
      </c>
      <c r="BH89" s="34">
        <v>1219.9533521256103</v>
      </c>
      <c r="BJ89" s="19">
        <v>7342.21000000001</v>
      </c>
      <c r="BK89" s="34">
        <v>1195.2683664139511</v>
      </c>
      <c r="BM89" s="19">
        <v>7342.21000000001</v>
      </c>
      <c r="BN89" s="34">
        <v>40.791962877664155</v>
      </c>
      <c r="BQ89" s="19">
        <v>7342.21000000001</v>
      </c>
      <c r="BR89" s="34">
        <v>40.867926477056443</v>
      </c>
    </row>
    <row r="90" spans="3:70" x14ac:dyDescent="0.35">
      <c r="C90">
        <v>7601.8600000000097</v>
      </c>
      <c r="D90">
        <v>179.68432856652501</v>
      </c>
      <c r="E90">
        <v>2279.8625058029402</v>
      </c>
      <c r="F90">
        <v>48.334935887174296</v>
      </c>
      <c r="H90">
        <v>1.4397462121212099</v>
      </c>
      <c r="I90">
        <f t="shared" si="2"/>
        <v>7601.8599999999878</v>
      </c>
      <c r="J90">
        <v>115.840201077278</v>
      </c>
      <c r="K90">
        <v>2150.4235879702501</v>
      </c>
      <c r="L90">
        <v>52.831565703421099</v>
      </c>
      <c r="N90">
        <v>1.4397462121212099</v>
      </c>
      <c r="O90">
        <f t="shared" si="3"/>
        <v>7601.8599999999878</v>
      </c>
      <c r="P90">
        <v>69.979261444165701</v>
      </c>
      <c r="Q90">
        <v>2279.08365321875</v>
      </c>
      <c r="R90">
        <v>58.465970072633802</v>
      </c>
      <c r="U90">
        <v>7601.8600000000106</v>
      </c>
      <c r="V90">
        <v>152.12069478703393</v>
      </c>
      <c r="W90">
        <v>2148.1479460622513</v>
      </c>
      <c r="X90">
        <v>48.803944669506713</v>
      </c>
      <c r="Z90">
        <v>7601.86</v>
      </c>
      <c r="AA90">
        <v>99.695047206439298</v>
      </c>
      <c r="AB90">
        <v>2073.3171821353098</v>
      </c>
      <c r="AC90">
        <v>50.216552076180797</v>
      </c>
      <c r="AE90">
        <v>7601.86</v>
      </c>
      <c r="AF90">
        <v>63.930991492551797</v>
      </c>
      <c r="AG90">
        <v>2194.4831481239999</v>
      </c>
      <c r="AH90">
        <v>50.991726305642501</v>
      </c>
      <c r="AK90">
        <v>7601.8600000000106</v>
      </c>
      <c r="AL90">
        <v>129.38640696890829</v>
      </c>
      <c r="AM90">
        <v>7601.8600000000106</v>
      </c>
      <c r="AN90">
        <v>1883.7746309899796</v>
      </c>
      <c r="AO90">
        <v>7601.8600000000106</v>
      </c>
      <c r="AP90">
        <v>49.189936749844442</v>
      </c>
      <c r="AR90">
        <v>7601.86</v>
      </c>
      <c r="AS90">
        <v>87.570193303438103</v>
      </c>
      <c r="AT90">
        <v>7601.86</v>
      </c>
      <c r="AU90">
        <v>2074.5064914817499</v>
      </c>
      <c r="AV90">
        <v>7601.86</v>
      </c>
      <c r="AW90">
        <v>50.467949473483102</v>
      </c>
      <c r="AY90">
        <v>7601.86</v>
      </c>
      <c r="AZ90">
        <v>58.933975532528002</v>
      </c>
      <c r="BA90">
        <v>7601.86</v>
      </c>
      <c r="BB90">
        <v>2137.46591760309</v>
      </c>
      <c r="BC90">
        <v>7601.86</v>
      </c>
      <c r="BD90">
        <v>51.062544584137598</v>
      </c>
      <c r="BG90" s="19">
        <v>7416.8100000000104</v>
      </c>
      <c r="BH90" s="34">
        <v>1218.5839059245052</v>
      </c>
      <c r="BJ90" s="19">
        <v>7416.8100000000104</v>
      </c>
      <c r="BK90" s="34">
        <v>1193.8883324589081</v>
      </c>
      <c r="BM90" s="19">
        <v>7416.8100000000104</v>
      </c>
      <c r="BN90" s="34">
        <v>40.794869877640899</v>
      </c>
      <c r="BQ90" s="19">
        <v>7416.8100000000104</v>
      </c>
      <c r="BR90" s="34">
        <v>40.877095676983089</v>
      </c>
    </row>
    <row r="91" spans="3:70" x14ac:dyDescent="0.35">
      <c r="C91">
        <v>7713.6100000000097</v>
      </c>
      <c r="D91">
        <v>179.52096056783199</v>
      </c>
      <c r="E91">
        <v>2279.4955603582498</v>
      </c>
      <c r="F91">
        <v>48.338488038131999</v>
      </c>
      <c r="H91">
        <v>1.46091098484848</v>
      </c>
      <c r="I91">
        <f t="shared" si="2"/>
        <v>7713.6099999999742</v>
      </c>
      <c r="J91">
        <v>115.627747078978</v>
      </c>
      <c r="K91">
        <v>2150.6861062528201</v>
      </c>
      <c r="L91">
        <v>51.9423418327547</v>
      </c>
      <c r="N91">
        <v>1.46091098484848</v>
      </c>
      <c r="O91">
        <f t="shared" si="3"/>
        <v>7713.6099999999742</v>
      </c>
      <c r="P91">
        <v>69.617335447061095</v>
      </c>
      <c r="Q91">
        <v>2279.4505986634399</v>
      </c>
      <c r="R91">
        <v>52.452278386050999</v>
      </c>
      <c r="U91">
        <v>7713.6100000000124</v>
      </c>
      <c r="V91">
        <v>151.99363278805041</v>
      </c>
      <c r="W91">
        <v>2148.5018381116788</v>
      </c>
      <c r="X91">
        <v>48.806179590495887</v>
      </c>
      <c r="Z91">
        <v>7713.61</v>
      </c>
      <c r="AA91">
        <v>99.506191207950096</v>
      </c>
      <c r="AB91">
        <v>2073.6797764482499</v>
      </c>
      <c r="AC91">
        <v>50.236678850675602</v>
      </c>
      <c r="AE91">
        <v>7713.61</v>
      </c>
      <c r="AF91">
        <v>63.393115496854897</v>
      </c>
      <c r="AG91">
        <v>2194.8500935686998</v>
      </c>
      <c r="AH91">
        <v>51.003156865226799</v>
      </c>
      <c r="AK91">
        <v>7713.6100000000124</v>
      </c>
      <c r="AL91">
        <v>129.28663296970646</v>
      </c>
      <c r="AM91">
        <v>7713.6100000000124</v>
      </c>
      <c r="AN91">
        <v>1884.1314237939107</v>
      </c>
      <c r="AO91">
        <v>7713.6100000000124</v>
      </c>
      <c r="AP91">
        <v>49.192071786096676</v>
      </c>
      <c r="AR91">
        <v>7713.61</v>
      </c>
      <c r="AS91">
        <v>87.422701304618101</v>
      </c>
      <c r="AT91">
        <v>7713.61</v>
      </c>
      <c r="AU91">
        <v>2074.8690857946899</v>
      </c>
      <c r="AV91">
        <v>7713.61</v>
      </c>
      <c r="AW91">
        <v>50.481702353201399</v>
      </c>
      <c r="AY91">
        <v>7713.61</v>
      </c>
      <c r="AZ91">
        <v>58.513963535888102</v>
      </c>
      <c r="BA91">
        <v>7713.61</v>
      </c>
      <c r="BB91">
        <v>2137.8343134250399</v>
      </c>
      <c r="BC91">
        <v>7713.61</v>
      </c>
      <c r="BD91">
        <v>51.074580694939698</v>
      </c>
      <c r="BG91" s="19">
        <v>7503.3600000000115</v>
      </c>
      <c r="BH91" s="34">
        <v>1217.8452287901875</v>
      </c>
      <c r="BJ91" s="19">
        <v>7503.3600000000115</v>
      </c>
      <c r="BK91" s="34">
        <v>1193.1547316449714</v>
      </c>
      <c r="BM91" s="19">
        <v>7503.3600000000115</v>
      </c>
      <c r="BN91" s="34">
        <v>40.773131277814805</v>
      </c>
      <c r="BQ91" s="19">
        <v>7503.3600000000115</v>
      </c>
      <c r="BR91" s="34">
        <v>40.850882277192802</v>
      </c>
    </row>
    <row r="92" spans="3:70" x14ac:dyDescent="0.35">
      <c r="C92">
        <v>7838.6100000000097</v>
      </c>
      <c r="D92">
        <v>179.359230569126</v>
      </c>
      <c r="E92">
        <v>2279.4926596037399</v>
      </c>
      <c r="F92">
        <v>48.342489670405897</v>
      </c>
      <c r="H92">
        <v>1.48458522727273</v>
      </c>
      <c r="I92">
        <f t="shared" si="2"/>
        <v>7838.6100000000142</v>
      </c>
      <c r="J92">
        <v>115.41673308066601</v>
      </c>
      <c r="K92">
        <v>2151.4054933696898</v>
      </c>
      <c r="L92">
        <v>51.909498482687503</v>
      </c>
      <c r="N92">
        <v>1.48458522727273</v>
      </c>
      <c r="O92">
        <f t="shared" si="3"/>
        <v>7838.6100000000142</v>
      </c>
      <c r="P92">
        <v>69.261097449911006</v>
      </c>
      <c r="Q92">
        <v>2280.2918174694601</v>
      </c>
      <c r="R92">
        <v>52.432388837806499</v>
      </c>
      <c r="U92">
        <v>7838.6100000000106</v>
      </c>
      <c r="V92">
        <v>151.86972078904171</v>
      </c>
      <c r="W92">
        <v>2149.3111486181569</v>
      </c>
      <c r="X92">
        <v>48.812341230206279</v>
      </c>
      <c r="Z92">
        <v>7838.61</v>
      </c>
      <c r="AA92">
        <v>99.351121209190694</v>
      </c>
      <c r="AB92">
        <v>2074.5093922362498</v>
      </c>
      <c r="AC92">
        <v>50.233657337382901</v>
      </c>
      <c r="AE92">
        <v>7838.61</v>
      </c>
      <c r="AF92">
        <v>63.130351498956998</v>
      </c>
      <c r="AG92">
        <v>2195.6913123747099</v>
      </c>
      <c r="AH92">
        <v>51.001770964501702</v>
      </c>
      <c r="AK92">
        <v>7838.6100000000106</v>
      </c>
      <c r="AL92">
        <v>129.18739897050037</v>
      </c>
      <c r="AM92">
        <v>7838.6100000000106</v>
      </c>
      <c r="AN92">
        <v>1884.946535809396</v>
      </c>
      <c r="AO92">
        <v>7838.6100000000106</v>
      </c>
      <c r="AP92">
        <v>49.196098389554827</v>
      </c>
      <c r="AR92">
        <v>7838.61</v>
      </c>
      <c r="AS92">
        <v>87.299995305599694</v>
      </c>
      <c r="AT92">
        <v>7838.61</v>
      </c>
      <c r="AU92">
        <v>2075.7030527144402</v>
      </c>
      <c r="AV92">
        <v>7838.61</v>
      </c>
      <c r="AW92">
        <v>50.478300029349199</v>
      </c>
      <c r="AY92">
        <v>7838.61</v>
      </c>
      <c r="AZ92">
        <v>58.3017435375858</v>
      </c>
      <c r="BA92">
        <v>7838.61</v>
      </c>
      <c r="BB92">
        <v>2138.6769826083</v>
      </c>
      <c r="BC92">
        <v>7838.61</v>
      </c>
      <c r="BD92">
        <v>51.075136303788902</v>
      </c>
      <c r="BG92" s="19">
        <v>7601.8600000000106</v>
      </c>
      <c r="BH92" s="34">
        <v>1217.8305799799448</v>
      </c>
      <c r="BJ92" s="19">
        <v>7601.8600000000106</v>
      </c>
      <c r="BK92" s="34">
        <v>1193.1149913082736</v>
      </c>
      <c r="BM92" s="19">
        <v>7601.8600000000106</v>
      </c>
      <c r="BN92" s="34">
        <v>40.682587678539157</v>
      </c>
      <c r="BQ92" s="19">
        <v>7601.8600000000106</v>
      </c>
      <c r="BR92" s="34">
        <v>40.788056877695396</v>
      </c>
    </row>
    <row r="93" spans="3:70" x14ac:dyDescent="0.35">
      <c r="BG93" s="19"/>
      <c r="BH93" s="34"/>
      <c r="BJ93" s="19"/>
      <c r="BK93" s="34"/>
      <c r="BM93" s="19"/>
      <c r="BN93" s="34"/>
      <c r="BQ93" s="19"/>
      <c r="BR93" s="34"/>
    </row>
    <row r="94" spans="3:70" x14ac:dyDescent="0.35">
      <c r="BG94" s="19"/>
      <c r="BH94" s="34"/>
      <c r="BJ94" s="19"/>
      <c r="BK94" s="34"/>
      <c r="BM94" s="19"/>
      <c r="BN94" s="34"/>
      <c r="BQ94" s="19"/>
      <c r="BR94" s="34"/>
    </row>
    <row r="95" spans="3:70" x14ac:dyDescent="0.35">
      <c r="BG95" s="19"/>
      <c r="BH95" s="34"/>
      <c r="BJ95" s="19"/>
      <c r="BK95" s="34"/>
      <c r="BM95" s="19"/>
      <c r="BN95" s="34"/>
      <c r="BQ95" s="19"/>
      <c r="BR95" s="34"/>
    </row>
    <row r="96" spans="3:70" x14ac:dyDescent="0.35">
      <c r="BG96" s="19"/>
      <c r="BH96" s="34"/>
      <c r="BJ96" s="19"/>
      <c r="BK96" s="34"/>
      <c r="BM96" s="19"/>
      <c r="BN96" s="34"/>
      <c r="BQ96" s="19"/>
      <c r="BR96" s="34"/>
    </row>
    <row r="97" spans="1:70" x14ac:dyDescent="0.35">
      <c r="BG97" s="19"/>
      <c r="BH97" s="34"/>
      <c r="BJ97" s="19"/>
      <c r="BK97" s="34"/>
      <c r="BM97" s="19"/>
      <c r="BN97" s="34"/>
      <c r="BQ97" s="19"/>
      <c r="BR97" s="34"/>
    </row>
    <row r="98" spans="1:70" x14ac:dyDescent="0.35">
      <c r="BG98" s="19"/>
      <c r="BH98" s="34"/>
      <c r="BJ98" s="19"/>
      <c r="BK98" s="34"/>
      <c r="BM98" s="19"/>
      <c r="BN98" s="34"/>
      <c r="BQ98" s="19"/>
      <c r="BR98" s="34"/>
    </row>
    <row r="99" spans="1:70" x14ac:dyDescent="0.35">
      <c r="BG99" s="19"/>
      <c r="BH99" s="34"/>
      <c r="BJ99" s="19"/>
      <c r="BK99" s="34"/>
      <c r="BM99" s="19"/>
      <c r="BN99" s="34"/>
      <c r="BQ99" s="19"/>
      <c r="BR99" s="34"/>
    </row>
    <row r="100" spans="1:70" x14ac:dyDescent="0.35">
      <c r="BG100" s="19"/>
      <c r="BH100" s="34"/>
      <c r="BJ100" s="19"/>
      <c r="BK100" s="34"/>
      <c r="BM100" s="19"/>
      <c r="BN100" s="34"/>
      <c r="BQ100" s="19"/>
      <c r="BR100" s="34"/>
    </row>
    <row r="101" spans="1:70" x14ac:dyDescent="0.35">
      <c r="BG101" s="19"/>
      <c r="BH101" s="34"/>
      <c r="BJ101" s="19"/>
      <c r="BK101" s="34"/>
      <c r="BM101" s="19"/>
      <c r="BN101" s="34"/>
      <c r="BQ101" s="19"/>
      <c r="BR101" s="34"/>
    </row>
    <row r="102" spans="1:70" x14ac:dyDescent="0.35">
      <c r="BG102" s="19"/>
      <c r="BH102" s="34"/>
      <c r="BJ102" s="19"/>
      <c r="BK102" s="34"/>
      <c r="BM102" s="19"/>
      <c r="BN102" s="34"/>
      <c r="BQ102" s="19"/>
      <c r="BR102" s="34"/>
    </row>
    <row r="103" spans="1:70" x14ac:dyDescent="0.35">
      <c r="BG103" s="19"/>
      <c r="BH103" s="34"/>
      <c r="BJ103" s="19"/>
      <c r="BK103" s="34"/>
      <c r="BM103" s="19"/>
      <c r="BN103" s="34"/>
      <c r="BQ103" s="19"/>
      <c r="BR103" s="34"/>
    </row>
    <row r="104" spans="1:70" x14ac:dyDescent="0.35">
      <c r="A104" s="6"/>
      <c r="BG104" s="19"/>
      <c r="BH104" s="34"/>
      <c r="BJ104" s="19"/>
      <c r="BK104" s="34"/>
      <c r="BM104" s="19"/>
      <c r="BN104" s="34"/>
      <c r="BQ104" s="19"/>
      <c r="BR104" s="34"/>
    </row>
    <row r="105" spans="1:70" x14ac:dyDescent="0.35">
      <c r="BG105" s="19"/>
      <c r="BH105" s="34"/>
      <c r="BJ105" s="19"/>
      <c r="BK105" s="34"/>
      <c r="BM105" s="19"/>
      <c r="BN105" s="34"/>
      <c r="BQ105" s="19"/>
      <c r="BR105" s="34"/>
    </row>
    <row r="106" spans="1:70" x14ac:dyDescent="0.35">
      <c r="BG106" s="19"/>
      <c r="BH106" s="34"/>
      <c r="BJ106" s="19"/>
      <c r="BK106" s="34"/>
      <c r="BM106" s="19"/>
      <c r="BN106" s="34"/>
      <c r="BQ106" s="19"/>
      <c r="BR106" s="34"/>
    </row>
    <row r="107" spans="1:70" x14ac:dyDescent="0.35">
      <c r="BG107" s="19"/>
      <c r="BH107" s="34"/>
      <c r="BJ107" s="19"/>
      <c r="BK107" s="34"/>
      <c r="BM107" s="19"/>
      <c r="BN107" s="34"/>
      <c r="BQ107" s="19"/>
      <c r="BR107" s="34"/>
    </row>
    <row r="108" spans="1:70" x14ac:dyDescent="0.35">
      <c r="BG108" s="19"/>
      <c r="BH108" s="34"/>
      <c r="BJ108" s="19"/>
      <c r="BK108" s="34"/>
      <c r="BM108" s="19"/>
      <c r="BN108" s="34"/>
      <c r="BQ108" s="19"/>
      <c r="BR108" s="34"/>
    </row>
    <row r="109" spans="1:70" x14ac:dyDescent="0.35">
      <c r="BG109" s="19"/>
      <c r="BH109" s="34"/>
      <c r="BJ109" s="19"/>
      <c r="BK109" s="34"/>
      <c r="BM109" s="19"/>
      <c r="BN109" s="34"/>
      <c r="BQ109" s="19"/>
      <c r="BR109" s="34"/>
    </row>
    <row r="110" spans="1:70" x14ac:dyDescent="0.35">
      <c r="BG110" s="19"/>
      <c r="BH110" s="34"/>
      <c r="BJ110" s="19"/>
      <c r="BK110" s="34"/>
      <c r="BM110" s="19"/>
      <c r="BN110" s="34"/>
      <c r="BQ110" s="19"/>
      <c r="BR110" s="34"/>
    </row>
    <row r="111" spans="1:70" x14ac:dyDescent="0.35">
      <c r="BG111" s="19"/>
      <c r="BH111" s="34"/>
      <c r="BJ111" s="19"/>
      <c r="BK111" s="34"/>
      <c r="BM111" s="19"/>
      <c r="BN111" s="34"/>
      <c r="BQ111" s="19"/>
      <c r="BR111" s="34"/>
    </row>
    <row r="112" spans="1:70" x14ac:dyDescent="0.35">
      <c r="BG112" s="19"/>
      <c r="BH112" s="34"/>
      <c r="BJ112" s="19"/>
      <c r="BK112" s="34"/>
      <c r="BM112" s="19"/>
      <c r="BN112" s="34"/>
      <c r="BQ112" s="19"/>
      <c r="BR112" s="34"/>
    </row>
    <row r="113" spans="59:70" x14ac:dyDescent="0.35">
      <c r="BG113" s="19"/>
      <c r="BH113" s="34"/>
      <c r="BJ113" s="19"/>
      <c r="BK113" s="34"/>
      <c r="BM113" s="19"/>
      <c r="BN113" s="34"/>
      <c r="BQ113" s="19"/>
      <c r="BR113" s="34"/>
    </row>
    <row r="114" spans="59:70" x14ac:dyDescent="0.35">
      <c r="BG114" s="19"/>
      <c r="BH114" s="34"/>
      <c r="BJ114" s="19"/>
      <c r="BK114" s="34"/>
      <c r="BM114" s="19"/>
      <c r="BN114" s="34"/>
      <c r="BQ114" s="19"/>
      <c r="BR114" s="34"/>
    </row>
    <row r="115" spans="59:70" x14ac:dyDescent="0.35">
      <c r="BG115" s="19"/>
      <c r="BH115" s="34"/>
      <c r="BJ115" s="19"/>
      <c r="BK115" s="34"/>
      <c r="BM115" s="19"/>
      <c r="BN115" s="34"/>
      <c r="BQ115" s="19"/>
      <c r="BR115" s="34"/>
    </row>
    <row r="116" spans="59:70" x14ac:dyDescent="0.35">
      <c r="BG116" s="19"/>
      <c r="BH116" s="34"/>
      <c r="BJ116" s="19"/>
      <c r="BK116" s="34"/>
      <c r="BM116" s="19"/>
      <c r="BN116" s="34"/>
      <c r="BQ116" s="19"/>
      <c r="BR116" s="34"/>
    </row>
    <row r="117" spans="59:70" x14ac:dyDescent="0.35">
      <c r="BG117" s="19"/>
      <c r="BH117" s="34"/>
      <c r="BJ117" s="19"/>
      <c r="BK117" s="34"/>
      <c r="BM117" s="19"/>
      <c r="BN117" s="34"/>
      <c r="BQ117" s="19"/>
      <c r="BR117" s="34"/>
    </row>
    <row r="118" spans="59:70" x14ac:dyDescent="0.35">
      <c r="BG118" s="19"/>
      <c r="BH118" s="34"/>
      <c r="BJ118" s="19"/>
      <c r="BK118" s="34"/>
      <c r="BM118" s="19"/>
      <c r="BN118" s="34"/>
      <c r="BQ118" s="19"/>
      <c r="BR118" s="34"/>
    </row>
    <row r="119" spans="59:70" x14ac:dyDescent="0.35">
      <c r="BG119" s="19"/>
      <c r="BH119" s="34"/>
      <c r="BJ119" s="19"/>
      <c r="BK119" s="34"/>
      <c r="BM119" s="19"/>
      <c r="BN119" s="34"/>
      <c r="BQ119" s="19"/>
      <c r="BR119" s="34"/>
    </row>
    <row r="120" spans="59:70" x14ac:dyDescent="0.35">
      <c r="BG120" s="19"/>
      <c r="BH120" s="34"/>
      <c r="BJ120" s="19"/>
      <c r="BK120" s="34"/>
      <c r="BM120" s="19"/>
      <c r="BN120" s="34"/>
      <c r="BQ120" s="19"/>
      <c r="BR120" s="34"/>
    </row>
    <row r="121" spans="59:70" x14ac:dyDescent="0.35">
      <c r="BG121" s="19"/>
      <c r="BH121" s="34"/>
      <c r="BJ121" s="19"/>
      <c r="BK121" s="34"/>
      <c r="BM121" s="19"/>
      <c r="BN121" s="34"/>
      <c r="BQ121" s="19"/>
      <c r="BR121" s="34"/>
    </row>
    <row r="122" spans="59:70" x14ac:dyDescent="0.35">
      <c r="BG122" s="19"/>
      <c r="BH122" s="34"/>
      <c r="BJ122" s="19"/>
      <c r="BK122" s="34"/>
      <c r="BM122" s="19"/>
      <c r="BN122" s="34"/>
      <c r="BQ122" s="19"/>
      <c r="BR122" s="34"/>
    </row>
    <row r="123" spans="59:70" x14ac:dyDescent="0.35">
      <c r="BG123" s="19"/>
      <c r="BH123" s="34"/>
      <c r="BJ123" s="19"/>
      <c r="BK123" s="34"/>
      <c r="BM123" s="19"/>
      <c r="BN123" s="34"/>
      <c r="BQ123" s="19"/>
      <c r="BR123" s="34"/>
    </row>
    <row r="124" spans="59:70" x14ac:dyDescent="0.35">
      <c r="BG124" s="19"/>
      <c r="BH124" s="34"/>
      <c r="BJ124" s="19"/>
      <c r="BK124" s="34"/>
      <c r="BM124" s="19"/>
      <c r="BN124" s="34"/>
      <c r="BQ124" s="19"/>
      <c r="BR124" s="34"/>
    </row>
    <row r="125" spans="59:70" x14ac:dyDescent="0.35">
      <c r="BG125" s="19"/>
      <c r="BH125" s="34"/>
      <c r="BJ125" s="19"/>
      <c r="BK125" s="34"/>
      <c r="BM125" s="19"/>
      <c r="BN125" s="34"/>
      <c r="BQ125" s="19"/>
      <c r="BR125" s="34"/>
    </row>
    <row r="126" spans="59:70" x14ac:dyDescent="0.35">
      <c r="BG126" s="19"/>
      <c r="BH126" s="34"/>
      <c r="BJ126" s="19"/>
      <c r="BK126" s="34"/>
      <c r="BM126" s="19"/>
      <c r="BN126" s="34"/>
      <c r="BQ126" s="19"/>
      <c r="BR126" s="34"/>
    </row>
    <row r="127" spans="59:70" x14ac:dyDescent="0.35">
      <c r="BG127" s="19"/>
      <c r="BH127" s="34"/>
      <c r="BJ127" s="19"/>
      <c r="BK127" s="34"/>
      <c r="BM127" s="19"/>
      <c r="BN127" s="34"/>
      <c r="BQ127" s="19"/>
      <c r="BR127" s="34"/>
    </row>
    <row r="128" spans="59:70" x14ac:dyDescent="0.35">
      <c r="BG128" s="19"/>
      <c r="BH128" s="34"/>
      <c r="BJ128" s="19"/>
      <c r="BK128" s="34"/>
      <c r="BM128" s="19"/>
      <c r="BN128" s="34"/>
      <c r="BQ128" s="19"/>
      <c r="BR128" s="34"/>
    </row>
    <row r="129" spans="59:70" x14ac:dyDescent="0.35">
      <c r="BG129" s="19"/>
      <c r="BH129" s="34"/>
      <c r="BJ129" s="19"/>
      <c r="BK129" s="34"/>
      <c r="BM129" s="19"/>
      <c r="BN129" s="34"/>
      <c r="BQ129" s="19"/>
      <c r="BR129" s="34"/>
    </row>
    <row r="130" spans="59:70" x14ac:dyDescent="0.35">
      <c r="BG130" s="19"/>
      <c r="BH130" s="34"/>
      <c r="BJ130" s="19"/>
      <c r="BK130" s="34"/>
      <c r="BM130" s="19"/>
      <c r="BN130" s="34"/>
      <c r="BQ130" s="19"/>
      <c r="BR130" s="34"/>
    </row>
    <row r="131" spans="59:70" x14ac:dyDescent="0.35">
      <c r="BG131" s="19"/>
      <c r="BH131" s="34"/>
      <c r="BJ131" s="19"/>
      <c r="BK131" s="34"/>
      <c r="BM131" s="19"/>
      <c r="BN131" s="34"/>
      <c r="BQ131" s="19"/>
      <c r="BR131" s="34"/>
    </row>
    <row r="132" spans="59:70" x14ac:dyDescent="0.35">
      <c r="BG132" s="19"/>
      <c r="BH132" s="34"/>
      <c r="BJ132" s="19"/>
      <c r="BK132" s="34"/>
      <c r="BM132" s="19"/>
      <c r="BN132" s="34"/>
      <c r="BQ132" s="19"/>
      <c r="BR132" s="34"/>
    </row>
    <row r="133" spans="59:70" x14ac:dyDescent="0.35">
      <c r="BG133" s="19"/>
      <c r="BH133" s="34"/>
      <c r="BJ133" s="19"/>
      <c r="BK133" s="34"/>
      <c r="BM133" s="19"/>
      <c r="BN133" s="34"/>
      <c r="BQ133" s="19"/>
      <c r="BR133" s="34"/>
    </row>
    <row r="134" spans="59:70" x14ac:dyDescent="0.35">
      <c r="BG134" s="19"/>
      <c r="BH134" s="34"/>
      <c r="BJ134" s="19"/>
      <c r="BK134" s="34"/>
      <c r="BM134" s="19"/>
      <c r="BN134" s="34"/>
      <c r="BQ134" s="19"/>
      <c r="BR134" s="34"/>
    </row>
    <row r="135" spans="59:70" x14ac:dyDescent="0.35">
      <c r="BG135" s="19"/>
      <c r="BH135" s="34"/>
      <c r="BJ135" s="19"/>
      <c r="BK135" s="34"/>
      <c r="BM135" s="19"/>
      <c r="BN135" s="34"/>
      <c r="BQ135" s="19"/>
      <c r="BR135" s="34"/>
    </row>
    <row r="136" spans="59:70" x14ac:dyDescent="0.35">
      <c r="BG136" s="19"/>
      <c r="BH136" s="34"/>
      <c r="BJ136" s="19"/>
      <c r="BK136" s="34"/>
      <c r="BM136" s="19"/>
      <c r="BN136" s="34"/>
      <c r="BQ136" s="19"/>
      <c r="BR136" s="34"/>
    </row>
    <row r="137" spans="59:70" x14ac:dyDescent="0.35">
      <c r="BG137" s="19"/>
      <c r="BH137" s="34"/>
      <c r="BJ137" s="19"/>
      <c r="BK137" s="34"/>
      <c r="BM137" s="19"/>
      <c r="BN137" s="34"/>
      <c r="BQ137" s="19"/>
      <c r="BR137" s="34"/>
    </row>
    <row r="138" spans="59:70" x14ac:dyDescent="0.35">
      <c r="BG138" s="19"/>
      <c r="BH138" s="34"/>
      <c r="BJ138" s="19"/>
      <c r="BK138" s="34"/>
      <c r="BM138" s="19"/>
      <c r="BN138" s="34"/>
      <c r="BQ138" s="19"/>
      <c r="BR138" s="34"/>
    </row>
    <row r="139" spans="59:70" x14ac:dyDescent="0.35">
      <c r="BG139" s="19"/>
      <c r="BH139" s="34"/>
      <c r="BJ139" s="19"/>
      <c r="BK139" s="34"/>
      <c r="BM139" s="19"/>
      <c r="BN139" s="34"/>
      <c r="BQ139" s="19"/>
      <c r="BR139" s="34"/>
    </row>
    <row r="140" spans="59:70" x14ac:dyDescent="0.35">
      <c r="BG140" s="19"/>
      <c r="BH140" s="34"/>
      <c r="BJ140" s="19"/>
      <c r="BK140" s="34"/>
      <c r="BM140" s="19"/>
      <c r="BN140" s="34"/>
      <c r="BQ140" s="19"/>
      <c r="BR140" s="34"/>
    </row>
    <row r="141" spans="59:70" x14ac:dyDescent="0.35">
      <c r="BG141" s="19"/>
      <c r="BH141" s="34"/>
      <c r="BJ141" s="19"/>
      <c r="BK141" s="34"/>
      <c r="BM141" s="19"/>
      <c r="BN141" s="34"/>
      <c r="BQ141" s="19"/>
      <c r="BR141" s="34"/>
    </row>
    <row r="142" spans="59:70" x14ac:dyDescent="0.35">
      <c r="BG142" s="19"/>
      <c r="BH142" s="34"/>
      <c r="BJ142" s="19"/>
      <c r="BK142" s="34"/>
      <c r="BM142" s="19"/>
      <c r="BN142" s="34"/>
      <c r="BQ142" s="19"/>
      <c r="BR142" s="34"/>
    </row>
    <row r="143" spans="59:70" x14ac:dyDescent="0.35">
      <c r="BG143" s="19"/>
      <c r="BH143" s="34"/>
      <c r="BJ143" s="19"/>
      <c r="BK143" s="34"/>
      <c r="BM143" s="19"/>
      <c r="BN143" s="34"/>
      <c r="BQ143" s="19"/>
      <c r="BR143" s="34"/>
    </row>
    <row r="144" spans="59:70" x14ac:dyDescent="0.35">
      <c r="BG144" s="19"/>
      <c r="BH144" s="34"/>
      <c r="BJ144" s="19"/>
      <c r="BK144" s="34"/>
      <c r="BM144" s="19"/>
      <c r="BN144" s="34"/>
      <c r="BQ144" s="19"/>
      <c r="BR144" s="34"/>
    </row>
    <row r="145" spans="59:70" x14ac:dyDescent="0.35">
      <c r="BG145" s="19"/>
      <c r="BH145" s="34"/>
      <c r="BJ145" s="19"/>
      <c r="BK145" s="34"/>
      <c r="BM145" s="19"/>
      <c r="BN145" s="34"/>
      <c r="BQ145" s="19"/>
      <c r="BR145" s="34"/>
    </row>
    <row r="146" spans="59:70" x14ac:dyDescent="0.35">
      <c r="BG146" s="19"/>
      <c r="BH146" s="34"/>
      <c r="BJ146" s="19"/>
      <c r="BK146" s="34"/>
      <c r="BM146" s="19"/>
      <c r="BN146" s="34"/>
      <c r="BQ146" s="19"/>
      <c r="BR146" s="34"/>
    </row>
    <row r="147" spans="59:70" x14ac:dyDescent="0.35">
      <c r="BG147" s="19"/>
      <c r="BH147" s="34"/>
      <c r="BJ147" s="19"/>
      <c r="BK147" s="34"/>
      <c r="BM147" s="19"/>
      <c r="BN147" s="34"/>
      <c r="BQ147" s="19"/>
      <c r="BR147" s="34"/>
    </row>
    <row r="148" spans="59:70" x14ac:dyDescent="0.35">
      <c r="BG148" s="19"/>
      <c r="BH148" s="34"/>
      <c r="BJ148" s="19"/>
      <c r="BK148" s="34"/>
      <c r="BM148" s="19"/>
      <c r="BN148" s="34"/>
      <c r="BQ148" s="19"/>
      <c r="BR148" s="34"/>
    </row>
    <row r="149" spans="59:70" x14ac:dyDescent="0.35">
      <c r="BG149" s="19"/>
      <c r="BH149" s="34"/>
      <c r="BJ149" s="19"/>
      <c r="BK149" s="34"/>
      <c r="BM149" s="19"/>
      <c r="BN149" s="34"/>
      <c r="BQ149" s="19"/>
      <c r="BR149" s="34"/>
    </row>
    <row r="150" spans="59:70" x14ac:dyDescent="0.35">
      <c r="BG150" s="19"/>
      <c r="BH150" s="34"/>
      <c r="BJ150" s="19"/>
      <c r="BK150" s="34"/>
      <c r="BM150" s="19"/>
      <c r="BN150" s="34"/>
      <c r="BQ150" s="19"/>
      <c r="BR150" s="34"/>
    </row>
    <row r="151" spans="59:70" x14ac:dyDescent="0.35">
      <c r="BG151" s="19"/>
      <c r="BH151" s="34"/>
      <c r="BJ151" s="19"/>
      <c r="BK151" s="34"/>
      <c r="BM151" s="19"/>
      <c r="BN151" s="34"/>
      <c r="BQ151" s="19"/>
      <c r="BR151" s="34"/>
    </row>
    <row r="152" spans="59:70" x14ac:dyDescent="0.35">
      <c r="BG152" s="19"/>
      <c r="BH152" s="34"/>
      <c r="BJ152" s="19"/>
      <c r="BK152" s="34"/>
      <c r="BM152" s="19"/>
      <c r="BN152" s="34"/>
      <c r="BQ152" s="19"/>
      <c r="BR152" s="34"/>
    </row>
    <row r="153" spans="59:70" x14ac:dyDescent="0.35">
      <c r="BG153" s="19"/>
      <c r="BH153" s="34"/>
      <c r="BJ153" s="19"/>
      <c r="BK153" s="34"/>
      <c r="BM153" s="19"/>
      <c r="BN153" s="34"/>
      <c r="BQ153" s="19"/>
      <c r="BR153" s="34"/>
    </row>
    <row r="154" spans="59:70" x14ac:dyDescent="0.35">
      <c r="BG154" s="19"/>
      <c r="BH154" s="34"/>
      <c r="BJ154" s="19"/>
      <c r="BK154" s="34"/>
      <c r="BM154" s="19"/>
      <c r="BN154" s="34"/>
      <c r="BQ154" s="19"/>
      <c r="BR154" s="34"/>
    </row>
    <row r="155" spans="59:70" x14ac:dyDescent="0.35">
      <c r="BG155" s="19"/>
      <c r="BH155" s="34"/>
      <c r="BJ155" s="19"/>
      <c r="BK155" s="34"/>
      <c r="BM155" s="19"/>
      <c r="BN155" s="34"/>
      <c r="BQ155" s="19"/>
      <c r="BR155" s="34"/>
    </row>
    <row r="156" spans="59:70" x14ac:dyDescent="0.35">
      <c r="BG156" s="19"/>
      <c r="BH156" s="34"/>
      <c r="BJ156" s="19"/>
      <c r="BK156" s="34"/>
      <c r="BM156" s="19"/>
      <c r="BN156" s="34"/>
      <c r="BQ156" s="19"/>
      <c r="BR156" s="34"/>
    </row>
    <row r="157" spans="59:70" x14ac:dyDescent="0.35">
      <c r="BG157" s="19"/>
      <c r="BH157" s="34"/>
      <c r="BJ157" s="19"/>
      <c r="BK157" s="34"/>
      <c r="BM157" s="19"/>
      <c r="BN157" s="34"/>
      <c r="BQ157" s="19"/>
      <c r="BR157" s="34"/>
    </row>
    <row r="158" spans="59:70" x14ac:dyDescent="0.35">
      <c r="BG158" s="19"/>
      <c r="BH158" s="34"/>
      <c r="BJ158" s="19"/>
      <c r="BK158" s="34"/>
      <c r="BM158" s="19"/>
      <c r="BN158" s="34"/>
      <c r="BQ158" s="19"/>
      <c r="BR158" s="34"/>
    </row>
    <row r="159" spans="59:70" x14ac:dyDescent="0.35">
      <c r="BG159" s="19"/>
      <c r="BH159" s="34"/>
      <c r="BJ159" s="19"/>
      <c r="BK159" s="34"/>
      <c r="BM159" s="19"/>
      <c r="BN159" s="34"/>
      <c r="BQ159" s="19"/>
      <c r="BR159" s="34"/>
    </row>
    <row r="160" spans="59:70" x14ac:dyDescent="0.35">
      <c r="BG160" s="19"/>
      <c r="BH160" s="34"/>
      <c r="BJ160" s="19"/>
      <c r="BK160" s="34"/>
      <c r="BM160" s="19"/>
      <c r="BN160" s="34"/>
      <c r="BQ160" s="19"/>
      <c r="BR160" s="34"/>
    </row>
    <row r="161" spans="59:70" x14ac:dyDescent="0.35">
      <c r="BG161" s="19"/>
      <c r="BH161" s="34"/>
      <c r="BJ161" s="19"/>
      <c r="BK161" s="34"/>
      <c r="BM161" s="19"/>
      <c r="BN161" s="34"/>
      <c r="BQ161" s="19"/>
      <c r="BR161" s="34"/>
    </row>
    <row r="162" spans="59:70" x14ac:dyDescent="0.35">
      <c r="BG162" s="19"/>
      <c r="BH162" s="34"/>
      <c r="BJ162" s="19"/>
      <c r="BK162" s="34"/>
      <c r="BM162" s="19"/>
      <c r="BN162" s="34"/>
      <c r="BQ162" s="19"/>
      <c r="BR162" s="34"/>
    </row>
    <row r="163" spans="59:70" x14ac:dyDescent="0.35">
      <c r="BG163" s="19"/>
      <c r="BH163" s="34"/>
      <c r="BJ163" s="19"/>
      <c r="BK163" s="34"/>
      <c r="BM163" s="19"/>
      <c r="BN163" s="34"/>
      <c r="BQ163" s="19"/>
      <c r="BR163" s="34"/>
    </row>
    <row r="164" spans="59:70" x14ac:dyDescent="0.35">
      <c r="BG164" s="19"/>
      <c r="BH164" s="34"/>
      <c r="BJ164" s="19"/>
      <c r="BK164" s="34"/>
      <c r="BM164" s="19"/>
      <c r="BN164" s="34"/>
      <c r="BQ164" s="19"/>
      <c r="BR164" s="34"/>
    </row>
    <row r="165" spans="59:70" x14ac:dyDescent="0.35">
      <c r="BG165" s="19"/>
      <c r="BH165" s="34"/>
      <c r="BJ165" s="19"/>
      <c r="BK165" s="34"/>
      <c r="BM165" s="19"/>
      <c r="BN165" s="34"/>
      <c r="BQ165" s="19"/>
      <c r="BR165" s="34"/>
    </row>
    <row r="166" spans="59:70" x14ac:dyDescent="0.35">
      <c r="BG166" s="19"/>
      <c r="BH166" s="34"/>
      <c r="BJ166" s="19"/>
      <c r="BK166" s="34"/>
      <c r="BM166" s="19"/>
      <c r="BN166" s="34"/>
      <c r="BQ166" s="19"/>
      <c r="BR166" s="34"/>
    </row>
    <row r="167" spans="59:70" x14ac:dyDescent="0.35">
      <c r="BG167" s="19"/>
      <c r="BH167" s="34"/>
      <c r="BJ167" s="19"/>
      <c r="BK167" s="34"/>
      <c r="BM167" s="19"/>
      <c r="BN167" s="34"/>
      <c r="BQ167" s="19"/>
      <c r="BR167" s="34"/>
    </row>
    <row r="168" spans="59:70" x14ac:dyDescent="0.35">
      <c r="BG168" s="19"/>
      <c r="BH168" s="34"/>
      <c r="BJ168" s="19"/>
      <c r="BK168" s="34"/>
      <c r="BM168" s="19"/>
      <c r="BN168" s="34"/>
      <c r="BQ168" s="19"/>
      <c r="BR168" s="34"/>
    </row>
    <row r="169" spans="59:70" x14ac:dyDescent="0.35">
      <c r="BG169" s="19"/>
      <c r="BH169" s="34"/>
      <c r="BJ169" s="19"/>
      <c r="BK169" s="34"/>
      <c r="BM169" s="19"/>
      <c r="BN169" s="34"/>
      <c r="BQ169" s="19"/>
      <c r="BR169" s="34"/>
    </row>
    <row r="170" spans="59:70" x14ac:dyDescent="0.35">
      <c r="BG170" s="19"/>
      <c r="BH170" s="34"/>
      <c r="BJ170" s="19"/>
      <c r="BK170" s="34"/>
      <c r="BM170" s="19"/>
      <c r="BN170" s="34"/>
      <c r="BQ170" s="19"/>
      <c r="BR170" s="34"/>
    </row>
    <row r="171" spans="59:70" x14ac:dyDescent="0.35">
      <c r="BG171" s="19"/>
      <c r="BH171" s="34"/>
      <c r="BJ171" s="19"/>
      <c r="BK171" s="34"/>
      <c r="BM171" s="19"/>
      <c r="BN171" s="34"/>
      <c r="BQ171" s="19"/>
      <c r="BR171" s="34"/>
    </row>
    <row r="172" spans="59:70" x14ac:dyDescent="0.35">
      <c r="BG172" s="19"/>
      <c r="BH172" s="34"/>
      <c r="BJ172" s="19"/>
      <c r="BK172" s="34"/>
      <c r="BM172" s="19"/>
      <c r="BN172" s="34"/>
      <c r="BQ172" s="19"/>
      <c r="BR172" s="34"/>
    </row>
    <row r="173" spans="59:70" x14ac:dyDescent="0.35">
      <c r="BG173" s="19"/>
      <c r="BH173" s="34"/>
      <c r="BJ173" s="19"/>
      <c r="BK173" s="34"/>
      <c r="BM173" s="19"/>
      <c r="BN173" s="34"/>
      <c r="BQ173" s="19"/>
      <c r="BR173" s="34"/>
    </row>
    <row r="174" spans="59:70" x14ac:dyDescent="0.35">
      <c r="BG174" s="19"/>
      <c r="BH174" s="34"/>
      <c r="BJ174" s="19"/>
      <c r="BK174" s="34"/>
      <c r="BM174" s="19"/>
      <c r="BN174" s="34"/>
      <c r="BQ174" s="19"/>
      <c r="BR174" s="34"/>
    </row>
    <row r="175" spans="59:70" x14ac:dyDescent="0.35">
      <c r="BG175" s="19"/>
      <c r="BH175" s="34"/>
      <c r="BJ175" s="19"/>
      <c r="BK175" s="34"/>
      <c r="BM175" s="19"/>
      <c r="BN175" s="34"/>
      <c r="BQ175" s="19"/>
      <c r="BR175" s="34"/>
    </row>
    <row r="176" spans="59:70" x14ac:dyDescent="0.35">
      <c r="BG176" s="19"/>
      <c r="BH176" s="34"/>
      <c r="BJ176" s="19"/>
      <c r="BK176" s="34"/>
      <c r="BM176" s="19"/>
      <c r="BN176" s="34"/>
      <c r="BQ176" s="19"/>
      <c r="BR176" s="34"/>
    </row>
    <row r="177" spans="59:70" x14ac:dyDescent="0.35">
      <c r="BG177" s="19"/>
      <c r="BH177" s="34"/>
      <c r="BJ177" s="19"/>
      <c r="BK177" s="34"/>
      <c r="BM177" s="19"/>
      <c r="BN177" s="34"/>
      <c r="BQ177" s="19"/>
      <c r="BR177" s="34"/>
    </row>
    <row r="178" spans="59:70" x14ac:dyDescent="0.35">
      <c r="BG178" s="19"/>
      <c r="BH178" s="34"/>
      <c r="BJ178" s="19"/>
      <c r="BK178" s="34"/>
      <c r="BM178" s="19"/>
      <c r="BN178" s="34"/>
      <c r="BQ178" s="19"/>
      <c r="BR178" s="34"/>
    </row>
    <row r="179" spans="59:70" x14ac:dyDescent="0.35">
      <c r="BG179" s="19"/>
      <c r="BH179" s="34"/>
      <c r="BJ179" s="19"/>
      <c r="BK179" s="34"/>
      <c r="BM179" s="19"/>
      <c r="BN179" s="34"/>
      <c r="BQ179" s="19"/>
      <c r="BR179" s="34"/>
    </row>
    <row r="180" spans="59:70" x14ac:dyDescent="0.35">
      <c r="BG180" s="19"/>
      <c r="BH180" s="34"/>
      <c r="BJ180" s="19"/>
      <c r="BK180" s="34"/>
      <c r="BM180" s="19"/>
      <c r="BN180" s="34"/>
      <c r="BQ180" s="19"/>
      <c r="BR180" s="34"/>
    </row>
    <row r="181" spans="59:70" x14ac:dyDescent="0.35">
      <c r="BG181" s="19"/>
      <c r="BH181" s="34"/>
      <c r="BJ181" s="19"/>
      <c r="BK181" s="34"/>
      <c r="BM181" s="19"/>
      <c r="BN181" s="34"/>
      <c r="BQ181" s="19"/>
      <c r="BR181" s="34"/>
    </row>
    <row r="182" spans="59:70" x14ac:dyDescent="0.35">
      <c r="BG182" s="19"/>
      <c r="BH182" s="34"/>
      <c r="BJ182" s="19"/>
      <c r="BK182" s="34"/>
      <c r="BM182" s="19"/>
      <c r="BN182" s="34"/>
      <c r="BQ182" s="19"/>
      <c r="BR182" s="34"/>
    </row>
    <row r="183" spans="59:70" x14ac:dyDescent="0.35">
      <c r="BG183" s="19"/>
      <c r="BH183" s="34"/>
      <c r="BJ183" s="19"/>
      <c r="BK183" s="34"/>
      <c r="BM183" s="19"/>
      <c r="BN183" s="34"/>
      <c r="BQ183" s="19"/>
      <c r="BR183" s="34"/>
    </row>
    <row r="184" spans="59:70" x14ac:dyDescent="0.35">
      <c r="BG184" s="19"/>
      <c r="BH184" s="34"/>
      <c r="BJ184" s="19"/>
      <c r="BK184" s="34"/>
      <c r="BM184" s="19"/>
      <c r="BN184" s="34"/>
      <c r="BQ184" s="19"/>
      <c r="BR184" s="34"/>
    </row>
    <row r="185" spans="59:70" x14ac:dyDescent="0.35">
      <c r="BG185" s="19"/>
      <c r="BH185" s="34"/>
      <c r="BJ185" s="19"/>
      <c r="BK185" s="34"/>
      <c r="BM185" s="19"/>
      <c r="BN185" s="34"/>
      <c r="BQ185" s="19"/>
      <c r="BR185" s="34"/>
    </row>
    <row r="186" spans="59:70" x14ac:dyDescent="0.35">
      <c r="BG186" s="19"/>
      <c r="BH186" s="34"/>
      <c r="BJ186" s="19"/>
      <c r="BK186" s="34"/>
      <c r="BM186" s="19"/>
      <c r="BN186" s="34"/>
      <c r="BQ186" s="19"/>
      <c r="BR186" s="34"/>
    </row>
    <row r="187" spans="59:70" x14ac:dyDescent="0.35">
      <c r="BG187" s="19"/>
      <c r="BH187" s="34"/>
      <c r="BJ187" s="19"/>
      <c r="BK187" s="34"/>
      <c r="BM187" s="19"/>
      <c r="BN187" s="34"/>
      <c r="BQ187" s="19"/>
      <c r="BR187" s="34"/>
    </row>
    <row r="188" spans="59:70" x14ac:dyDescent="0.35">
      <c r="BG188" s="19"/>
      <c r="BH188" s="34"/>
      <c r="BJ188" s="19"/>
      <c r="BK188" s="34"/>
      <c r="BM188" s="19"/>
      <c r="BN188" s="34"/>
      <c r="BQ188" s="19"/>
      <c r="BR188" s="34"/>
    </row>
    <row r="189" spans="59:70" x14ac:dyDescent="0.35">
      <c r="BG189" s="19"/>
      <c r="BH189" s="34"/>
      <c r="BJ189" s="19"/>
      <c r="BK189" s="34"/>
      <c r="BM189" s="19"/>
      <c r="BN189" s="34"/>
      <c r="BQ189" s="19"/>
      <c r="BR189" s="34"/>
    </row>
    <row r="190" spans="59:70" x14ac:dyDescent="0.35">
      <c r="BG190" s="19"/>
      <c r="BH190" s="34"/>
      <c r="BJ190" s="19"/>
      <c r="BK190" s="34"/>
      <c r="BM190" s="19"/>
      <c r="BN190" s="34"/>
      <c r="BQ190" s="19"/>
      <c r="BR190" s="34"/>
    </row>
    <row r="191" spans="59:70" x14ac:dyDescent="0.35">
      <c r="BG191" s="19"/>
      <c r="BH191" s="34"/>
      <c r="BJ191" s="19"/>
      <c r="BK191" s="34"/>
      <c r="BM191" s="19"/>
      <c r="BN191" s="34"/>
      <c r="BQ191" s="19"/>
      <c r="BR191" s="34"/>
    </row>
    <row r="192" spans="59:70" x14ac:dyDescent="0.35">
      <c r="BG192" s="19"/>
      <c r="BH192" s="34"/>
      <c r="BJ192" s="19"/>
      <c r="BK192" s="34"/>
      <c r="BM192" s="19"/>
      <c r="BN192" s="34"/>
      <c r="BQ192" s="19"/>
      <c r="BR192" s="34"/>
    </row>
    <row r="193" spans="59:70" x14ac:dyDescent="0.35">
      <c r="BG193" s="19"/>
      <c r="BH193" s="34"/>
      <c r="BJ193" s="19"/>
      <c r="BK193" s="34"/>
      <c r="BM193" s="19"/>
      <c r="BN193" s="34"/>
      <c r="BQ193" s="19"/>
      <c r="BR193" s="34"/>
    </row>
    <row r="194" spans="59:70" x14ac:dyDescent="0.35">
      <c r="BG194" s="19"/>
      <c r="BH194" s="34"/>
      <c r="BJ194" s="19"/>
      <c r="BK194" s="34"/>
      <c r="BM194" s="19"/>
      <c r="BN194" s="34"/>
      <c r="BQ194" s="19"/>
      <c r="BR194" s="34"/>
    </row>
    <row r="195" spans="59:70" x14ac:dyDescent="0.35">
      <c r="BG195" s="19"/>
      <c r="BH195" s="34"/>
      <c r="BJ195" s="19"/>
      <c r="BK195" s="34"/>
      <c r="BM195" s="19"/>
      <c r="BN195" s="34"/>
      <c r="BQ195" s="19"/>
      <c r="BR195" s="34"/>
    </row>
    <row r="196" spans="59:70" x14ac:dyDescent="0.35">
      <c r="BG196" s="19"/>
      <c r="BH196" s="34"/>
      <c r="BJ196" s="19"/>
      <c r="BK196" s="34"/>
      <c r="BM196" s="19"/>
      <c r="BN196" s="34"/>
      <c r="BQ196" s="19"/>
      <c r="BR196" s="34"/>
    </row>
    <row r="197" spans="59:70" x14ac:dyDescent="0.35">
      <c r="BG197" s="19"/>
      <c r="BH197" s="34"/>
      <c r="BJ197" s="19"/>
      <c r="BK197" s="34"/>
      <c r="BM197" s="19"/>
      <c r="BN197" s="34"/>
      <c r="BQ197" s="19"/>
      <c r="BR197" s="34"/>
    </row>
    <row r="198" spans="59:70" x14ac:dyDescent="0.35">
      <c r="BG198" s="19"/>
      <c r="BH198" s="34"/>
      <c r="BJ198" s="19"/>
      <c r="BK198" s="34"/>
      <c r="BM198" s="19"/>
      <c r="BN198" s="34"/>
      <c r="BQ198" s="19"/>
      <c r="BR198" s="34"/>
    </row>
    <row r="199" spans="59:70" x14ac:dyDescent="0.35">
      <c r="BG199" s="19"/>
      <c r="BH199" s="34"/>
      <c r="BJ199" s="19"/>
      <c r="BK199" s="34"/>
      <c r="BM199" s="19"/>
      <c r="BN199" s="34"/>
      <c r="BQ199" s="19"/>
      <c r="BR199" s="34"/>
    </row>
    <row r="200" spans="59:70" x14ac:dyDescent="0.35">
      <c r="BG200" s="19"/>
      <c r="BH200" s="34"/>
      <c r="BJ200" s="19"/>
      <c r="BK200" s="34"/>
      <c r="BM200" s="19"/>
      <c r="BN200" s="34"/>
      <c r="BQ200" s="19"/>
      <c r="BR200" s="34"/>
    </row>
    <row r="201" spans="59:70" x14ac:dyDescent="0.35">
      <c r="BG201" s="19"/>
      <c r="BH201" s="34"/>
      <c r="BJ201" s="19"/>
      <c r="BK201" s="34"/>
      <c r="BM201" s="19"/>
      <c r="BN201" s="34"/>
      <c r="BQ201" s="19"/>
      <c r="BR201" s="34"/>
    </row>
    <row r="202" spans="59:70" x14ac:dyDescent="0.35">
      <c r="BG202" s="19"/>
      <c r="BH202" s="34"/>
      <c r="BJ202" s="19"/>
      <c r="BK202" s="34"/>
      <c r="BM202" s="19"/>
      <c r="BN202" s="34"/>
      <c r="BQ202" s="19"/>
      <c r="BR202" s="34"/>
    </row>
    <row r="203" spans="59:70" x14ac:dyDescent="0.35">
      <c r="BG203" s="19"/>
      <c r="BH203" s="34"/>
      <c r="BJ203" s="19"/>
      <c r="BK203" s="34"/>
      <c r="BM203" s="19"/>
      <c r="BN203" s="34"/>
      <c r="BQ203" s="19"/>
      <c r="BR203" s="34"/>
    </row>
    <row r="204" spans="59:70" x14ac:dyDescent="0.35">
      <c r="BG204" s="19"/>
      <c r="BH204" s="34"/>
      <c r="BJ204" s="19"/>
      <c r="BK204" s="34"/>
      <c r="BM204" s="19"/>
      <c r="BN204" s="34"/>
      <c r="BQ204" s="19"/>
      <c r="BR204" s="34"/>
    </row>
    <row r="205" spans="59:70" x14ac:dyDescent="0.35">
      <c r="BG205" s="19"/>
      <c r="BH205" s="34"/>
      <c r="BJ205" s="19"/>
      <c r="BK205" s="34"/>
      <c r="BM205" s="19"/>
      <c r="BN205" s="34"/>
      <c r="BQ205" s="19"/>
      <c r="BR205" s="34"/>
    </row>
    <row r="206" spans="59:70" x14ac:dyDescent="0.35">
      <c r="BG206" s="19"/>
      <c r="BH206" s="34"/>
      <c r="BJ206" s="19"/>
      <c r="BK206" s="34"/>
      <c r="BM206" s="19"/>
      <c r="BN206" s="34"/>
      <c r="BQ206" s="19"/>
      <c r="BR206" s="34"/>
    </row>
    <row r="207" spans="59:70" x14ac:dyDescent="0.35">
      <c r="BG207" s="19"/>
      <c r="BH207" s="34"/>
      <c r="BJ207" s="19"/>
      <c r="BK207" s="34"/>
      <c r="BM207" s="19"/>
      <c r="BN207" s="34"/>
      <c r="BQ207" s="19"/>
      <c r="BR207" s="34"/>
    </row>
    <row r="208" spans="59:70" x14ac:dyDescent="0.35">
      <c r="BG208" s="19"/>
      <c r="BH208" s="34"/>
      <c r="BJ208" s="19"/>
      <c r="BK208" s="34"/>
      <c r="BM208" s="19"/>
      <c r="BN208" s="34"/>
      <c r="BQ208" s="19"/>
      <c r="BR208" s="34"/>
    </row>
    <row r="209" spans="59:70" x14ac:dyDescent="0.35">
      <c r="BG209" s="19"/>
      <c r="BH209" s="34"/>
      <c r="BJ209" s="19"/>
      <c r="BK209" s="34"/>
      <c r="BM209" s="19"/>
      <c r="BN209" s="34"/>
      <c r="BQ209" s="19"/>
      <c r="BR209" s="34"/>
    </row>
    <row r="210" spans="59:70" x14ac:dyDescent="0.35">
      <c r="BG210" s="19"/>
      <c r="BH210" s="34"/>
      <c r="BJ210" s="19"/>
      <c r="BK210" s="34"/>
      <c r="BM210" s="19"/>
      <c r="BN210" s="34"/>
      <c r="BQ210" s="19"/>
      <c r="BR210" s="34"/>
    </row>
    <row r="211" spans="59:70" x14ac:dyDescent="0.35">
      <c r="BG211" s="19"/>
      <c r="BH211" s="34"/>
      <c r="BJ211" s="19"/>
      <c r="BK211" s="34"/>
      <c r="BM211" s="19"/>
      <c r="BN211" s="34"/>
      <c r="BQ211" s="19"/>
      <c r="BR211" s="34"/>
    </row>
    <row r="212" spans="59:70" x14ac:dyDescent="0.35">
      <c r="BG212" s="19"/>
      <c r="BH212" s="34"/>
      <c r="BJ212" s="19"/>
      <c r="BK212" s="34"/>
      <c r="BM212" s="19"/>
      <c r="BN212" s="34"/>
      <c r="BQ212" s="19"/>
      <c r="BR212" s="34"/>
    </row>
    <row r="213" spans="59:70" x14ac:dyDescent="0.35">
      <c r="BG213" s="19"/>
      <c r="BH213" s="34"/>
      <c r="BJ213" s="19"/>
      <c r="BK213" s="34"/>
      <c r="BM213" s="19"/>
      <c r="BN213" s="34"/>
      <c r="BQ213" s="19"/>
      <c r="BR213" s="34"/>
    </row>
    <row r="214" spans="59:70" x14ac:dyDescent="0.35">
      <c r="BG214" s="19"/>
      <c r="BH214" s="34"/>
      <c r="BJ214" s="19"/>
      <c r="BK214" s="34"/>
      <c r="BM214" s="19"/>
      <c r="BN214" s="34"/>
      <c r="BQ214" s="19"/>
      <c r="BR214" s="34"/>
    </row>
    <row r="215" spans="59:70" x14ac:dyDescent="0.35">
      <c r="BG215" s="19"/>
      <c r="BH215" s="34"/>
      <c r="BJ215" s="19"/>
      <c r="BK215" s="34"/>
      <c r="BM215" s="19"/>
      <c r="BN215" s="34"/>
      <c r="BQ215" s="19"/>
      <c r="BR215" s="34"/>
    </row>
    <row r="216" spans="59:70" x14ac:dyDescent="0.35">
      <c r="BG216" s="19"/>
      <c r="BH216" s="34"/>
      <c r="BJ216" s="19"/>
      <c r="BK216" s="34"/>
      <c r="BM216" s="19"/>
      <c r="BN216" s="34"/>
      <c r="BQ216" s="19"/>
      <c r="BR216" s="34"/>
    </row>
    <row r="217" spans="59:70" x14ac:dyDescent="0.35">
      <c r="BG217" s="19"/>
      <c r="BH217" s="34"/>
      <c r="BJ217" s="19"/>
      <c r="BK217" s="34"/>
      <c r="BM217" s="19"/>
      <c r="BN217" s="34"/>
      <c r="BQ217" s="19"/>
      <c r="BR217" s="34"/>
    </row>
    <row r="218" spans="59:70" x14ac:dyDescent="0.35">
      <c r="BG218" s="19"/>
      <c r="BH218" s="34"/>
      <c r="BJ218" s="19"/>
      <c r="BK218" s="34"/>
      <c r="BM218" s="19"/>
      <c r="BN218" s="34"/>
      <c r="BQ218" s="19"/>
      <c r="BR218" s="34"/>
    </row>
    <row r="219" spans="59:70" x14ac:dyDescent="0.35">
      <c r="BG219" s="19"/>
      <c r="BH219" s="34"/>
      <c r="BJ219" s="19"/>
      <c r="BK219" s="34"/>
      <c r="BM219" s="19"/>
      <c r="BN219" s="34"/>
      <c r="BQ219" s="19"/>
      <c r="BR219" s="34"/>
    </row>
    <row r="220" spans="59:70" x14ac:dyDescent="0.35">
      <c r="BG220" s="19"/>
      <c r="BH220" s="34"/>
      <c r="BJ220" s="19"/>
      <c r="BK220" s="34"/>
      <c r="BM220" s="19"/>
      <c r="BN220" s="34"/>
      <c r="BQ220" s="19"/>
      <c r="BR220" s="34"/>
    </row>
    <row r="221" spans="59:70" x14ac:dyDescent="0.35">
      <c r="BG221" s="19"/>
      <c r="BH221" s="34"/>
      <c r="BJ221" s="19"/>
      <c r="BK221" s="34"/>
      <c r="BM221" s="19"/>
      <c r="BN221" s="34"/>
      <c r="BQ221" s="19"/>
      <c r="BR221" s="34"/>
    </row>
    <row r="222" spans="59:70" x14ac:dyDescent="0.35">
      <c r="BG222" s="19"/>
      <c r="BH222" s="34"/>
      <c r="BJ222" s="19"/>
      <c r="BK222" s="34"/>
      <c r="BM222" s="19"/>
      <c r="BN222" s="34"/>
      <c r="BQ222" s="19"/>
      <c r="BR222" s="34"/>
    </row>
    <row r="223" spans="59:70" x14ac:dyDescent="0.35">
      <c r="BG223" s="19"/>
      <c r="BH223" s="34"/>
      <c r="BJ223" s="19"/>
      <c r="BK223" s="34"/>
      <c r="BM223" s="19"/>
      <c r="BN223" s="34"/>
      <c r="BQ223" s="19"/>
      <c r="BR223" s="34"/>
    </row>
    <row r="224" spans="59:70" x14ac:dyDescent="0.35">
      <c r="BG224" s="19"/>
      <c r="BH224" s="34"/>
      <c r="BJ224" s="19"/>
      <c r="BK224" s="34"/>
      <c r="BM224" s="19"/>
      <c r="BN224" s="34"/>
      <c r="BQ224" s="19"/>
      <c r="BR224" s="34"/>
    </row>
    <row r="225" spans="59:70" x14ac:dyDescent="0.35">
      <c r="BG225" s="19"/>
      <c r="BH225" s="34"/>
      <c r="BJ225" s="19"/>
      <c r="BK225" s="34"/>
      <c r="BM225" s="19"/>
      <c r="BN225" s="34"/>
      <c r="BQ225" s="19"/>
      <c r="BR225" s="34"/>
    </row>
    <row r="226" spans="59:70" x14ac:dyDescent="0.35">
      <c r="BG226" s="19"/>
      <c r="BH226" s="34"/>
      <c r="BJ226" s="19"/>
      <c r="BK226" s="34"/>
      <c r="BM226" s="19"/>
      <c r="BN226" s="34"/>
      <c r="BQ226" s="19"/>
      <c r="BR226" s="34"/>
    </row>
    <row r="227" spans="59:70" x14ac:dyDescent="0.35">
      <c r="BG227" s="19"/>
      <c r="BH227" s="34"/>
      <c r="BJ227" s="19"/>
      <c r="BK227" s="34"/>
      <c r="BM227" s="19"/>
      <c r="BN227" s="34"/>
      <c r="BQ227" s="19"/>
      <c r="BR227" s="34"/>
    </row>
    <row r="228" spans="59:70" x14ac:dyDescent="0.35">
      <c r="BG228" s="19"/>
      <c r="BH228" s="34"/>
      <c r="BJ228" s="19"/>
      <c r="BK228" s="34"/>
      <c r="BM228" s="19"/>
      <c r="BN228" s="34"/>
      <c r="BQ228" s="19"/>
      <c r="BR228" s="34"/>
    </row>
    <row r="229" spans="59:70" x14ac:dyDescent="0.35">
      <c r="BG229" s="19"/>
      <c r="BH229" s="34"/>
      <c r="BJ229" s="19"/>
      <c r="BK229" s="34"/>
      <c r="BM229" s="19"/>
      <c r="BN229" s="34"/>
      <c r="BQ229" s="19"/>
      <c r="BR229" s="34"/>
    </row>
    <row r="230" spans="59:70" x14ac:dyDescent="0.35">
      <c r="BG230" s="19"/>
      <c r="BH230" s="34"/>
      <c r="BJ230" s="19"/>
      <c r="BK230" s="34"/>
      <c r="BM230" s="19"/>
      <c r="BN230" s="34"/>
      <c r="BQ230" s="19"/>
      <c r="BR230" s="34"/>
    </row>
    <row r="231" spans="59:70" x14ac:dyDescent="0.35">
      <c r="BG231" s="19"/>
      <c r="BH231" s="34"/>
      <c r="BJ231" s="19"/>
      <c r="BK231" s="34"/>
      <c r="BM231" s="19"/>
      <c r="BN231" s="34"/>
      <c r="BQ231" s="19"/>
      <c r="BR231" s="34"/>
    </row>
    <row r="232" spans="59:70" x14ac:dyDescent="0.35">
      <c r="BG232" s="19"/>
      <c r="BH232" s="34"/>
      <c r="BJ232" s="19"/>
      <c r="BK232" s="34"/>
      <c r="BM232" s="19"/>
      <c r="BN232" s="34"/>
      <c r="BQ232" s="19"/>
      <c r="BR232" s="34"/>
    </row>
    <row r="233" spans="59:70" x14ac:dyDescent="0.35">
      <c r="BG233" s="19"/>
      <c r="BH233" s="34"/>
      <c r="BJ233" s="19"/>
      <c r="BK233" s="34"/>
      <c r="BM233" s="19"/>
      <c r="BN233" s="34"/>
      <c r="BQ233" s="19"/>
      <c r="BR233" s="34"/>
    </row>
    <row r="234" spans="59:70" x14ac:dyDescent="0.35">
      <c r="BG234" s="19"/>
      <c r="BH234" s="34"/>
      <c r="BJ234" s="19"/>
      <c r="BK234" s="34"/>
      <c r="BM234" s="19"/>
      <c r="BN234" s="34"/>
      <c r="BQ234" s="19"/>
      <c r="BR234" s="34"/>
    </row>
    <row r="235" spans="59:70" x14ac:dyDescent="0.35">
      <c r="BG235" s="19"/>
      <c r="BH235" s="34"/>
      <c r="BJ235" s="19"/>
      <c r="BK235" s="34"/>
      <c r="BM235" s="19"/>
      <c r="BN235" s="34"/>
      <c r="BQ235" s="19"/>
      <c r="BR235" s="34"/>
    </row>
    <row r="236" spans="59:70" x14ac:dyDescent="0.35">
      <c r="BG236" s="19"/>
      <c r="BH236" s="34"/>
      <c r="BJ236" s="19"/>
      <c r="BK236" s="34"/>
      <c r="BM236" s="19"/>
      <c r="BN236" s="34"/>
      <c r="BQ236" s="19"/>
      <c r="BR236" s="34"/>
    </row>
    <row r="237" spans="59:70" x14ac:dyDescent="0.35">
      <c r="BG237" s="19"/>
      <c r="BH237" s="34"/>
      <c r="BJ237" s="19"/>
      <c r="BK237" s="34"/>
      <c r="BM237" s="19"/>
      <c r="BN237" s="34"/>
      <c r="BQ237" s="19"/>
      <c r="BR237" s="34"/>
    </row>
    <row r="238" spans="59:70" x14ac:dyDescent="0.35">
      <c r="BG238" s="19"/>
      <c r="BH238" s="34"/>
      <c r="BJ238" s="19"/>
      <c r="BK238" s="34"/>
      <c r="BM238" s="19"/>
      <c r="BN238" s="34"/>
      <c r="BQ238" s="19"/>
      <c r="BR238" s="34"/>
    </row>
    <row r="239" spans="59:70" x14ac:dyDescent="0.35">
      <c r="BG239" s="19"/>
      <c r="BH239" s="34"/>
      <c r="BJ239" s="19"/>
      <c r="BK239" s="34"/>
      <c r="BM239" s="19"/>
      <c r="BN239" s="34"/>
      <c r="BQ239" s="19"/>
      <c r="BR239" s="34"/>
    </row>
    <row r="240" spans="59:70" x14ac:dyDescent="0.35">
      <c r="BG240" s="19"/>
      <c r="BH240" s="34"/>
      <c r="BJ240" s="19"/>
      <c r="BK240" s="34"/>
      <c r="BM240" s="19"/>
      <c r="BN240" s="34"/>
      <c r="BQ240" s="19"/>
      <c r="BR240" s="34"/>
    </row>
    <row r="241" spans="59:70" x14ac:dyDescent="0.35">
      <c r="BG241" s="19"/>
      <c r="BH241" s="34"/>
      <c r="BJ241" s="19"/>
      <c r="BK241" s="34"/>
      <c r="BM241" s="19"/>
      <c r="BN241" s="34"/>
      <c r="BQ241" s="19"/>
      <c r="BR241" s="34"/>
    </row>
    <row r="242" spans="59:70" x14ac:dyDescent="0.35">
      <c r="BG242" s="19"/>
      <c r="BH242" s="34"/>
      <c r="BJ242" s="19"/>
      <c r="BK242" s="34"/>
      <c r="BM242" s="19"/>
      <c r="BN242" s="34"/>
      <c r="BQ242" s="19"/>
      <c r="BR242" s="34"/>
    </row>
    <row r="243" spans="59:70" x14ac:dyDescent="0.35">
      <c r="BG243" s="19"/>
      <c r="BH243" s="34"/>
      <c r="BJ243" s="19"/>
      <c r="BK243" s="34"/>
      <c r="BM243" s="19"/>
      <c r="BN243" s="34"/>
      <c r="BQ243" s="19"/>
      <c r="BR243" s="34"/>
    </row>
    <row r="244" spans="59:70" x14ac:dyDescent="0.35">
      <c r="BG244" s="19"/>
      <c r="BH244" s="34"/>
      <c r="BJ244" s="19"/>
      <c r="BK244" s="34"/>
      <c r="BM244" s="19"/>
      <c r="BN244" s="34"/>
      <c r="BQ244" s="19"/>
      <c r="BR244" s="34"/>
    </row>
    <row r="245" spans="59:70" x14ac:dyDescent="0.35">
      <c r="BG245" s="19"/>
      <c r="BH245" s="34"/>
      <c r="BJ245" s="19"/>
      <c r="BK245" s="34"/>
      <c r="BM245" s="19"/>
      <c r="BN245" s="34"/>
      <c r="BQ245" s="19"/>
      <c r="BR245" s="34"/>
    </row>
    <row r="246" spans="59:70" x14ac:dyDescent="0.35">
      <c r="BG246" s="19"/>
      <c r="BH246" s="34"/>
      <c r="BJ246" s="19"/>
      <c r="BK246" s="34"/>
      <c r="BM246" s="19"/>
      <c r="BN246" s="34"/>
      <c r="BQ246" s="19"/>
      <c r="BR246" s="34"/>
    </row>
    <row r="247" spans="59:70" x14ac:dyDescent="0.35">
      <c r="BG247" s="19"/>
      <c r="BH247" s="34"/>
      <c r="BJ247" s="19"/>
      <c r="BK247" s="34"/>
      <c r="BM247" s="19"/>
      <c r="BN247" s="34"/>
      <c r="BQ247" s="19"/>
      <c r="BR247" s="34"/>
    </row>
    <row r="248" spans="59:70" x14ac:dyDescent="0.35">
      <c r="BG248" s="19"/>
      <c r="BH248" s="34"/>
      <c r="BJ248" s="19"/>
      <c r="BK248" s="34"/>
      <c r="BM248" s="19"/>
      <c r="BN248" s="34"/>
      <c r="BQ248" s="19"/>
      <c r="BR248" s="34"/>
    </row>
    <row r="249" spans="59:70" x14ac:dyDescent="0.35">
      <c r="BG249" s="19"/>
      <c r="BH249" s="34"/>
      <c r="BJ249" s="19"/>
      <c r="BK249" s="34"/>
      <c r="BM249" s="19"/>
      <c r="BN249" s="34"/>
      <c r="BQ249" s="19"/>
      <c r="BR249" s="34"/>
    </row>
    <row r="250" spans="59:70" x14ac:dyDescent="0.35">
      <c r="BG250" s="19"/>
      <c r="BH250" s="34"/>
      <c r="BJ250" s="19"/>
      <c r="BK250" s="34"/>
      <c r="BM250" s="19"/>
      <c r="BN250" s="34"/>
      <c r="BQ250" s="19"/>
      <c r="BR250" s="34"/>
    </row>
    <row r="251" spans="59:70" x14ac:dyDescent="0.35">
      <c r="BG251" s="19"/>
      <c r="BH251" s="34"/>
      <c r="BJ251" s="19"/>
      <c r="BK251" s="34"/>
      <c r="BM251" s="19"/>
      <c r="BN251" s="34"/>
      <c r="BQ251" s="19"/>
      <c r="BR251" s="34"/>
    </row>
    <row r="252" spans="59:70" x14ac:dyDescent="0.35">
      <c r="BG252" s="19"/>
      <c r="BH252" s="34"/>
      <c r="BJ252" s="19"/>
      <c r="BK252" s="34"/>
      <c r="BM252" s="19"/>
      <c r="BN252" s="34"/>
      <c r="BQ252" s="19"/>
      <c r="BR252" s="34"/>
    </row>
    <row r="253" spans="59:70" x14ac:dyDescent="0.35">
      <c r="BG253" s="19"/>
      <c r="BH253" s="34"/>
      <c r="BJ253" s="19"/>
      <c r="BK253" s="34"/>
      <c r="BM253" s="19"/>
      <c r="BN253" s="34"/>
      <c r="BQ253" s="19"/>
      <c r="BR253" s="34"/>
    </row>
    <row r="254" spans="59:70" x14ac:dyDescent="0.35">
      <c r="BG254" s="19"/>
      <c r="BH254" s="34"/>
      <c r="BJ254" s="19"/>
      <c r="BK254" s="34"/>
      <c r="BM254" s="19"/>
      <c r="BN254" s="34"/>
      <c r="BQ254" s="19"/>
      <c r="BR254" s="34"/>
    </row>
    <row r="255" spans="59:70" x14ac:dyDescent="0.35">
      <c r="BG255" s="19"/>
      <c r="BH255" s="34"/>
      <c r="BJ255" s="19"/>
      <c r="BK255" s="34"/>
      <c r="BM255" s="19"/>
      <c r="BN255" s="34"/>
      <c r="BQ255" s="19"/>
      <c r="BR255" s="34"/>
    </row>
    <row r="256" spans="59:70" x14ac:dyDescent="0.35">
      <c r="BG256" s="19"/>
      <c r="BH256" s="34"/>
      <c r="BJ256" s="19"/>
      <c r="BK256" s="34"/>
      <c r="BM256" s="19"/>
      <c r="BN256" s="34"/>
      <c r="BQ256" s="19"/>
      <c r="BR256" s="34"/>
    </row>
    <row r="257" spans="59:70" x14ac:dyDescent="0.35">
      <c r="BG257" s="19"/>
      <c r="BH257" s="34"/>
      <c r="BJ257" s="19"/>
      <c r="BK257" s="34"/>
      <c r="BM257" s="19"/>
      <c r="BN257" s="34"/>
      <c r="BQ257" s="19"/>
      <c r="BR257" s="34"/>
    </row>
    <row r="258" spans="59:70" x14ac:dyDescent="0.35">
      <c r="BG258" s="19"/>
      <c r="BH258" s="34"/>
      <c r="BJ258" s="19"/>
      <c r="BK258" s="34"/>
      <c r="BM258" s="19"/>
      <c r="BN258" s="34"/>
      <c r="BQ258" s="19"/>
      <c r="BR258" s="34"/>
    </row>
    <row r="259" spans="59:70" x14ac:dyDescent="0.35">
      <c r="BG259" s="19"/>
      <c r="BH259" s="34"/>
      <c r="BJ259" s="19"/>
      <c r="BK259" s="34"/>
      <c r="BM259" s="19"/>
      <c r="BN259" s="34"/>
      <c r="BQ259" s="19"/>
      <c r="BR259" s="34"/>
    </row>
    <row r="260" spans="59:70" x14ac:dyDescent="0.35">
      <c r="BG260" s="19"/>
      <c r="BH260" s="34"/>
      <c r="BJ260" s="19"/>
      <c r="BK260" s="34"/>
      <c r="BM260" s="19"/>
      <c r="BN260" s="34"/>
      <c r="BQ260" s="19"/>
      <c r="BR260" s="34"/>
    </row>
    <row r="261" spans="59:70" x14ac:dyDescent="0.35">
      <c r="BG261" s="19"/>
      <c r="BH261" s="34"/>
      <c r="BJ261" s="19"/>
      <c r="BK261" s="34"/>
      <c r="BM261" s="19"/>
      <c r="BN261" s="34"/>
      <c r="BQ261" s="19"/>
      <c r="BR261" s="34"/>
    </row>
    <row r="262" spans="59:70" x14ac:dyDescent="0.35">
      <c r="BG262" s="19"/>
      <c r="BH262" s="34"/>
      <c r="BJ262" s="19"/>
      <c r="BK262" s="34"/>
      <c r="BM262" s="19"/>
      <c r="BN262" s="34"/>
      <c r="BQ262" s="19"/>
      <c r="BR262" s="34"/>
    </row>
    <row r="263" spans="59:70" x14ac:dyDescent="0.35">
      <c r="BG263" s="19"/>
      <c r="BH263" s="34"/>
      <c r="BJ263" s="19"/>
      <c r="BK263" s="34"/>
      <c r="BM263" s="19"/>
      <c r="BN263" s="34"/>
      <c r="BQ263" s="19"/>
      <c r="BR263" s="34"/>
    </row>
    <row r="264" spans="59:70" x14ac:dyDescent="0.35">
      <c r="BG264" s="19"/>
      <c r="BH264" s="34"/>
      <c r="BJ264" s="19"/>
      <c r="BK264" s="34"/>
      <c r="BM264" s="19"/>
      <c r="BN264" s="34"/>
      <c r="BQ264" s="19"/>
      <c r="BR264" s="34"/>
    </row>
    <row r="265" spans="59:70" x14ac:dyDescent="0.35">
      <c r="BG265" s="19"/>
      <c r="BH265" s="34"/>
      <c r="BJ265" s="19"/>
      <c r="BK265" s="34"/>
      <c r="BM265" s="19"/>
      <c r="BN265" s="34"/>
      <c r="BQ265" s="19"/>
      <c r="BR265" s="34"/>
    </row>
    <row r="266" spans="59:70" x14ac:dyDescent="0.35">
      <c r="BG266" s="19"/>
      <c r="BH266" s="34"/>
      <c r="BJ266" s="19"/>
      <c r="BK266" s="34"/>
      <c r="BM266" s="19"/>
      <c r="BN266" s="34"/>
      <c r="BQ266" s="19"/>
      <c r="BR266" s="34"/>
    </row>
    <row r="267" spans="59:70" x14ac:dyDescent="0.35">
      <c r="BG267" s="19"/>
      <c r="BH267" s="34"/>
      <c r="BJ267" s="19"/>
      <c r="BK267" s="34"/>
      <c r="BM267" s="19"/>
      <c r="BN267" s="34"/>
      <c r="BQ267" s="19"/>
      <c r="BR267" s="34"/>
    </row>
    <row r="268" spans="59:70" x14ac:dyDescent="0.35">
      <c r="BG268" s="19"/>
      <c r="BH268" s="34"/>
      <c r="BJ268" s="19"/>
      <c r="BK268" s="34"/>
      <c r="BM268" s="19"/>
      <c r="BN268" s="34"/>
      <c r="BQ268" s="19"/>
      <c r="BR268" s="34"/>
    </row>
    <row r="269" spans="59:70" x14ac:dyDescent="0.35">
      <c r="BG269" s="19"/>
      <c r="BH269" s="34"/>
      <c r="BJ269" s="19"/>
      <c r="BK269" s="34"/>
      <c r="BM269" s="19"/>
      <c r="BN269" s="34"/>
      <c r="BQ269" s="19"/>
      <c r="BR269" s="34"/>
    </row>
    <row r="270" spans="59:70" x14ac:dyDescent="0.35">
      <c r="BG270" s="19"/>
      <c r="BH270" s="34"/>
      <c r="BJ270" s="19"/>
      <c r="BK270" s="34"/>
      <c r="BM270" s="19"/>
      <c r="BN270" s="34"/>
      <c r="BQ270" s="19"/>
      <c r="BR270" s="34"/>
    </row>
    <row r="271" spans="59:70" x14ac:dyDescent="0.35">
      <c r="BG271" s="19"/>
      <c r="BH271" s="34"/>
      <c r="BJ271" s="19"/>
      <c r="BK271" s="34"/>
      <c r="BM271" s="19"/>
      <c r="BN271" s="34"/>
      <c r="BQ271" s="19"/>
      <c r="BR271" s="34"/>
    </row>
    <row r="272" spans="59:70" x14ac:dyDescent="0.35">
      <c r="BG272" s="19"/>
      <c r="BH272" s="34"/>
      <c r="BJ272" s="19"/>
      <c r="BK272" s="34"/>
      <c r="BM272" s="19"/>
      <c r="BN272" s="34"/>
      <c r="BQ272" s="19"/>
      <c r="BR272" s="34"/>
    </row>
    <row r="273" spans="59:70" x14ac:dyDescent="0.35">
      <c r="BG273" s="19"/>
      <c r="BH273" s="34"/>
      <c r="BJ273" s="19"/>
      <c r="BK273" s="34"/>
      <c r="BM273" s="19"/>
      <c r="BN273" s="34"/>
      <c r="BQ273" s="19"/>
      <c r="BR273" s="34"/>
    </row>
    <row r="274" spans="59:70" x14ac:dyDescent="0.35">
      <c r="BG274" s="19"/>
      <c r="BH274" s="34"/>
      <c r="BJ274" s="19"/>
      <c r="BK274" s="34"/>
      <c r="BM274" s="19"/>
      <c r="BN274" s="34"/>
      <c r="BQ274" s="19"/>
      <c r="BR274" s="34"/>
    </row>
    <row r="275" spans="59:70" x14ac:dyDescent="0.35">
      <c r="BG275" s="19"/>
      <c r="BH275" s="34"/>
      <c r="BJ275" s="19"/>
      <c r="BK275" s="34"/>
      <c r="BM275" s="19"/>
      <c r="BN275" s="34"/>
      <c r="BQ275" s="19"/>
      <c r="BR275" s="34"/>
    </row>
    <row r="276" spans="59:70" x14ac:dyDescent="0.35">
      <c r="BG276" s="19"/>
      <c r="BH276" s="34"/>
      <c r="BJ276" s="19"/>
      <c r="BK276" s="34"/>
      <c r="BM276" s="19"/>
      <c r="BN276" s="34"/>
      <c r="BQ276" s="19"/>
      <c r="BR276" s="34"/>
    </row>
    <row r="277" spans="59:70" x14ac:dyDescent="0.35">
      <c r="BG277" s="19"/>
      <c r="BH277" s="34"/>
      <c r="BJ277" s="19"/>
      <c r="BK277" s="34"/>
      <c r="BM277" s="19"/>
      <c r="BN277" s="34"/>
      <c r="BQ277" s="19"/>
      <c r="BR277" s="34"/>
    </row>
    <row r="278" spans="59:70" x14ac:dyDescent="0.35">
      <c r="BG278" s="19"/>
      <c r="BH278" s="34"/>
      <c r="BJ278" s="19"/>
      <c r="BK278" s="34"/>
      <c r="BM278" s="19"/>
      <c r="BN278" s="34"/>
      <c r="BQ278" s="19"/>
      <c r="BR278" s="34"/>
    </row>
    <row r="279" spans="59:70" x14ac:dyDescent="0.35">
      <c r="BG279" s="19"/>
      <c r="BH279" s="34"/>
      <c r="BJ279" s="19"/>
      <c r="BK279" s="34"/>
      <c r="BM279" s="19"/>
      <c r="BN279" s="34"/>
      <c r="BQ279" s="19"/>
      <c r="BR279" s="34"/>
    </row>
    <row r="280" spans="59:70" x14ac:dyDescent="0.35">
      <c r="BG280" s="19"/>
      <c r="BH280" s="34"/>
      <c r="BJ280" s="19"/>
      <c r="BK280" s="34"/>
      <c r="BM280" s="19"/>
      <c r="BN280" s="34"/>
      <c r="BQ280" s="19"/>
      <c r="BR280" s="34"/>
    </row>
    <row r="281" spans="59:70" x14ac:dyDescent="0.35">
      <c r="BG281" s="19"/>
      <c r="BH281" s="34"/>
      <c r="BJ281" s="19"/>
      <c r="BK281" s="34"/>
      <c r="BM281" s="19"/>
      <c r="BN281" s="34"/>
      <c r="BQ281" s="19"/>
      <c r="BR281" s="34"/>
    </row>
    <row r="282" spans="59:70" x14ac:dyDescent="0.35">
      <c r="BG282" s="19"/>
      <c r="BH282" s="34"/>
      <c r="BJ282" s="19"/>
      <c r="BK282" s="34"/>
      <c r="BM282" s="19"/>
      <c r="BN282" s="34"/>
      <c r="BQ282" s="19"/>
      <c r="BR282" s="34"/>
    </row>
    <row r="283" spans="59:70" x14ac:dyDescent="0.35">
      <c r="BG283" s="19"/>
      <c r="BH283" s="34"/>
      <c r="BJ283" s="19"/>
      <c r="BK283" s="34"/>
      <c r="BM283" s="19"/>
      <c r="BN283" s="34"/>
      <c r="BQ283" s="19"/>
      <c r="BR283" s="34"/>
    </row>
    <row r="284" spans="59:70" x14ac:dyDescent="0.35">
      <c r="BG284" s="19"/>
      <c r="BH284" s="34"/>
      <c r="BJ284" s="19"/>
      <c r="BK284" s="34"/>
      <c r="BM284" s="19"/>
      <c r="BN284" s="34"/>
      <c r="BQ284" s="19"/>
      <c r="BR284" s="34"/>
    </row>
    <row r="285" spans="59:70" x14ac:dyDescent="0.35">
      <c r="BG285" s="19"/>
      <c r="BH285" s="34"/>
      <c r="BJ285" s="19"/>
      <c r="BK285" s="34"/>
      <c r="BM285" s="19"/>
      <c r="BN285" s="34"/>
      <c r="BQ285" s="19"/>
      <c r="BR285" s="34"/>
    </row>
    <row r="286" spans="59:70" x14ac:dyDescent="0.35">
      <c r="BG286" s="19"/>
      <c r="BH286" s="34"/>
      <c r="BJ286" s="19"/>
      <c r="BK286" s="34"/>
      <c r="BM286" s="19"/>
      <c r="BN286" s="34"/>
      <c r="BQ286" s="19"/>
      <c r="BR286" s="34"/>
    </row>
    <row r="287" spans="59:70" x14ac:dyDescent="0.35">
      <c r="BG287" s="19"/>
      <c r="BH287" s="34"/>
      <c r="BJ287" s="19"/>
      <c r="BK287" s="34"/>
      <c r="BM287" s="19"/>
      <c r="BN287" s="34"/>
      <c r="BQ287" s="19"/>
      <c r="BR287" s="34"/>
    </row>
    <row r="288" spans="59:70" x14ac:dyDescent="0.35">
      <c r="BG288" s="19"/>
      <c r="BH288" s="34"/>
      <c r="BJ288" s="19"/>
      <c r="BK288" s="34"/>
      <c r="BM288" s="19"/>
      <c r="BN288" s="34"/>
      <c r="BQ288" s="19"/>
      <c r="BR288" s="34"/>
    </row>
    <row r="289" spans="59:70" x14ac:dyDescent="0.35">
      <c r="BG289" s="19"/>
      <c r="BH289" s="34"/>
      <c r="BJ289" s="19"/>
      <c r="BK289" s="34"/>
      <c r="BM289" s="19"/>
      <c r="BN289" s="34"/>
      <c r="BQ289" s="19"/>
      <c r="BR289" s="34"/>
    </row>
    <row r="290" spans="59:70" x14ac:dyDescent="0.35">
      <c r="BG290" s="19"/>
      <c r="BH290" s="34"/>
      <c r="BJ290" s="19"/>
      <c r="BK290" s="34"/>
      <c r="BM290" s="19"/>
      <c r="BN290" s="34"/>
      <c r="BQ290" s="19"/>
      <c r="BR290" s="34"/>
    </row>
    <row r="291" spans="59:70" x14ac:dyDescent="0.35">
      <c r="BG291" s="19"/>
      <c r="BH291" s="34"/>
      <c r="BJ291" s="19"/>
      <c r="BK291" s="34"/>
      <c r="BM291" s="19"/>
      <c r="BN291" s="34"/>
      <c r="BQ291" s="19"/>
      <c r="BR291" s="34"/>
    </row>
    <row r="292" spans="59:70" x14ac:dyDescent="0.35">
      <c r="BG292" s="19"/>
      <c r="BH292" s="34"/>
      <c r="BJ292" s="19"/>
      <c r="BK292" s="34"/>
      <c r="BM292" s="19"/>
      <c r="BN292" s="34"/>
      <c r="BQ292" s="19"/>
      <c r="BR292" s="34"/>
    </row>
    <row r="293" spans="59:70" x14ac:dyDescent="0.35">
      <c r="BG293" s="19"/>
      <c r="BH293" s="34"/>
      <c r="BJ293" s="19"/>
      <c r="BK293" s="34"/>
      <c r="BM293" s="19"/>
      <c r="BN293" s="34"/>
      <c r="BQ293" s="19"/>
      <c r="BR293" s="34"/>
    </row>
    <row r="294" spans="59:70" x14ac:dyDescent="0.35">
      <c r="BG294" s="19"/>
      <c r="BH294" s="34"/>
      <c r="BJ294" s="19"/>
      <c r="BK294" s="34"/>
      <c r="BM294" s="19"/>
      <c r="BN294" s="34"/>
      <c r="BQ294" s="19"/>
      <c r="BR294" s="34"/>
    </row>
    <row r="295" spans="59:70" x14ac:dyDescent="0.35">
      <c r="BG295" s="19"/>
      <c r="BH295" s="34"/>
      <c r="BJ295" s="19"/>
      <c r="BK295" s="34"/>
      <c r="BM295" s="19"/>
      <c r="BN295" s="34"/>
      <c r="BQ295" s="19"/>
      <c r="BR295" s="34"/>
    </row>
    <row r="296" spans="59:70" x14ac:dyDescent="0.35">
      <c r="BG296" s="19"/>
      <c r="BH296" s="34"/>
      <c r="BJ296" s="19"/>
      <c r="BK296" s="34"/>
      <c r="BM296" s="19"/>
      <c r="BN296" s="34"/>
      <c r="BQ296" s="19"/>
      <c r="BR296" s="34"/>
    </row>
    <row r="297" spans="59:70" x14ac:dyDescent="0.35">
      <c r="BG297" s="19"/>
      <c r="BH297" s="34"/>
      <c r="BJ297" s="19"/>
      <c r="BK297" s="34"/>
      <c r="BM297" s="19"/>
      <c r="BN297" s="34"/>
      <c r="BQ297" s="19"/>
      <c r="BR297" s="34"/>
    </row>
    <row r="298" spans="59:70" x14ac:dyDescent="0.35">
      <c r="BG298" s="19"/>
      <c r="BH298" s="34"/>
      <c r="BJ298" s="19"/>
      <c r="BK298" s="34"/>
      <c r="BM298" s="19"/>
      <c r="BN298" s="34"/>
      <c r="BQ298" s="19"/>
      <c r="BR298" s="34"/>
    </row>
    <row r="299" spans="59:70" x14ac:dyDescent="0.35">
      <c r="BG299" s="19"/>
      <c r="BH299" s="34"/>
      <c r="BJ299" s="19"/>
      <c r="BK299" s="34"/>
      <c r="BM299" s="19"/>
      <c r="BN299" s="34"/>
      <c r="BQ299" s="19"/>
      <c r="BR299" s="34"/>
    </row>
    <row r="300" spans="59:70" x14ac:dyDescent="0.35">
      <c r="BG300" s="19"/>
      <c r="BH300" s="34"/>
      <c r="BJ300" s="19"/>
      <c r="BK300" s="34"/>
      <c r="BM300" s="19"/>
      <c r="BN300" s="34"/>
      <c r="BQ300" s="19"/>
      <c r="BR300" s="34"/>
    </row>
    <row r="301" spans="59:70" x14ac:dyDescent="0.35">
      <c r="BG301" s="19"/>
      <c r="BH301" s="34"/>
      <c r="BJ301" s="19"/>
      <c r="BK301" s="34"/>
      <c r="BM301" s="19"/>
      <c r="BN301" s="34"/>
      <c r="BQ301" s="19"/>
      <c r="BR301" s="34"/>
    </row>
    <row r="302" spans="59:70" x14ac:dyDescent="0.35">
      <c r="BG302" s="19"/>
      <c r="BH302" s="34"/>
      <c r="BJ302" s="19"/>
      <c r="BK302" s="34"/>
      <c r="BM302" s="19"/>
      <c r="BN302" s="34"/>
      <c r="BQ302" s="19"/>
      <c r="BR302" s="34"/>
    </row>
    <row r="303" spans="59:70" x14ac:dyDescent="0.35">
      <c r="BG303" s="19"/>
      <c r="BH303" s="34"/>
      <c r="BJ303" s="19"/>
      <c r="BK303" s="34"/>
      <c r="BM303" s="19"/>
      <c r="BN303" s="34"/>
      <c r="BQ303" s="19"/>
      <c r="BR303" s="34"/>
    </row>
    <row r="304" spans="59:70" x14ac:dyDescent="0.35">
      <c r="BG304" s="19"/>
      <c r="BH304" s="34"/>
      <c r="BJ304" s="19"/>
      <c r="BK304" s="34"/>
      <c r="BM304" s="19"/>
      <c r="BN304" s="34"/>
      <c r="BQ304" s="19"/>
      <c r="BR304" s="34"/>
    </row>
    <row r="305" spans="59:70" x14ac:dyDescent="0.35">
      <c r="BG305" s="19"/>
      <c r="BH305" s="34"/>
      <c r="BJ305" s="19"/>
      <c r="BK305" s="34"/>
      <c r="BM305" s="19"/>
      <c r="BN305" s="34"/>
      <c r="BQ305" s="19"/>
      <c r="BR305" s="34"/>
    </row>
    <row r="306" spans="59:70" x14ac:dyDescent="0.35">
      <c r="BG306" s="19"/>
      <c r="BH306" s="34"/>
      <c r="BJ306" s="19"/>
      <c r="BK306" s="34"/>
      <c r="BM306" s="19"/>
      <c r="BN306" s="34"/>
      <c r="BQ306" s="19"/>
      <c r="BR306" s="34"/>
    </row>
    <row r="307" spans="59:70" x14ac:dyDescent="0.35">
      <c r="BG307" s="19"/>
      <c r="BH307" s="34"/>
      <c r="BJ307" s="19"/>
      <c r="BK307" s="34"/>
      <c r="BM307" s="19"/>
      <c r="BN307" s="34"/>
      <c r="BQ307" s="19"/>
      <c r="BR307" s="34"/>
    </row>
    <row r="308" spans="59:70" x14ac:dyDescent="0.35">
      <c r="BG308" s="19"/>
      <c r="BH308" s="34"/>
      <c r="BJ308" s="19"/>
      <c r="BK308" s="34"/>
      <c r="BM308" s="19"/>
      <c r="BN308" s="34"/>
      <c r="BQ308" s="19"/>
      <c r="BR308" s="34"/>
    </row>
    <row r="309" spans="59:70" x14ac:dyDescent="0.35">
      <c r="BG309" s="19"/>
      <c r="BH309" s="34"/>
      <c r="BJ309" s="19"/>
      <c r="BK309" s="34"/>
      <c r="BM309" s="19"/>
      <c r="BN309" s="34"/>
      <c r="BQ309" s="19"/>
      <c r="BR309" s="34"/>
    </row>
    <row r="310" spans="59:70" x14ac:dyDescent="0.35">
      <c r="BG310" s="19"/>
      <c r="BH310" s="34"/>
      <c r="BJ310" s="19"/>
      <c r="BK310" s="34"/>
      <c r="BM310" s="19"/>
      <c r="BN310" s="34"/>
      <c r="BQ310" s="19"/>
      <c r="BR310" s="34"/>
    </row>
    <row r="311" spans="59:70" x14ac:dyDescent="0.35">
      <c r="BG311" s="19"/>
      <c r="BH311" s="34"/>
      <c r="BJ311" s="19"/>
      <c r="BK311" s="34"/>
      <c r="BM311" s="19"/>
      <c r="BN311" s="34"/>
      <c r="BQ311" s="19"/>
      <c r="BR311" s="34"/>
    </row>
    <row r="312" spans="59:70" x14ac:dyDescent="0.35">
      <c r="BG312" s="19"/>
      <c r="BH312" s="34"/>
      <c r="BJ312" s="19"/>
      <c r="BK312" s="34"/>
      <c r="BM312" s="19"/>
      <c r="BN312" s="34"/>
      <c r="BQ312" s="19"/>
      <c r="BR312" s="34"/>
    </row>
    <row r="313" spans="59:70" x14ac:dyDescent="0.35">
      <c r="BG313" s="19"/>
      <c r="BH313" s="34"/>
      <c r="BJ313" s="19"/>
      <c r="BK313" s="34"/>
      <c r="BM313" s="19"/>
      <c r="BN313" s="34"/>
      <c r="BQ313" s="19"/>
      <c r="BR313" s="34"/>
    </row>
    <row r="314" spans="59:70" x14ac:dyDescent="0.35">
      <c r="BG314" s="19"/>
      <c r="BH314" s="34"/>
      <c r="BJ314" s="19"/>
      <c r="BK314" s="34"/>
      <c r="BM314" s="19"/>
      <c r="BN314" s="34"/>
      <c r="BQ314" s="19"/>
      <c r="BR314" s="34"/>
    </row>
    <row r="315" spans="59:70" x14ac:dyDescent="0.35">
      <c r="BG315" s="19"/>
      <c r="BH315" s="34"/>
      <c r="BJ315" s="19"/>
      <c r="BK315" s="34"/>
      <c r="BM315" s="19"/>
      <c r="BN315" s="34"/>
      <c r="BQ315" s="19"/>
      <c r="BR315" s="34"/>
    </row>
    <row r="316" spans="59:70" x14ac:dyDescent="0.35">
      <c r="BG316" s="19"/>
      <c r="BH316" s="34"/>
      <c r="BJ316" s="19"/>
      <c r="BK316" s="34"/>
      <c r="BM316" s="19"/>
      <c r="BN316" s="34"/>
      <c r="BQ316" s="19"/>
      <c r="BR316" s="34"/>
    </row>
    <row r="317" spans="59:70" x14ac:dyDescent="0.35">
      <c r="BG317" s="19"/>
      <c r="BH317" s="34"/>
      <c r="BJ317" s="19"/>
      <c r="BK317" s="34"/>
      <c r="BM317" s="19"/>
      <c r="BN317" s="34"/>
      <c r="BQ317" s="19"/>
      <c r="BR317" s="34"/>
    </row>
    <row r="318" spans="59:70" x14ac:dyDescent="0.35">
      <c r="BG318" s="19"/>
      <c r="BH318" s="34"/>
      <c r="BJ318" s="19"/>
      <c r="BK318" s="34"/>
      <c r="BM318" s="19"/>
      <c r="BN318" s="34"/>
      <c r="BQ318" s="19"/>
      <c r="BR318" s="34"/>
    </row>
    <row r="319" spans="59:70" x14ac:dyDescent="0.35">
      <c r="BG319" s="19"/>
      <c r="BH319" s="34"/>
      <c r="BJ319" s="19"/>
      <c r="BK319" s="34"/>
      <c r="BM319" s="19"/>
      <c r="BN319" s="34"/>
      <c r="BQ319" s="19"/>
      <c r="BR319" s="34"/>
    </row>
    <row r="320" spans="59:70" x14ac:dyDescent="0.35">
      <c r="BG320" s="19"/>
      <c r="BH320" s="34"/>
      <c r="BJ320" s="19"/>
      <c r="BK320" s="34"/>
      <c r="BM320" s="19"/>
      <c r="BN320" s="34"/>
      <c r="BQ320" s="19"/>
      <c r="BR320" s="34"/>
    </row>
    <row r="321" spans="59:70" x14ac:dyDescent="0.35">
      <c r="BG321" s="19"/>
      <c r="BH321" s="34"/>
      <c r="BJ321" s="19"/>
      <c r="BK321" s="34"/>
      <c r="BM321" s="19"/>
      <c r="BN321" s="34"/>
      <c r="BQ321" s="19"/>
      <c r="BR321" s="34"/>
    </row>
    <row r="322" spans="59:70" x14ac:dyDescent="0.35">
      <c r="BG322" s="19"/>
      <c r="BH322" s="34"/>
      <c r="BJ322" s="19"/>
      <c r="BK322" s="34"/>
      <c r="BM322" s="19"/>
      <c r="BN322" s="34"/>
      <c r="BQ322" s="19"/>
      <c r="BR322" s="34"/>
    </row>
    <row r="323" spans="59:70" x14ac:dyDescent="0.35">
      <c r="BG323" s="19"/>
      <c r="BH323" s="34"/>
      <c r="BJ323" s="19"/>
      <c r="BK323" s="34"/>
      <c r="BM323" s="19"/>
      <c r="BN323" s="34"/>
      <c r="BQ323" s="19"/>
      <c r="BR323" s="34"/>
    </row>
    <row r="324" spans="59:70" x14ac:dyDescent="0.35">
      <c r="BG324" s="19"/>
      <c r="BH324" s="34"/>
      <c r="BJ324" s="19"/>
      <c r="BK324" s="34"/>
      <c r="BM324" s="19"/>
      <c r="BN324" s="34"/>
      <c r="BQ324" s="19"/>
      <c r="BR324" s="34"/>
    </row>
    <row r="325" spans="59:70" x14ac:dyDescent="0.35">
      <c r="BG325" s="19"/>
      <c r="BH325" s="34"/>
      <c r="BJ325" s="19"/>
      <c r="BK325" s="34"/>
      <c r="BM325" s="19"/>
      <c r="BN325" s="34"/>
      <c r="BQ325" s="19"/>
      <c r="BR325" s="34"/>
    </row>
    <row r="326" spans="59:70" x14ac:dyDescent="0.35">
      <c r="BG326" s="19"/>
      <c r="BH326" s="34"/>
      <c r="BJ326" s="19"/>
      <c r="BK326" s="34"/>
      <c r="BM326" s="19"/>
      <c r="BN326" s="34"/>
      <c r="BQ326" s="19"/>
      <c r="BR326" s="34"/>
    </row>
    <row r="327" spans="59:70" x14ac:dyDescent="0.35">
      <c r="BG327" s="19"/>
      <c r="BH327" s="34"/>
      <c r="BJ327" s="19"/>
      <c r="BK327" s="34"/>
      <c r="BM327" s="19"/>
      <c r="BN327" s="34"/>
      <c r="BQ327" s="19"/>
      <c r="BR327" s="34"/>
    </row>
    <row r="328" spans="59:70" x14ac:dyDescent="0.35">
      <c r="BG328" s="19"/>
      <c r="BH328" s="34"/>
      <c r="BJ328" s="19"/>
      <c r="BK328" s="34"/>
      <c r="BM328" s="19"/>
      <c r="BN328" s="34"/>
      <c r="BQ328" s="19"/>
      <c r="BR328" s="34"/>
    </row>
    <row r="329" spans="59:70" x14ac:dyDescent="0.35">
      <c r="BG329" s="19"/>
      <c r="BH329" s="34"/>
      <c r="BJ329" s="19"/>
      <c r="BK329" s="34"/>
      <c r="BM329" s="19"/>
      <c r="BN329" s="34"/>
      <c r="BQ329" s="19"/>
      <c r="BR329" s="34"/>
    </row>
    <row r="330" spans="59:70" x14ac:dyDescent="0.35">
      <c r="BG330" s="19"/>
      <c r="BH330" s="34"/>
      <c r="BJ330" s="19"/>
      <c r="BK330" s="34"/>
      <c r="BM330" s="19"/>
      <c r="BN330" s="34"/>
      <c r="BQ330" s="19"/>
      <c r="BR330" s="34"/>
    </row>
    <row r="331" spans="59:70" x14ac:dyDescent="0.35">
      <c r="BG331" s="19"/>
      <c r="BH331" s="34"/>
      <c r="BJ331" s="19"/>
      <c r="BK331" s="34"/>
      <c r="BM331" s="19"/>
      <c r="BN331" s="34"/>
      <c r="BQ331" s="19"/>
      <c r="BR331" s="34"/>
    </row>
    <row r="332" spans="59:70" x14ac:dyDescent="0.35">
      <c r="BG332" s="19"/>
      <c r="BH332" s="34"/>
      <c r="BJ332" s="19"/>
      <c r="BK332" s="34"/>
      <c r="BM332" s="19"/>
      <c r="BN332" s="34"/>
      <c r="BQ332" s="19"/>
      <c r="BR332" s="34"/>
    </row>
    <row r="333" spans="59:70" x14ac:dyDescent="0.35">
      <c r="BG333" s="19"/>
      <c r="BH333" s="34"/>
      <c r="BJ333" s="19"/>
      <c r="BK333" s="34"/>
      <c r="BM333" s="19"/>
      <c r="BN333" s="34"/>
      <c r="BQ333" s="19"/>
      <c r="BR333" s="34"/>
    </row>
    <row r="334" spans="59:70" x14ac:dyDescent="0.35">
      <c r="BG334" s="19"/>
      <c r="BH334" s="34"/>
      <c r="BJ334" s="19"/>
      <c r="BK334" s="34"/>
      <c r="BM334" s="19"/>
      <c r="BN334" s="34"/>
      <c r="BQ334" s="19"/>
      <c r="BR334" s="34"/>
    </row>
    <row r="335" spans="59:70" x14ac:dyDescent="0.35">
      <c r="BG335" s="19"/>
      <c r="BH335" s="34"/>
      <c r="BJ335" s="19"/>
      <c r="BK335" s="34"/>
      <c r="BM335" s="19"/>
      <c r="BN335" s="34"/>
      <c r="BQ335" s="19"/>
      <c r="BR335" s="34"/>
    </row>
    <row r="336" spans="59:70" x14ac:dyDescent="0.35">
      <c r="BG336" s="19"/>
      <c r="BH336" s="34"/>
      <c r="BJ336" s="19"/>
      <c r="BK336" s="34"/>
      <c r="BM336" s="19"/>
      <c r="BN336" s="34"/>
      <c r="BQ336" s="19"/>
      <c r="BR336" s="34"/>
    </row>
    <row r="337" spans="59:70" x14ac:dyDescent="0.35">
      <c r="BG337" s="19"/>
      <c r="BH337" s="34"/>
      <c r="BJ337" s="19"/>
      <c r="BK337" s="34"/>
      <c r="BM337" s="19"/>
      <c r="BN337" s="34"/>
      <c r="BQ337" s="19"/>
      <c r="BR337" s="34"/>
    </row>
    <row r="338" spans="59:70" x14ac:dyDescent="0.35">
      <c r="BG338" s="19"/>
      <c r="BH338" s="34"/>
      <c r="BJ338" s="19"/>
      <c r="BK338" s="34"/>
      <c r="BM338" s="19"/>
      <c r="BN338" s="34"/>
      <c r="BQ338" s="19"/>
      <c r="BR338" s="34"/>
    </row>
    <row r="339" spans="59:70" x14ac:dyDescent="0.35">
      <c r="BG339" s="19"/>
      <c r="BH339" s="34"/>
      <c r="BJ339" s="19"/>
      <c r="BK339" s="34"/>
      <c r="BM339" s="19"/>
      <c r="BN339" s="34"/>
      <c r="BQ339" s="19"/>
      <c r="BR339" s="34"/>
    </row>
    <row r="340" spans="59:70" x14ac:dyDescent="0.35">
      <c r="BG340" s="19"/>
      <c r="BH340" s="34"/>
      <c r="BJ340" s="19"/>
      <c r="BK340" s="34"/>
      <c r="BM340" s="19"/>
      <c r="BN340" s="34"/>
      <c r="BQ340" s="19"/>
      <c r="BR340" s="34"/>
    </row>
    <row r="341" spans="59:70" x14ac:dyDescent="0.35">
      <c r="BG341" s="19"/>
      <c r="BH341" s="34"/>
      <c r="BJ341" s="19"/>
      <c r="BK341" s="34"/>
      <c r="BM341" s="19"/>
      <c r="BN341" s="34"/>
      <c r="BQ341" s="19"/>
      <c r="BR341" s="34"/>
    </row>
    <row r="342" spans="59:70" x14ac:dyDescent="0.35">
      <c r="BG342" s="19"/>
      <c r="BH342" s="34"/>
      <c r="BJ342" s="19"/>
      <c r="BK342" s="34"/>
      <c r="BM342" s="19"/>
      <c r="BN342" s="34"/>
      <c r="BQ342" s="19"/>
      <c r="BR342" s="34"/>
    </row>
    <row r="343" spans="59:70" x14ac:dyDescent="0.35">
      <c r="BG343" s="19"/>
      <c r="BH343" s="34"/>
      <c r="BJ343" s="19"/>
      <c r="BK343" s="34"/>
      <c r="BM343" s="19"/>
      <c r="BN343" s="34"/>
      <c r="BQ343" s="19"/>
      <c r="BR343" s="34"/>
    </row>
    <row r="344" spans="59:70" x14ac:dyDescent="0.35">
      <c r="BG344" s="19"/>
      <c r="BH344" s="34"/>
      <c r="BJ344" s="19"/>
      <c r="BK344" s="34"/>
      <c r="BM344" s="19"/>
      <c r="BN344" s="34"/>
      <c r="BQ344" s="19"/>
      <c r="BR344" s="34"/>
    </row>
    <row r="345" spans="59:70" x14ac:dyDescent="0.35">
      <c r="BG345" s="19"/>
      <c r="BH345" s="34"/>
      <c r="BJ345" s="19"/>
      <c r="BK345" s="34"/>
      <c r="BM345" s="19"/>
      <c r="BN345" s="34"/>
      <c r="BQ345" s="19"/>
      <c r="BR345" s="34"/>
    </row>
    <row r="346" spans="59:70" x14ac:dyDescent="0.35">
      <c r="BG346" s="19"/>
      <c r="BH346" s="34"/>
      <c r="BJ346" s="19"/>
      <c r="BK346" s="34"/>
      <c r="BM346" s="19"/>
      <c r="BN346" s="34"/>
      <c r="BQ346" s="19"/>
      <c r="BR346" s="34"/>
    </row>
    <row r="347" spans="59:70" x14ac:dyDescent="0.35">
      <c r="BG347" s="19"/>
      <c r="BH347" s="34"/>
      <c r="BJ347" s="19"/>
      <c r="BK347" s="34"/>
      <c r="BM347" s="19"/>
      <c r="BN347" s="34"/>
      <c r="BQ347" s="19"/>
      <c r="BR347" s="34"/>
    </row>
    <row r="348" spans="59:70" x14ac:dyDescent="0.35">
      <c r="BG348" s="19"/>
      <c r="BH348" s="34"/>
      <c r="BJ348" s="19"/>
      <c r="BK348" s="34"/>
      <c r="BM348" s="19"/>
      <c r="BN348" s="34"/>
      <c r="BQ348" s="19"/>
      <c r="BR348" s="34"/>
    </row>
    <row r="349" spans="59:70" x14ac:dyDescent="0.35">
      <c r="BG349" s="19"/>
      <c r="BH349" s="34"/>
      <c r="BJ349" s="19"/>
      <c r="BK349" s="34"/>
      <c r="BM349" s="19"/>
      <c r="BN349" s="34"/>
      <c r="BQ349" s="19"/>
      <c r="BR349" s="34"/>
    </row>
    <row r="350" spans="59:70" x14ac:dyDescent="0.35">
      <c r="BG350" s="19"/>
      <c r="BH350" s="34"/>
      <c r="BJ350" s="19"/>
      <c r="BK350" s="34"/>
      <c r="BM350" s="19"/>
      <c r="BN350" s="34"/>
      <c r="BQ350" s="19"/>
      <c r="BR350" s="34"/>
    </row>
    <row r="351" spans="59:70" x14ac:dyDescent="0.35">
      <c r="BG351" s="19"/>
      <c r="BH351" s="34"/>
      <c r="BJ351" s="19"/>
      <c r="BK351" s="34"/>
      <c r="BM351" s="19"/>
      <c r="BN351" s="34"/>
      <c r="BQ351" s="19"/>
      <c r="BR351" s="34"/>
    </row>
    <row r="352" spans="59:70" x14ac:dyDescent="0.35">
      <c r="BG352" s="19"/>
      <c r="BH352" s="34"/>
      <c r="BJ352" s="19"/>
      <c r="BK352" s="34"/>
      <c r="BM352" s="19"/>
      <c r="BN352" s="34"/>
      <c r="BQ352" s="19"/>
      <c r="BR352" s="34"/>
    </row>
    <row r="353" spans="59:70" x14ac:dyDescent="0.35">
      <c r="BG353" s="19"/>
      <c r="BH353" s="34"/>
      <c r="BJ353" s="19"/>
      <c r="BK353" s="34"/>
      <c r="BM353" s="19"/>
      <c r="BN353" s="34"/>
      <c r="BQ353" s="19"/>
      <c r="BR353" s="34"/>
    </row>
    <row r="354" spans="59:70" x14ac:dyDescent="0.35">
      <c r="BG354" s="19"/>
      <c r="BH354" s="34"/>
      <c r="BJ354" s="19"/>
      <c r="BK354" s="34"/>
      <c r="BM354" s="19"/>
      <c r="BN354" s="34"/>
      <c r="BQ354" s="19"/>
      <c r="BR354" s="34"/>
    </row>
    <row r="355" spans="59:70" x14ac:dyDescent="0.35">
      <c r="BG355" s="19"/>
      <c r="BH355" s="34"/>
      <c r="BJ355" s="19"/>
      <c r="BK355" s="34"/>
      <c r="BM355" s="19"/>
      <c r="BN355" s="34"/>
      <c r="BQ355" s="19"/>
      <c r="BR355" s="34"/>
    </row>
    <row r="356" spans="59:70" x14ac:dyDescent="0.35">
      <c r="BG356" s="19"/>
      <c r="BH356" s="34"/>
      <c r="BJ356" s="19"/>
      <c r="BK356" s="34"/>
      <c r="BM356" s="19"/>
      <c r="BN356" s="34"/>
      <c r="BQ356" s="19"/>
      <c r="BR356" s="34"/>
    </row>
    <row r="357" spans="59:70" x14ac:dyDescent="0.35">
      <c r="BG357" s="19"/>
      <c r="BH357" s="34"/>
      <c r="BJ357" s="19"/>
      <c r="BK357" s="34"/>
      <c r="BM357" s="19"/>
      <c r="BN357" s="34"/>
      <c r="BQ357" s="19"/>
      <c r="BR357" s="34"/>
    </row>
    <row r="358" spans="59:70" x14ac:dyDescent="0.35">
      <c r="BG358" s="19"/>
      <c r="BH358" s="34"/>
      <c r="BJ358" s="19"/>
      <c r="BK358" s="34"/>
      <c r="BM358" s="19"/>
      <c r="BN358" s="34"/>
      <c r="BQ358" s="19"/>
      <c r="BR358" s="34"/>
    </row>
    <row r="359" spans="59:70" x14ac:dyDescent="0.35">
      <c r="BG359" s="19"/>
      <c r="BH359" s="34"/>
      <c r="BJ359" s="19"/>
      <c r="BK359" s="34"/>
      <c r="BM359" s="19"/>
      <c r="BN359" s="34"/>
      <c r="BQ359" s="19"/>
      <c r="BR359" s="34"/>
    </row>
    <row r="360" spans="59:70" x14ac:dyDescent="0.35">
      <c r="BG360" s="19"/>
      <c r="BH360" s="34"/>
      <c r="BJ360" s="19"/>
      <c r="BK360" s="34"/>
      <c r="BM360" s="19"/>
      <c r="BN360" s="34"/>
      <c r="BQ360" s="19"/>
      <c r="BR360" s="34"/>
    </row>
    <row r="361" spans="59:70" x14ac:dyDescent="0.35">
      <c r="BG361" s="19"/>
      <c r="BH361" s="34"/>
      <c r="BJ361" s="19"/>
      <c r="BK361" s="34"/>
      <c r="BM361" s="19"/>
      <c r="BN361" s="34"/>
      <c r="BQ361" s="19"/>
      <c r="BR361" s="34"/>
    </row>
    <row r="362" spans="59:70" x14ac:dyDescent="0.35">
      <c r="BG362" s="19"/>
      <c r="BH362" s="34"/>
      <c r="BJ362" s="19"/>
      <c r="BK362" s="34"/>
      <c r="BM362" s="19"/>
      <c r="BN362" s="34"/>
      <c r="BQ362" s="19"/>
      <c r="BR362" s="34"/>
    </row>
    <row r="363" spans="59:70" x14ac:dyDescent="0.35">
      <c r="BG363" s="19"/>
      <c r="BH363" s="34"/>
      <c r="BJ363" s="19"/>
      <c r="BK363" s="34"/>
      <c r="BM363" s="19"/>
      <c r="BN363" s="34"/>
      <c r="BQ363" s="19"/>
      <c r="BR363" s="34"/>
    </row>
    <row r="364" spans="59:70" x14ac:dyDescent="0.35">
      <c r="BG364" s="19"/>
      <c r="BH364" s="34"/>
      <c r="BJ364" s="19"/>
      <c r="BK364" s="34"/>
      <c r="BM364" s="19"/>
      <c r="BN364" s="34"/>
      <c r="BQ364" s="19"/>
      <c r="BR364" s="34"/>
    </row>
    <row r="365" spans="59:70" x14ac:dyDescent="0.35">
      <c r="BG365" s="19"/>
      <c r="BH365" s="34"/>
      <c r="BJ365" s="19"/>
      <c r="BK365" s="34"/>
      <c r="BM365" s="19"/>
      <c r="BN365" s="34"/>
      <c r="BQ365" s="19"/>
      <c r="BR365" s="34"/>
    </row>
    <row r="366" spans="59:70" x14ac:dyDescent="0.35">
      <c r="BG366" s="19"/>
      <c r="BH366" s="34"/>
      <c r="BJ366" s="19"/>
      <c r="BK366" s="34"/>
      <c r="BM366" s="19"/>
      <c r="BN366" s="34"/>
      <c r="BQ366" s="19"/>
      <c r="BR366" s="34"/>
    </row>
    <row r="367" spans="59:70" x14ac:dyDescent="0.35">
      <c r="BG367" s="19"/>
      <c r="BH367" s="34"/>
      <c r="BJ367" s="19"/>
      <c r="BK367" s="34"/>
      <c r="BM367" s="19"/>
      <c r="BN367" s="34"/>
      <c r="BQ367" s="19"/>
      <c r="BR367" s="34"/>
    </row>
    <row r="368" spans="59:70" x14ac:dyDescent="0.35">
      <c r="BG368" s="19"/>
      <c r="BH368" s="34"/>
      <c r="BJ368" s="19"/>
      <c r="BK368" s="34"/>
      <c r="BM368" s="19"/>
      <c r="BN368" s="34"/>
      <c r="BQ368" s="19"/>
      <c r="BR368" s="34"/>
    </row>
    <row r="369" spans="59:70" x14ac:dyDescent="0.35">
      <c r="BG369" s="19"/>
      <c r="BH369" s="34"/>
      <c r="BJ369" s="19"/>
      <c r="BK369" s="34"/>
      <c r="BM369" s="19"/>
      <c r="BN369" s="34"/>
      <c r="BQ369" s="19"/>
      <c r="BR369" s="34"/>
    </row>
    <row r="370" spans="59:70" x14ac:dyDescent="0.35">
      <c r="BG370" s="19"/>
      <c r="BH370" s="34"/>
      <c r="BJ370" s="19"/>
      <c r="BK370" s="34"/>
      <c r="BM370" s="19"/>
      <c r="BN370" s="34"/>
      <c r="BQ370" s="19"/>
      <c r="BR370" s="34"/>
    </row>
    <row r="371" spans="59:70" x14ac:dyDescent="0.35">
      <c r="BG371" s="19"/>
      <c r="BH371" s="34"/>
      <c r="BJ371" s="19"/>
      <c r="BK371" s="34"/>
      <c r="BM371" s="19"/>
      <c r="BN371" s="34"/>
      <c r="BQ371" s="19"/>
      <c r="BR371" s="34"/>
    </row>
    <row r="372" spans="59:70" x14ac:dyDescent="0.35">
      <c r="BG372" s="19"/>
      <c r="BH372" s="34"/>
      <c r="BJ372" s="19"/>
      <c r="BK372" s="34"/>
      <c r="BM372" s="19"/>
      <c r="BN372" s="34"/>
      <c r="BQ372" s="19"/>
      <c r="BR372" s="34"/>
    </row>
    <row r="373" spans="59:70" x14ac:dyDescent="0.35">
      <c r="BG373" s="19"/>
      <c r="BH373" s="34"/>
      <c r="BJ373" s="19"/>
      <c r="BK373" s="34"/>
      <c r="BM373" s="19"/>
      <c r="BN373" s="34"/>
      <c r="BQ373" s="19"/>
      <c r="BR373" s="34"/>
    </row>
    <row r="374" spans="59:70" x14ac:dyDescent="0.35">
      <c r="BG374" s="19"/>
      <c r="BH374" s="34"/>
      <c r="BJ374" s="19"/>
      <c r="BK374" s="34"/>
      <c r="BM374" s="19"/>
      <c r="BN374" s="34"/>
      <c r="BQ374" s="19"/>
      <c r="BR374" s="34"/>
    </row>
    <row r="375" spans="59:70" x14ac:dyDescent="0.35">
      <c r="BG375" s="19"/>
      <c r="BH375" s="34"/>
      <c r="BJ375" s="19"/>
      <c r="BK375" s="34"/>
      <c r="BM375" s="19"/>
      <c r="BN375" s="34"/>
      <c r="BQ375" s="19"/>
      <c r="BR375" s="34"/>
    </row>
    <row r="376" spans="59:70" x14ac:dyDescent="0.35">
      <c r="BG376" s="19"/>
      <c r="BH376" s="34"/>
      <c r="BJ376" s="19"/>
      <c r="BK376" s="34"/>
      <c r="BM376" s="19"/>
      <c r="BN376" s="34"/>
      <c r="BQ376" s="19"/>
      <c r="BR376" s="34"/>
    </row>
    <row r="377" spans="59:70" x14ac:dyDescent="0.35">
      <c r="BG377" s="19"/>
      <c r="BH377" s="34"/>
      <c r="BJ377" s="19"/>
      <c r="BK377" s="34"/>
      <c r="BM377" s="19"/>
      <c r="BN377" s="34"/>
      <c r="BQ377" s="19"/>
      <c r="BR377" s="34"/>
    </row>
    <row r="378" spans="59:70" x14ac:dyDescent="0.35">
      <c r="BG378" s="19"/>
      <c r="BH378" s="34"/>
      <c r="BJ378" s="19"/>
      <c r="BK378" s="34"/>
      <c r="BM378" s="19"/>
      <c r="BN378" s="34"/>
      <c r="BQ378" s="19"/>
      <c r="BR378" s="34"/>
    </row>
    <row r="379" spans="59:70" x14ac:dyDescent="0.35">
      <c r="BG379" s="19"/>
      <c r="BH379" s="34"/>
      <c r="BJ379" s="19"/>
      <c r="BK379" s="34"/>
      <c r="BM379" s="19"/>
      <c r="BN379" s="34"/>
      <c r="BQ379" s="19"/>
      <c r="BR379" s="34"/>
    </row>
    <row r="380" spans="59:70" x14ac:dyDescent="0.35">
      <c r="BG380" s="19"/>
      <c r="BH380" s="34"/>
      <c r="BJ380" s="19"/>
      <c r="BK380" s="34"/>
      <c r="BM380" s="19"/>
      <c r="BN380" s="34"/>
      <c r="BQ380" s="19"/>
      <c r="BR380" s="34"/>
    </row>
    <row r="381" spans="59:70" x14ac:dyDescent="0.35">
      <c r="BG381" s="19"/>
      <c r="BH381" s="34"/>
      <c r="BJ381" s="19"/>
      <c r="BK381" s="34"/>
      <c r="BM381" s="19"/>
      <c r="BN381" s="34"/>
      <c r="BQ381" s="19"/>
      <c r="BR381" s="34"/>
    </row>
    <row r="382" spans="59:70" x14ac:dyDescent="0.35">
      <c r="BG382" s="19"/>
      <c r="BH382" s="34"/>
      <c r="BJ382" s="19"/>
      <c r="BK382" s="34"/>
      <c r="BM382" s="19"/>
      <c r="BN382" s="34"/>
      <c r="BQ382" s="19"/>
      <c r="BR382" s="34"/>
    </row>
    <row r="383" spans="59:70" x14ac:dyDescent="0.35">
      <c r="BG383" s="19"/>
      <c r="BH383" s="34"/>
      <c r="BJ383" s="19"/>
      <c r="BK383" s="34"/>
      <c r="BM383" s="19"/>
      <c r="BN383" s="34"/>
      <c r="BQ383" s="19"/>
      <c r="BR383" s="34"/>
    </row>
    <row r="384" spans="59:70" x14ac:dyDescent="0.35">
      <c r="BG384" s="19"/>
      <c r="BH384" s="34"/>
      <c r="BJ384" s="19"/>
      <c r="BK384" s="34"/>
      <c r="BM384" s="19"/>
      <c r="BN384" s="34"/>
      <c r="BQ384" s="19"/>
      <c r="BR384" s="34"/>
    </row>
    <row r="385" spans="59:70" x14ac:dyDescent="0.35">
      <c r="BG385" s="19"/>
      <c r="BH385" s="34"/>
      <c r="BJ385" s="19"/>
      <c r="BK385" s="34"/>
      <c r="BM385" s="19"/>
      <c r="BN385" s="34"/>
      <c r="BQ385" s="19"/>
      <c r="BR385" s="34"/>
    </row>
    <row r="386" spans="59:70" x14ac:dyDescent="0.35">
      <c r="BG386" s="19"/>
      <c r="BH386" s="34"/>
      <c r="BJ386" s="19"/>
      <c r="BK386" s="34"/>
      <c r="BM386" s="19"/>
      <c r="BN386" s="34"/>
      <c r="BQ386" s="19"/>
      <c r="BR386" s="34"/>
    </row>
    <row r="387" spans="59:70" x14ac:dyDescent="0.35">
      <c r="BG387" s="19"/>
      <c r="BH387" s="34"/>
      <c r="BJ387" s="19"/>
      <c r="BK387" s="34"/>
      <c r="BM387" s="19"/>
      <c r="BN387" s="34"/>
      <c r="BQ387" s="19"/>
      <c r="BR387" s="34"/>
    </row>
    <row r="388" spans="59:70" x14ac:dyDescent="0.35">
      <c r="BG388" s="19"/>
      <c r="BH388" s="34"/>
      <c r="BJ388" s="19"/>
      <c r="BK388" s="34"/>
      <c r="BM388" s="19"/>
      <c r="BN388" s="34"/>
      <c r="BQ388" s="19"/>
      <c r="BR388" s="34"/>
    </row>
    <row r="389" spans="59:70" x14ac:dyDescent="0.35">
      <c r="BG389" s="19"/>
      <c r="BH389" s="34"/>
      <c r="BJ389" s="19"/>
      <c r="BK389" s="34"/>
      <c r="BM389" s="19"/>
      <c r="BN389" s="34"/>
      <c r="BQ389" s="19"/>
      <c r="BR389" s="34"/>
    </row>
    <row r="390" spans="59:70" x14ac:dyDescent="0.35">
      <c r="BG390" s="19"/>
      <c r="BH390" s="34"/>
      <c r="BJ390" s="19"/>
      <c r="BK390" s="34"/>
      <c r="BM390" s="19"/>
      <c r="BN390" s="34"/>
      <c r="BQ390" s="19"/>
      <c r="BR390" s="34"/>
    </row>
    <row r="391" spans="59:70" x14ac:dyDescent="0.35">
      <c r="BG391" s="19"/>
      <c r="BH391" s="34"/>
      <c r="BJ391" s="19"/>
      <c r="BK391" s="34"/>
      <c r="BM391" s="19"/>
      <c r="BN391" s="34"/>
      <c r="BQ391" s="19"/>
      <c r="BR391" s="34"/>
    </row>
    <row r="392" spans="59:70" x14ac:dyDescent="0.35">
      <c r="BG392" s="19"/>
      <c r="BH392" s="34"/>
      <c r="BJ392" s="19"/>
      <c r="BK392" s="34"/>
      <c r="BM392" s="19"/>
      <c r="BN392" s="34"/>
      <c r="BQ392" s="19"/>
      <c r="BR392" s="34"/>
    </row>
    <row r="393" spans="59:70" x14ac:dyDescent="0.35">
      <c r="BG393" s="19"/>
      <c r="BH393" s="34"/>
      <c r="BJ393" s="19"/>
      <c r="BK393" s="34"/>
      <c r="BM393" s="19"/>
      <c r="BN393" s="34"/>
      <c r="BQ393" s="19"/>
      <c r="BR393" s="34"/>
    </row>
    <row r="394" spans="59:70" x14ac:dyDescent="0.35">
      <c r="BG394" s="19"/>
      <c r="BH394" s="34"/>
      <c r="BJ394" s="19"/>
      <c r="BK394" s="34"/>
      <c r="BM394" s="19"/>
      <c r="BN394" s="34"/>
      <c r="BQ394" s="19"/>
      <c r="BR394" s="34"/>
    </row>
    <row r="395" spans="59:70" x14ac:dyDescent="0.35">
      <c r="BG395" s="19"/>
      <c r="BH395" s="34"/>
      <c r="BJ395" s="19"/>
      <c r="BK395" s="34"/>
      <c r="BM395" s="19"/>
      <c r="BN395" s="34"/>
      <c r="BQ395" s="19"/>
      <c r="BR395" s="34"/>
    </row>
    <row r="396" spans="59:70" x14ac:dyDescent="0.35">
      <c r="BG396" s="19"/>
      <c r="BH396" s="34"/>
      <c r="BJ396" s="19"/>
      <c r="BK396" s="34"/>
      <c r="BM396" s="19"/>
      <c r="BN396" s="34"/>
      <c r="BQ396" s="19"/>
      <c r="BR396" s="34"/>
    </row>
    <row r="397" spans="59:70" x14ac:dyDescent="0.35">
      <c r="BG397" s="19"/>
      <c r="BH397" s="34"/>
      <c r="BJ397" s="19"/>
      <c r="BK397" s="34"/>
      <c r="BM397" s="19"/>
      <c r="BN397" s="34"/>
      <c r="BQ397" s="19"/>
      <c r="BR397" s="34"/>
    </row>
    <row r="398" spans="59:70" x14ac:dyDescent="0.35">
      <c r="BG398" s="19"/>
      <c r="BH398" s="34"/>
      <c r="BJ398" s="19"/>
      <c r="BK398" s="34"/>
      <c r="BM398" s="19"/>
      <c r="BN398" s="34"/>
      <c r="BQ398" s="19"/>
      <c r="BR398" s="34"/>
    </row>
    <row r="399" spans="59:70" x14ac:dyDescent="0.35">
      <c r="BG399" s="19"/>
      <c r="BH399" s="34"/>
      <c r="BJ399" s="19"/>
      <c r="BK399" s="34"/>
      <c r="BM399" s="19"/>
      <c r="BN399" s="34"/>
      <c r="BQ399" s="19"/>
      <c r="BR399" s="34"/>
    </row>
    <row r="400" spans="59:70" x14ac:dyDescent="0.35">
      <c r="BG400" s="19"/>
      <c r="BH400" s="34"/>
      <c r="BJ400" s="19"/>
      <c r="BK400" s="34"/>
      <c r="BM400" s="19"/>
      <c r="BN400" s="34"/>
      <c r="BQ400" s="19"/>
      <c r="BR400" s="34"/>
    </row>
    <row r="401" spans="59:70" x14ac:dyDescent="0.35">
      <c r="BG401" s="19"/>
      <c r="BH401" s="34"/>
      <c r="BJ401" s="19"/>
      <c r="BK401" s="34"/>
      <c r="BM401" s="19"/>
      <c r="BN401" s="34"/>
      <c r="BQ401" s="19"/>
      <c r="BR401" s="34"/>
    </row>
    <row r="402" spans="59:70" x14ac:dyDescent="0.35">
      <c r="BG402" s="19"/>
      <c r="BH402" s="34"/>
      <c r="BJ402" s="19"/>
      <c r="BK402" s="34"/>
      <c r="BM402" s="19"/>
      <c r="BN402" s="34"/>
      <c r="BQ402" s="19"/>
      <c r="BR402" s="34"/>
    </row>
    <row r="403" spans="59:70" x14ac:dyDescent="0.35">
      <c r="BG403" s="19"/>
      <c r="BH403" s="34"/>
      <c r="BJ403" s="19"/>
      <c r="BK403" s="34"/>
      <c r="BM403" s="19"/>
      <c r="BN403" s="34"/>
      <c r="BQ403" s="19"/>
      <c r="BR403" s="34"/>
    </row>
    <row r="404" spans="59:70" x14ac:dyDescent="0.35">
      <c r="BG404" s="19"/>
      <c r="BH404" s="34"/>
      <c r="BJ404" s="19"/>
      <c r="BK404" s="34"/>
      <c r="BM404" s="19"/>
      <c r="BN404" s="34"/>
      <c r="BQ404" s="19"/>
      <c r="BR404" s="34"/>
    </row>
    <row r="405" spans="59:70" x14ac:dyDescent="0.35">
      <c r="BG405" s="19"/>
      <c r="BH405" s="34"/>
      <c r="BJ405" s="19"/>
      <c r="BK405" s="34"/>
      <c r="BM405" s="19"/>
      <c r="BN405" s="34"/>
      <c r="BQ405" s="19"/>
      <c r="BR405" s="34"/>
    </row>
    <row r="406" spans="59:70" x14ac:dyDescent="0.35">
      <c r="BG406" s="19"/>
      <c r="BH406" s="34"/>
      <c r="BJ406" s="19"/>
      <c r="BK406" s="34"/>
      <c r="BM406" s="19"/>
      <c r="BN406" s="34"/>
      <c r="BQ406" s="19"/>
      <c r="BR406" s="34"/>
    </row>
    <row r="407" spans="59:70" x14ac:dyDescent="0.35">
      <c r="BG407" s="19"/>
      <c r="BH407" s="34"/>
      <c r="BJ407" s="19"/>
      <c r="BK407" s="34"/>
      <c r="BM407" s="19"/>
      <c r="BN407" s="34"/>
      <c r="BQ407" s="19"/>
      <c r="BR407" s="34"/>
    </row>
    <row r="408" spans="59:70" x14ac:dyDescent="0.35">
      <c r="BG408" s="19"/>
      <c r="BH408" s="34"/>
      <c r="BJ408" s="19"/>
      <c r="BK408" s="34"/>
      <c r="BM408" s="19"/>
      <c r="BN408" s="34"/>
      <c r="BQ408" s="19"/>
      <c r="BR408" s="34"/>
    </row>
    <row r="409" spans="59:70" x14ac:dyDescent="0.35">
      <c r="BG409" s="19"/>
      <c r="BH409" s="34"/>
      <c r="BJ409" s="19"/>
      <c r="BK409" s="34"/>
      <c r="BM409" s="19"/>
      <c r="BN409" s="34"/>
      <c r="BQ409" s="19"/>
      <c r="BR409" s="34"/>
    </row>
    <row r="410" spans="59:70" x14ac:dyDescent="0.35">
      <c r="BG410" s="19"/>
      <c r="BH410" s="34"/>
      <c r="BJ410" s="19"/>
      <c r="BK410" s="34"/>
      <c r="BM410" s="19"/>
      <c r="BN410" s="34"/>
      <c r="BQ410" s="19"/>
      <c r="BR410" s="34"/>
    </row>
    <row r="411" spans="59:70" x14ac:dyDescent="0.35">
      <c r="BG411" s="19"/>
      <c r="BH411" s="34"/>
      <c r="BJ411" s="19"/>
      <c r="BK411" s="34"/>
      <c r="BM411" s="19"/>
      <c r="BN411" s="34"/>
      <c r="BQ411" s="19"/>
      <c r="BR411" s="34"/>
    </row>
    <row r="412" spans="59:70" x14ac:dyDescent="0.35">
      <c r="BG412" s="19"/>
      <c r="BH412" s="34"/>
      <c r="BJ412" s="19"/>
      <c r="BK412" s="34"/>
      <c r="BM412" s="19"/>
      <c r="BN412" s="34"/>
      <c r="BQ412" s="19"/>
      <c r="BR412" s="34"/>
    </row>
    <row r="413" spans="59:70" x14ac:dyDescent="0.35">
      <c r="BG413" s="19"/>
      <c r="BH413" s="34"/>
      <c r="BJ413" s="19"/>
      <c r="BK413" s="34"/>
      <c r="BM413" s="19"/>
      <c r="BN413" s="34"/>
      <c r="BQ413" s="19"/>
      <c r="BR413" s="34"/>
    </row>
    <row r="414" spans="59:70" x14ac:dyDescent="0.35">
      <c r="BG414" s="19"/>
      <c r="BH414" s="34"/>
      <c r="BJ414" s="19"/>
      <c r="BK414" s="34"/>
      <c r="BM414" s="19"/>
      <c r="BN414" s="34"/>
      <c r="BQ414" s="19"/>
      <c r="BR414" s="34"/>
    </row>
    <row r="415" spans="59:70" x14ac:dyDescent="0.35">
      <c r="BG415" s="19"/>
      <c r="BH415" s="34"/>
      <c r="BJ415" s="19"/>
      <c r="BK415" s="34"/>
      <c r="BM415" s="19"/>
      <c r="BN415" s="34"/>
      <c r="BQ415" s="19"/>
      <c r="BR415" s="34"/>
    </row>
    <row r="416" spans="59:70" x14ac:dyDescent="0.35">
      <c r="BG416" s="19"/>
      <c r="BH416" s="34"/>
      <c r="BJ416" s="19"/>
      <c r="BK416" s="34"/>
      <c r="BM416" s="19"/>
      <c r="BN416" s="34"/>
      <c r="BQ416" s="19"/>
      <c r="BR416" s="34"/>
    </row>
    <row r="417" spans="59:70" x14ac:dyDescent="0.35">
      <c r="BG417" s="19"/>
      <c r="BH417" s="34"/>
      <c r="BJ417" s="19"/>
      <c r="BK417" s="34"/>
      <c r="BM417" s="19"/>
      <c r="BN417" s="34"/>
      <c r="BQ417" s="19"/>
      <c r="BR417" s="34"/>
    </row>
    <row r="418" spans="59:70" x14ac:dyDescent="0.35">
      <c r="BG418" s="19"/>
      <c r="BH418" s="34"/>
      <c r="BJ418" s="19"/>
      <c r="BK418" s="34"/>
      <c r="BM418" s="19"/>
      <c r="BN418" s="34"/>
      <c r="BQ418" s="19"/>
      <c r="BR418" s="34"/>
    </row>
    <row r="419" spans="59:70" x14ac:dyDescent="0.35">
      <c r="BG419" s="19"/>
      <c r="BH419" s="34"/>
      <c r="BJ419" s="19"/>
      <c r="BK419" s="34"/>
      <c r="BM419" s="19"/>
      <c r="BN419" s="34"/>
      <c r="BQ419" s="19"/>
      <c r="BR419" s="34"/>
    </row>
    <row r="420" spans="59:70" x14ac:dyDescent="0.35">
      <c r="BG420" s="19"/>
      <c r="BH420" s="34"/>
      <c r="BJ420" s="19"/>
      <c r="BK420" s="34"/>
      <c r="BM420" s="19"/>
      <c r="BN420" s="34"/>
      <c r="BQ420" s="19"/>
      <c r="BR420" s="34"/>
    </row>
    <row r="421" spans="59:70" x14ac:dyDescent="0.35">
      <c r="BG421" s="19"/>
      <c r="BH421" s="34"/>
      <c r="BJ421" s="19"/>
      <c r="BK421" s="34"/>
      <c r="BM421" s="19"/>
      <c r="BN421" s="34"/>
      <c r="BQ421" s="19"/>
      <c r="BR421" s="34"/>
    </row>
    <row r="422" spans="59:70" x14ac:dyDescent="0.35">
      <c r="BG422" s="19"/>
      <c r="BH422" s="34"/>
      <c r="BJ422" s="19"/>
      <c r="BK422" s="34"/>
      <c r="BM422" s="19"/>
      <c r="BN422" s="34"/>
      <c r="BQ422" s="19"/>
      <c r="BR422" s="34"/>
    </row>
    <row r="423" spans="59:70" x14ac:dyDescent="0.35">
      <c r="BG423" s="19"/>
      <c r="BH423" s="34"/>
      <c r="BJ423" s="19"/>
      <c r="BK423" s="34"/>
      <c r="BM423" s="19"/>
      <c r="BN423" s="34"/>
      <c r="BQ423" s="19"/>
      <c r="BR423" s="34"/>
    </row>
    <row r="424" spans="59:70" x14ac:dyDescent="0.35">
      <c r="BG424" s="19"/>
      <c r="BH424" s="34"/>
      <c r="BJ424" s="19"/>
      <c r="BK424" s="34"/>
      <c r="BM424" s="19"/>
      <c r="BN424" s="34"/>
      <c r="BQ424" s="19"/>
      <c r="BR424" s="34"/>
    </row>
    <row r="425" spans="59:70" x14ac:dyDescent="0.35">
      <c r="BG425" s="19"/>
      <c r="BH425" s="34"/>
      <c r="BJ425" s="19"/>
      <c r="BK425" s="34"/>
      <c r="BM425" s="19"/>
      <c r="BN425" s="34"/>
      <c r="BQ425" s="19"/>
      <c r="BR425" s="34"/>
    </row>
    <row r="426" spans="59:70" x14ac:dyDescent="0.35">
      <c r="BG426" s="19"/>
      <c r="BH426" s="34"/>
      <c r="BJ426" s="19"/>
      <c r="BK426" s="34"/>
      <c r="BM426" s="19"/>
      <c r="BN426" s="34"/>
      <c r="BQ426" s="19"/>
      <c r="BR426" s="34"/>
    </row>
    <row r="427" spans="59:70" x14ac:dyDescent="0.35">
      <c r="BG427" s="19"/>
      <c r="BH427" s="34"/>
      <c r="BJ427" s="19"/>
      <c r="BK427" s="34"/>
      <c r="BM427" s="19"/>
      <c r="BN427" s="34"/>
      <c r="BQ427" s="19"/>
      <c r="BR427" s="34"/>
    </row>
    <row r="428" spans="59:70" x14ac:dyDescent="0.35">
      <c r="BG428" s="19"/>
      <c r="BH428" s="34"/>
      <c r="BJ428" s="19"/>
      <c r="BK428" s="34"/>
      <c r="BM428" s="19"/>
      <c r="BN428" s="34"/>
      <c r="BQ428" s="19"/>
      <c r="BR428" s="34"/>
    </row>
    <row r="429" spans="59:70" x14ac:dyDescent="0.35">
      <c r="BG429" s="19"/>
      <c r="BH429" s="34"/>
      <c r="BJ429" s="19"/>
      <c r="BK429" s="34"/>
      <c r="BM429" s="19"/>
      <c r="BN429" s="34"/>
      <c r="BQ429" s="19"/>
      <c r="BR429" s="34"/>
    </row>
    <row r="430" spans="59:70" x14ac:dyDescent="0.35">
      <c r="BG430" s="19"/>
      <c r="BH430" s="34"/>
      <c r="BJ430" s="19"/>
      <c r="BK430" s="34"/>
      <c r="BM430" s="19"/>
      <c r="BN430" s="34"/>
      <c r="BQ430" s="19"/>
      <c r="BR430" s="34"/>
    </row>
    <row r="431" spans="59:70" x14ac:dyDescent="0.35">
      <c r="BG431" s="19"/>
      <c r="BH431" s="34"/>
      <c r="BJ431" s="19"/>
      <c r="BK431" s="34"/>
      <c r="BM431" s="19"/>
      <c r="BN431" s="34"/>
      <c r="BQ431" s="19"/>
      <c r="BR431" s="34"/>
    </row>
    <row r="432" spans="59:70" x14ac:dyDescent="0.35">
      <c r="BG432" s="19"/>
      <c r="BH432" s="34"/>
      <c r="BJ432" s="19"/>
      <c r="BK432" s="34"/>
      <c r="BM432" s="19"/>
      <c r="BN432" s="34"/>
      <c r="BQ432" s="19"/>
      <c r="BR432" s="34"/>
    </row>
    <row r="433" spans="59:70" x14ac:dyDescent="0.35">
      <c r="BG433" s="19"/>
      <c r="BH433" s="34"/>
      <c r="BJ433" s="19"/>
      <c r="BK433" s="34"/>
      <c r="BM433" s="19"/>
      <c r="BN433" s="34"/>
      <c r="BQ433" s="19"/>
      <c r="BR433" s="34"/>
    </row>
    <row r="434" spans="59:70" x14ac:dyDescent="0.35">
      <c r="BG434" s="19"/>
      <c r="BH434" s="34"/>
      <c r="BJ434" s="19"/>
      <c r="BK434" s="34"/>
      <c r="BM434" s="19"/>
      <c r="BN434" s="34"/>
      <c r="BQ434" s="19"/>
      <c r="BR434" s="34"/>
    </row>
    <row r="435" spans="59:70" x14ac:dyDescent="0.35">
      <c r="BG435" s="19"/>
      <c r="BH435" s="34"/>
      <c r="BJ435" s="19"/>
      <c r="BK435" s="34"/>
      <c r="BM435" s="19"/>
      <c r="BN435" s="34"/>
      <c r="BQ435" s="19"/>
      <c r="BR435" s="34"/>
    </row>
    <row r="436" spans="59:70" x14ac:dyDescent="0.35">
      <c r="BG436" s="19"/>
      <c r="BH436" s="34"/>
      <c r="BJ436" s="19"/>
      <c r="BK436" s="34"/>
      <c r="BM436" s="19"/>
      <c r="BN436" s="34"/>
      <c r="BQ436" s="19"/>
      <c r="BR436" s="34"/>
    </row>
    <row r="437" spans="59:70" x14ac:dyDescent="0.35">
      <c r="BG437" s="19"/>
      <c r="BH437" s="34"/>
      <c r="BJ437" s="19"/>
      <c r="BK437" s="34"/>
      <c r="BM437" s="19"/>
      <c r="BN437" s="34"/>
      <c r="BQ437" s="19"/>
      <c r="BR437" s="34"/>
    </row>
    <row r="438" spans="59:70" x14ac:dyDescent="0.35">
      <c r="BG438" s="19"/>
      <c r="BH438" s="34"/>
      <c r="BJ438" s="19"/>
      <c r="BK438" s="34"/>
      <c r="BM438" s="19"/>
      <c r="BN438" s="34"/>
      <c r="BQ438" s="19"/>
      <c r="BR438" s="34"/>
    </row>
    <row r="439" spans="59:70" x14ac:dyDescent="0.35">
      <c r="BG439" s="19"/>
      <c r="BH439" s="34"/>
      <c r="BJ439" s="19"/>
      <c r="BK439" s="34"/>
      <c r="BM439" s="19"/>
      <c r="BN439" s="34"/>
      <c r="BQ439" s="19"/>
      <c r="BR439" s="34"/>
    </row>
    <row r="440" spans="59:70" x14ac:dyDescent="0.35">
      <c r="BG440" s="19"/>
      <c r="BH440" s="34"/>
      <c r="BJ440" s="19"/>
      <c r="BK440" s="34"/>
      <c r="BM440" s="19"/>
      <c r="BN440" s="34"/>
      <c r="BQ440" s="19"/>
      <c r="BR440" s="34"/>
    </row>
    <row r="441" spans="59:70" x14ac:dyDescent="0.35">
      <c r="BG441" s="19"/>
      <c r="BH441" s="34"/>
      <c r="BJ441" s="19"/>
      <c r="BK441" s="34"/>
      <c r="BM441" s="19"/>
      <c r="BN441" s="34"/>
      <c r="BQ441" s="19"/>
      <c r="BR441" s="34"/>
    </row>
    <row r="442" spans="59:70" x14ac:dyDescent="0.35">
      <c r="BG442" s="19"/>
      <c r="BH442" s="34"/>
      <c r="BJ442" s="19"/>
      <c r="BK442" s="34"/>
      <c r="BM442" s="19"/>
      <c r="BN442" s="34"/>
      <c r="BQ442" s="19"/>
      <c r="BR442" s="34"/>
    </row>
    <row r="443" spans="59:70" x14ac:dyDescent="0.35">
      <c r="BG443" s="19"/>
      <c r="BH443" s="34"/>
      <c r="BJ443" s="19"/>
      <c r="BK443" s="34"/>
      <c r="BM443" s="19"/>
      <c r="BN443" s="34"/>
      <c r="BQ443" s="19"/>
      <c r="BR443" s="34"/>
    </row>
    <row r="444" spans="59:70" x14ac:dyDescent="0.35">
      <c r="BG444" s="19"/>
      <c r="BH444" s="34"/>
      <c r="BJ444" s="19"/>
      <c r="BK444" s="34"/>
      <c r="BM444" s="19"/>
      <c r="BN444" s="34"/>
      <c r="BQ444" s="19"/>
      <c r="BR444" s="34"/>
    </row>
    <row r="445" spans="59:70" x14ac:dyDescent="0.35">
      <c r="BG445" s="19"/>
      <c r="BH445" s="34"/>
      <c r="BJ445" s="19"/>
      <c r="BK445" s="34"/>
      <c r="BM445" s="19"/>
      <c r="BN445" s="34"/>
      <c r="BQ445" s="19"/>
      <c r="BR445" s="34"/>
    </row>
    <row r="446" spans="59:70" x14ac:dyDescent="0.35">
      <c r="BG446" s="19"/>
      <c r="BH446" s="34"/>
      <c r="BJ446" s="19"/>
      <c r="BK446" s="34"/>
      <c r="BM446" s="19"/>
      <c r="BN446" s="34"/>
      <c r="BQ446" s="19"/>
      <c r="BR446" s="34"/>
    </row>
    <row r="447" spans="59:70" x14ac:dyDescent="0.35">
      <c r="BG447" s="19"/>
      <c r="BH447" s="34"/>
      <c r="BJ447" s="19"/>
      <c r="BK447" s="34"/>
      <c r="BM447" s="19"/>
      <c r="BN447" s="34"/>
      <c r="BQ447" s="19"/>
      <c r="BR447" s="34"/>
    </row>
    <row r="448" spans="59:70" x14ac:dyDescent="0.35">
      <c r="BG448" s="19"/>
      <c r="BH448" s="34"/>
      <c r="BJ448" s="19"/>
      <c r="BK448" s="34"/>
      <c r="BM448" s="19"/>
      <c r="BN448" s="34"/>
      <c r="BQ448" s="19"/>
      <c r="BR448" s="34"/>
    </row>
    <row r="449" spans="59:70" x14ac:dyDescent="0.35">
      <c r="BG449" s="19"/>
      <c r="BH449" s="34"/>
      <c r="BJ449" s="19"/>
      <c r="BK449" s="34"/>
      <c r="BM449" s="19"/>
      <c r="BN449" s="34"/>
      <c r="BQ449" s="19"/>
      <c r="BR449" s="34"/>
    </row>
    <row r="450" spans="59:70" x14ac:dyDescent="0.35">
      <c r="BG450" s="19"/>
      <c r="BH450" s="34"/>
      <c r="BJ450" s="19"/>
      <c r="BK450" s="34"/>
      <c r="BM450" s="19"/>
      <c r="BN450" s="34"/>
      <c r="BQ450" s="19"/>
      <c r="BR450" s="34"/>
    </row>
    <row r="451" spans="59:70" x14ac:dyDescent="0.35">
      <c r="BG451" s="19"/>
      <c r="BH451" s="34"/>
      <c r="BJ451" s="19"/>
      <c r="BK451" s="34"/>
      <c r="BM451" s="19"/>
      <c r="BN451" s="34"/>
      <c r="BQ451" s="19"/>
      <c r="BR451" s="34"/>
    </row>
    <row r="452" spans="59:70" x14ac:dyDescent="0.35">
      <c r="BG452" s="19"/>
      <c r="BH452" s="34"/>
      <c r="BJ452" s="19"/>
      <c r="BK452" s="34"/>
      <c r="BM452" s="19"/>
      <c r="BN452" s="34"/>
      <c r="BQ452" s="19"/>
      <c r="BR452" s="34"/>
    </row>
    <row r="453" spans="59:70" x14ac:dyDescent="0.35">
      <c r="BG453" s="19"/>
      <c r="BH453" s="34"/>
      <c r="BJ453" s="19"/>
      <c r="BK453" s="34"/>
      <c r="BM453" s="19"/>
      <c r="BN453" s="34"/>
      <c r="BQ453" s="19"/>
      <c r="BR453" s="34"/>
    </row>
    <row r="454" spans="59:70" x14ac:dyDescent="0.35">
      <c r="BG454" s="19"/>
      <c r="BH454" s="34"/>
      <c r="BJ454" s="19"/>
      <c r="BK454" s="34"/>
      <c r="BM454" s="19"/>
      <c r="BN454" s="34"/>
      <c r="BQ454" s="19"/>
      <c r="BR454" s="34"/>
    </row>
    <row r="455" spans="59:70" x14ac:dyDescent="0.35">
      <c r="BG455" s="19"/>
      <c r="BH455" s="34"/>
      <c r="BJ455" s="19"/>
      <c r="BK455" s="34"/>
      <c r="BM455" s="19"/>
      <c r="BN455" s="34"/>
      <c r="BQ455" s="19"/>
      <c r="BR455" s="34"/>
    </row>
    <row r="456" spans="59:70" x14ac:dyDescent="0.35">
      <c r="BG456" s="19"/>
      <c r="BH456" s="34"/>
      <c r="BJ456" s="19"/>
      <c r="BK456" s="34"/>
      <c r="BM456" s="19"/>
      <c r="BN456" s="34"/>
      <c r="BQ456" s="19"/>
      <c r="BR456" s="34"/>
    </row>
    <row r="457" spans="59:70" x14ac:dyDescent="0.35">
      <c r="BG457" s="19"/>
      <c r="BH457" s="34"/>
      <c r="BJ457" s="19"/>
      <c r="BK457" s="34"/>
      <c r="BM457" s="19"/>
      <c r="BN457" s="34"/>
      <c r="BQ457" s="19"/>
      <c r="BR457" s="34"/>
    </row>
    <row r="458" spans="59:70" x14ac:dyDescent="0.35">
      <c r="BG458" s="35"/>
      <c r="BH458" s="36"/>
      <c r="BJ458" s="35"/>
      <c r="BK458" s="36"/>
      <c r="BM458" s="35"/>
      <c r="BN458" s="36"/>
      <c r="BQ458" s="35"/>
      <c r="BR458" s="36"/>
    </row>
  </sheetData>
  <mergeCells count="13">
    <mergeCell ref="BG1:BZ1"/>
    <mergeCell ref="C2:F3"/>
    <mergeCell ref="I2:L3"/>
    <mergeCell ref="O2:R3"/>
    <mergeCell ref="C1:R1"/>
    <mergeCell ref="U2:X3"/>
    <mergeCell ref="AE2:AH3"/>
    <mergeCell ref="U1:AH1"/>
    <mergeCell ref="AK2:AP3"/>
    <mergeCell ref="AR2:AW3"/>
    <mergeCell ref="AY2:BD3"/>
    <mergeCell ref="AK1:BD1"/>
    <mergeCell ref="Z2:AC3"/>
  </mergeCells>
  <pageMargins left="0.7" right="0.7" top="0.75" bottom="0.75" header="0.3" footer="0.3"/>
  <pageSetup orientation="portrait" horizontalDpi="200" verticalDpi="200" r:id="rId1"/>
  <headerFooter>
    <oddHeader>&amp;L&amp;"Calibri"&amp;10&amp;K0000FFTechnipFMC | Internal&amp;1#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BBDD-0544-4883-A527-47664F528E55}">
  <dimension ref="A1:M6"/>
  <sheetViews>
    <sheetView workbookViewId="0">
      <selection activeCell="H5" sqref="H5"/>
    </sheetView>
  </sheetViews>
  <sheetFormatPr defaultRowHeight="14.5" x14ac:dyDescent="0.35"/>
  <cols>
    <col min="1" max="1" width="14.1796875" customWidth="1"/>
    <col min="3" max="3" width="14.6328125" customWidth="1"/>
    <col min="4" max="4" width="17.6328125" customWidth="1"/>
  </cols>
  <sheetData>
    <row r="1" spans="1:13" s="21" customFormat="1" ht="29" x14ac:dyDescent="0.35">
      <c r="A1" s="21" t="s">
        <v>51</v>
      </c>
      <c r="B1" s="21" t="s">
        <v>107</v>
      </c>
      <c r="C1" s="21" t="s">
        <v>108</v>
      </c>
      <c r="D1" s="21" t="s">
        <v>109</v>
      </c>
      <c r="E1" s="21" t="s">
        <v>110</v>
      </c>
      <c r="F1" s="21" t="s">
        <v>111</v>
      </c>
      <c r="G1" s="21" t="s">
        <v>112</v>
      </c>
      <c r="H1" s="21" t="s">
        <v>113</v>
      </c>
      <c r="I1" s="21" t="s">
        <v>114</v>
      </c>
      <c r="J1" s="21" t="s">
        <v>115</v>
      </c>
      <c r="K1" s="21" t="s">
        <v>116</v>
      </c>
      <c r="L1" s="21" t="s">
        <v>117</v>
      </c>
      <c r="M1" s="21" t="s">
        <v>118</v>
      </c>
    </row>
    <row r="2" spans="1:13" s="21" customFormat="1" ht="29" x14ac:dyDescent="0.35">
      <c r="A2" s="21" t="s">
        <v>52</v>
      </c>
      <c r="B2" s="21" t="s">
        <v>105</v>
      </c>
      <c r="C2" s="21" t="s">
        <v>105</v>
      </c>
      <c r="D2" s="21" t="s">
        <v>105</v>
      </c>
      <c r="E2" s="21" t="s">
        <v>105</v>
      </c>
      <c r="F2" s="21" t="s">
        <v>105</v>
      </c>
      <c r="G2" s="21" t="s">
        <v>105</v>
      </c>
      <c r="H2" s="21" t="s">
        <v>105</v>
      </c>
      <c r="I2" s="21" t="s">
        <v>105</v>
      </c>
      <c r="J2" s="21" t="s">
        <v>105</v>
      </c>
      <c r="K2" s="21" t="s">
        <v>105</v>
      </c>
      <c r="L2" s="21" t="s">
        <v>105</v>
      </c>
      <c r="M2" s="21" t="s">
        <v>105</v>
      </c>
    </row>
    <row r="3" spans="1:13" x14ac:dyDescent="0.35">
      <c r="A3" t="s">
        <v>53</v>
      </c>
      <c r="B3" t="s">
        <v>106</v>
      </c>
      <c r="C3" t="s">
        <v>106</v>
      </c>
      <c r="D3" t="s">
        <v>106</v>
      </c>
      <c r="E3" t="s">
        <v>106</v>
      </c>
      <c r="F3" t="s">
        <v>106</v>
      </c>
      <c r="G3" t="s">
        <v>106</v>
      </c>
      <c r="H3" t="s">
        <v>106</v>
      </c>
      <c r="I3" t="s">
        <v>106</v>
      </c>
      <c r="J3" t="s">
        <v>106</v>
      </c>
      <c r="K3" t="s">
        <v>106</v>
      </c>
      <c r="L3" t="s">
        <v>106</v>
      </c>
      <c r="M3" t="s">
        <v>106</v>
      </c>
    </row>
    <row r="4" spans="1:13" x14ac:dyDescent="0.35">
      <c r="A4" t="s">
        <v>104</v>
      </c>
      <c r="B4">
        <v>0</v>
      </c>
      <c r="C4">
        <v>1020</v>
      </c>
      <c r="D4">
        <v>368.4</v>
      </c>
      <c r="E4">
        <f>MIN('FL6 data'!F$6:F$568)*16.018</f>
        <v>770.63490701105945</v>
      </c>
      <c r="F4">
        <f>MIN('FL6 data'!L$6:L$568)*16.018</f>
        <v>817.43895305982767</v>
      </c>
      <c r="G4">
        <f>MIN('FL6 data'!R$6:R$568)*16.018</f>
        <v>821.19604437438647</v>
      </c>
      <c r="H4">
        <f>MIN('FL6 data'!X$6:X$568)*16.018</f>
        <v>777.72500190821984</v>
      </c>
      <c r="I4">
        <f>MIN('FL6 data'!AC$6:AC$568)*16.018</f>
        <v>800.33754777066372</v>
      </c>
      <c r="J4">
        <f>MIN('FL6 data'!AH$6:AH$568)*16.018</f>
        <v>792.22398248053594</v>
      </c>
      <c r="K4">
        <f>MIN('FL6 data'!AP$6:AP$568)*16.018</f>
        <v>784.94479305351751</v>
      </c>
      <c r="L4">
        <f>MIN('FL6 data'!AW$6:AW$568)*16.018</f>
        <v>802.08939709302501</v>
      </c>
      <c r="M4">
        <f>MIN('FL6 data'!BD$6:BD$568)*16.018</f>
        <v>791.08781534767161</v>
      </c>
    </row>
    <row r="5" spans="1:13" x14ac:dyDescent="0.35">
      <c r="A5" t="s">
        <v>102</v>
      </c>
      <c r="B5">
        <v>0</v>
      </c>
      <c r="C5">
        <v>1020</v>
      </c>
      <c r="D5">
        <v>921.1</v>
      </c>
      <c r="E5">
        <f>MAX('FL6 data'!F$6:F$568)*16.018</f>
        <v>774.34999954056173</v>
      </c>
      <c r="F5">
        <f>MAX('FL6 data'!L$6:L$568)*16.018</f>
        <v>871.90437747962346</v>
      </c>
      <c r="G5">
        <f>MAX('FL6 data'!R$6:R$568)*16.018</f>
        <v>1005.3009185736901</v>
      </c>
      <c r="H5">
        <f>MAX('FL6 data'!X$6:X$568)*16.018</f>
        <v>797.18353901008425</v>
      </c>
      <c r="I5">
        <f>MAX('FL6 data'!AC$6:AC$568)*16.018</f>
        <v>1155.4175759868783</v>
      </c>
      <c r="J5">
        <f>MAX('FL6 data'!AH$6:AH$568)*16.018</f>
        <v>1147.289811107519</v>
      </c>
      <c r="K5">
        <f>MAX('FL6 data'!AP$6:AP$568)*16.018</f>
        <v>803.67515122020109</v>
      </c>
      <c r="L5">
        <f>MAX('FL6 data'!AW$6:AW$568)*16.018</f>
        <v>1192.1245141256027</v>
      </c>
      <c r="M5">
        <f>MAX('FL6 data'!BD$6:BD$568)*16.018</f>
        <v>1178.6859028788349</v>
      </c>
    </row>
    <row r="6" spans="1:13" x14ac:dyDescent="0.35">
      <c r="A6" t="s">
        <v>103</v>
      </c>
      <c r="B6">
        <v>0</v>
      </c>
      <c r="C6">
        <v>1020</v>
      </c>
      <c r="D6">
        <v>921.1</v>
      </c>
      <c r="E6">
        <f>AVERAGE('FL6 data'!F$6:F$568)*16.018</f>
        <v>772.66029094932412</v>
      </c>
      <c r="F6">
        <f>AVERAGE('FL6 data'!L$6:L$568)*16.018</f>
        <v>848.14085341851728</v>
      </c>
      <c r="G6">
        <f>AVERAGE('FL6 data'!R$6:R$568)*16.018</f>
        <v>941.42820077159695</v>
      </c>
      <c r="H6">
        <f>AVERAGE('FL6 data'!X$6:X$568)*16.018</f>
        <v>780.89624120483586</v>
      </c>
      <c r="I6">
        <f>AVERAGE('FL6 data'!AC$6:AC$568)*16.018</f>
        <v>850.68293620278007</v>
      </c>
      <c r="J6">
        <f>AVERAGE('FL6 data'!AH$6:AH$568)*16.018</f>
        <v>935.23788214448507</v>
      </c>
      <c r="K6">
        <f>AVERAGE('FL6 data'!AP$6:AP$568)*16.018</f>
        <v>787.39712441112817</v>
      </c>
      <c r="L6">
        <f>AVERAGE('FL6 data'!AW$6:AW$568)*16.018</f>
        <v>854.12122064785535</v>
      </c>
      <c r="M6">
        <f>AVERAGE('FL6 data'!BD$6:BD$568)*16.018</f>
        <v>936.17751588222461</v>
      </c>
    </row>
  </sheetData>
  <pageMargins left="0.7" right="0.7" top="0.75" bottom="0.75" header="0.3" footer="0.3"/>
  <pageSetup orientation="portrait" horizontalDpi="200" verticalDpi="200" r:id="rId1"/>
  <headerFooter>
    <oddHeader>&amp;L&amp;"Calibri"&amp;10&amp;K0000FFTechnipFMC | 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5A3A-30C1-451C-94E1-78E3DB0B3C7A}">
  <dimension ref="A1:AJ230"/>
  <sheetViews>
    <sheetView topLeftCell="A1048542" workbookViewId="0">
      <selection activeCell="A25" sqref="A25:XFD1048576"/>
    </sheetView>
  </sheetViews>
  <sheetFormatPr defaultRowHeight="14.5" x14ac:dyDescent="0.35"/>
  <cols>
    <col min="1" max="1" width="14.1796875" customWidth="1"/>
    <col min="3" max="3" width="14.6328125" customWidth="1"/>
    <col min="4" max="5" width="16.81640625" customWidth="1"/>
    <col min="6" max="6" width="12.81640625" customWidth="1"/>
  </cols>
  <sheetData>
    <row r="1" spans="1:36" x14ac:dyDescent="0.35">
      <c r="A1" t="s">
        <v>51</v>
      </c>
      <c r="B1" t="s">
        <v>171</v>
      </c>
      <c r="C1" t="s">
        <v>93</v>
      </c>
      <c r="D1" t="s">
        <v>90</v>
      </c>
      <c r="E1" t="s">
        <v>95</v>
      </c>
      <c r="F1" t="s">
        <v>94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119</v>
      </c>
      <c r="N1" t="s">
        <v>120</v>
      </c>
      <c r="O1" t="s">
        <v>121</v>
      </c>
      <c r="P1" t="s">
        <v>167</v>
      </c>
      <c r="Q1" t="s">
        <v>168</v>
      </c>
      <c r="S1" t="s">
        <v>51</v>
      </c>
      <c r="U1" t="str">
        <f>G1</f>
        <v>OPSS_Early_Temp</v>
      </c>
      <c r="AC1" t="s">
        <v>51</v>
      </c>
    </row>
    <row r="2" spans="1:36" x14ac:dyDescent="0.35">
      <c r="A2" t="s">
        <v>52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  <c r="O2" t="s">
        <v>92</v>
      </c>
      <c r="P2" t="s">
        <v>92</v>
      </c>
      <c r="Q2" t="s">
        <v>92</v>
      </c>
      <c r="S2" t="s">
        <v>52</v>
      </c>
      <c r="T2" t="s">
        <v>153</v>
      </c>
      <c r="U2" t="str">
        <f>G2</f>
        <v xml:space="preserve">Temperature </v>
      </c>
      <c r="V2" t="s">
        <v>23</v>
      </c>
      <c r="Y2" t="s">
        <v>52</v>
      </c>
      <c r="Z2" t="s">
        <v>173</v>
      </c>
      <c r="AC2" t="s">
        <v>52</v>
      </c>
      <c r="AD2" t="s">
        <v>175</v>
      </c>
      <c r="AE2" t="s">
        <v>176</v>
      </c>
      <c r="AF2" t="s">
        <v>179</v>
      </c>
      <c r="AG2" t="s">
        <v>180</v>
      </c>
      <c r="AH2" t="s">
        <v>177</v>
      </c>
      <c r="AI2" t="s">
        <v>178</v>
      </c>
      <c r="AJ2" t="s">
        <v>173</v>
      </c>
    </row>
    <row r="3" spans="1:36" x14ac:dyDescent="0.35">
      <c r="A3" t="s">
        <v>53</v>
      </c>
      <c r="B3" t="s">
        <v>91</v>
      </c>
      <c r="C3" t="s">
        <v>91</v>
      </c>
      <c r="D3" t="s">
        <v>91</v>
      </c>
      <c r="E3" t="s">
        <v>91</v>
      </c>
      <c r="F3" t="s">
        <v>91</v>
      </c>
      <c r="G3" t="s">
        <v>91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S3" t="s">
        <v>152</v>
      </c>
      <c r="T3" t="s">
        <v>152</v>
      </c>
      <c r="U3" t="str">
        <f>G3</f>
        <v>[C]</v>
      </c>
      <c r="V3" t="s">
        <v>76</v>
      </c>
      <c r="Y3" t="s">
        <v>53</v>
      </c>
      <c r="Z3" t="s">
        <v>174</v>
      </c>
      <c r="AC3" t="s">
        <v>53</v>
      </c>
    </row>
    <row r="4" spans="1:36" x14ac:dyDescent="0.35">
      <c r="A4">
        <v>0</v>
      </c>
      <c r="B4">
        <f>AJ4</f>
        <v>4.330000000000001</v>
      </c>
      <c r="C4">
        <v>4.2</v>
      </c>
      <c r="D4">
        <v>4.2</v>
      </c>
      <c r="E4">
        <v>4.2</v>
      </c>
      <c r="F4">
        <v>148.9</v>
      </c>
      <c r="G4">
        <f>G5</f>
        <v>87.730889158152777</v>
      </c>
      <c r="H4">
        <f t="shared" ref="H4:P4" si="0">H5</f>
        <v>54.344379425244448</v>
      </c>
      <c r="I4">
        <f t="shared" si="0"/>
        <v>39.215189546278339</v>
      </c>
      <c r="J4">
        <f t="shared" si="0"/>
        <v>71.309139289526556</v>
      </c>
      <c r="K4">
        <f t="shared" si="0"/>
        <v>44.706379502348888</v>
      </c>
      <c r="L4">
        <f t="shared" si="0"/>
        <v>30.823809613409335</v>
      </c>
      <c r="M4">
        <f t="shared" si="0"/>
        <v>57.777389397780631</v>
      </c>
      <c r="N4">
        <f t="shared" si="0"/>
        <v>36.5407895676735</v>
      </c>
      <c r="O4">
        <f t="shared" si="0"/>
        <v>25.431149656550669</v>
      </c>
      <c r="P4">
        <f t="shared" si="0"/>
        <v>4.7480168220157877</v>
      </c>
      <c r="Q4">
        <f>P4</f>
        <v>4.7480168220157877</v>
      </c>
      <c r="S4">
        <f t="shared" ref="S4:S67" si="1">A4*3.281</f>
        <v>0</v>
      </c>
      <c r="T4">
        <f>$S$440-S4</f>
        <v>0</v>
      </c>
      <c r="U4">
        <f>G4</f>
        <v>87.730889158152777</v>
      </c>
      <c r="V4">
        <f>Pressure!K4</f>
        <v>160.39217959544635</v>
      </c>
      <c r="X4" t="s">
        <v>172</v>
      </c>
      <c r="Y4">
        <v>13575.892584000032</v>
      </c>
      <c r="Z4">
        <f>22.6</f>
        <v>22.6</v>
      </c>
      <c r="AC4">
        <v>0</v>
      </c>
      <c r="AD4">
        <f>MATCH(AC4,$Y$11:$Y$15,1)</f>
        <v>1</v>
      </c>
      <c r="AE4">
        <f>AD4+1</f>
        <v>2</v>
      </c>
      <c r="AF4" cm="1">
        <f t="array" ref="AF4">INDEX($Y$11:$Y$15,$AD4,0)</f>
        <v>0</v>
      </c>
      <c r="AG4" cm="1">
        <f t="array" ref="AG4">INDEX($Y$11:$Y$15,$AE4,0)</f>
        <v>12311.892584000032</v>
      </c>
      <c r="AH4" cm="1">
        <f t="array" ref="AH4">INDEX($Z$11:$Z$15,$AD4,0)</f>
        <v>4.33</v>
      </c>
      <c r="AI4" cm="1">
        <f t="array" ref="AI4">INDEX($Z$11:$Z$15,$AE4,0)</f>
        <v>6.2</v>
      </c>
      <c r="AJ4">
        <f>IF(AC4&lt;&gt;$Y$15, FORECAST(AC4,AH4:AI4,AF4:AG4),AH4)</f>
        <v>4.330000000000001</v>
      </c>
    </row>
    <row r="5" spans="1:36" x14ac:dyDescent="0.35">
      <c r="A5">
        <f>'FL6 data'!C6*0.3048</f>
        <v>14.795924163033481</v>
      </c>
      <c r="B5">
        <f t="shared" ref="B5:B68" si="2">AJ5</f>
        <v>4.3322472887897705</v>
      </c>
      <c r="C5">
        <v>4.2</v>
      </c>
      <c r="D5">
        <v>4.2</v>
      </c>
      <c r="E5">
        <v>4.2</v>
      </c>
      <c r="F5">
        <v>148.9</v>
      </c>
      <c r="G5">
        <f>('FL6 data'!D6-32)*5/9</f>
        <v>87.730889158152777</v>
      </c>
      <c r="H5">
        <f>('FL6 data'!J6-32)*5/9</f>
        <v>54.344379425244448</v>
      </c>
      <c r="I5">
        <f>('FL6 data'!P6-32)*5/9</f>
        <v>39.215189546278339</v>
      </c>
      <c r="J5">
        <f>('FL6 data'!V6-32)*5/9</f>
        <v>71.309139289526556</v>
      </c>
      <c r="K5">
        <f>('FL6 data'!AA6-32)*5/9</f>
        <v>44.706379502348888</v>
      </c>
      <c r="L5">
        <f>('FL6 data'!AF6-32)*5/9</f>
        <v>30.823809613409335</v>
      </c>
      <c r="M5">
        <f>('FL6 data'!AL6-32)*5/9</f>
        <v>57.777389397780631</v>
      </c>
      <c r="N5">
        <f>('FL6 data'!AS6-32)*5/9</f>
        <v>36.5407895676735</v>
      </c>
      <c r="O5">
        <f>('FL6 data'!AZ6-32)*5/9</f>
        <v>25.431149656550669</v>
      </c>
      <c r="P5">
        <f>('FL6 data'!BN8-32)*5/9</f>
        <v>4.7480168220157877</v>
      </c>
      <c r="Q5">
        <f t="shared" ref="Q5:Q68" si="3">P5</f>
        <v>4.7480168220157877</v>
      </c>
      <c r="S5">
        <f>A5*3.281</f>
        <v>48.545427178912853</v>
      </c>
      <c r="T5">
        <f t="shared" ref="T5:T68" si="4">$S$440-S5</f>
        <v>-48.545427178912853</v>
      </c>
      <c r="U5">
        <f t="shared" ref="U5:U68" si="5">G5</f>
        <v>87.730889158152777</v>
      </c>
      <c r="V5">
        <f>Pressure!K5</f>
        <v>160.39217959544635</v>
      </c>
      <c r="X5">
        <v>-200</v>
      </c>
      <c r="Y5">
        <f>Y4-200</f>
        <v>13375.892584000032</v>
      </c>
      <c r="Z5">
        <v>13.5</v>
      </c>
      <c r="AC5">
        <v>14.795924163033481</v>
      </c>
      <c r="AD5">
        <f>MATCH(AC5,$Y$11:$Y$15,1)</f>
        <v>1</v>
      </c>
      <c r="AE5">
        <f>AD5+1</f>
        <v>2</v>
      </c>
      <c r="AF5" cm="1">
        <f t="array" ref="AF5">INDEX($Y$11:$Y$15,$AD5,0)</f>
        <v>0</v>
      </c>
      <c r="AG5" cm="1">
        <f t="array" ref="AG5">INDEX($Y$11:$Y$15,$AE5,0)</f>
        <v>12311.892584000032</v>
      </c>
      <c r="AH5" cm="1">
        <f t="array" ref="AH5">INDEX($Z$11:$Z$15,$AD5,0)</f>
        <v>4.33</v>
      </c>
      <c r="AI5" cm="1">
        <f t="array" ref="AI5">INDEX($Z$11:$Z$15,$AE5,0)</f>
        <v>6.2</v>
      </c>
      <c r="AJ5">
        <f t="shared" ref="AJ5:AJ68" si="6">IF(AC5&lt;&gt;$Y$15, FORECAST(AC5,AH5:AI5,AF5:AG5),AH5)</f>
        <v>4.3322472887897705</v>
      </c>
    </row>
    <row r="6" spans="1:36" x14ac:dyDescent="0.35">
      <c r="A6">
        <f>'FL6 data'!C7*0.3048</f>
        <v>44.387772489100534</v>
      </c>
      <c r="B6">
        <f t="shared" si="2"/>
        <v>4.3367418663693105</v>
      </c>
      <c r="C6">
        <v>4.2</v>
      </c>
      <c r="D6">
        <v>4.2</v>
      </c>
      <c r="E6">
        <v>4.2</v>
      </c>
      <c r="F6">
        <v>148.9</v>
      </c>
      <c r="G6">
        <f>('FL6 data'!D7-32)*5/9</f>
        <v>87.657889158736651</v>
      </c>
      <c r="H6">
        <f>('FL6 data'!J7-32)*5/9</f>
        <v>54.238729426089989</v>
      </c>
      <c r="I6">
        <f>('FL6 data'!P7-32)*5/9</f>
        <v>38.892229548862218</v>
      </c>
      <c r="J6">
        <f>('FL6 data'!V7-32)*5/9</f>
        <v>71.255299289957307</v>
      </c>
      <c r="K6">
        <f>('FL6 data'!AA7-32)*5/9</f>
        <v>44.248629506010552</v>
      </c>
      <c r="L6">
        <f>('FL6 data'!AF7-32)*5/9</f>
        <v>30.619899615040609</v>
      </c>
      <c r="M6">
        <f>('FL6 data'!AL7-32)*5/9</f>
        <v>57.738769398089566</v>
      </c>
      <c r="N6">
        <f>('FL6 data'!AS7-32)*5/9</f>
        <v>36.18267957053839</v>
      </c>
      <c r="O6">
        <f>('FL6 data'!AZ7-32)*5/9</f>
        <v>25.270159657838558</v>
      </c>
      <c r="P6">
        <f>('FL6 data'!BN9-32)*5/9</f>
        <v>4.90678682074563</v>
      </c>
      <c r="Q6">
        <f t="shared" si="3"/>
        <v>4.90678682074563</v>
      </c>
      <c r="S6">
        <f t="shared" si="1"/>
        <v>145.63628153673886</v>
      </c>
      <c r="T6">
        <f t="shared" si="4"/>
        <v>-145.63628153673886</v>
      </c>
      <c r="U6">
        <f t="shared" si="5"/>
        <v>87.657889158736651</v>
      </c>
      <c r="V6">
        <f>Pressure!K6</f>
        <v>160.46988007000198</v>
      </c>
      <c r="X6">
        <v>-400</v>
      </c>
      <c r="Y6">
        <f>Y5-400</f>
        <v>12975.892584000032</v>
      </c>
      <c r="Z6">
        <v>8.1999999999999993</v>
      </c>
      <c r="AC6">
        <v>44.387772489100534</v>
      </c>
      <c r="AD6">
        <f t="shared" ref="AD6:AD69" si="7">MATCH(AC6,$Y$11:$Y$15,1)</f>
        <v>1</v>
      </c>
      <c r="AE6">
        <f t="shared" ref="AE6:AE69" si="8">AD6+1</f>
        <v>2</v>
      </c>
      <c r="AF6" cm="1">
        <f t="array" ref="AF6">INDEX($Y$11:$Y$15,$AD6,0)</f>
        <v>0</v>
      </c>
      <c r="AG6" cm="1">
        <f t="array" ref="AG6">INDEX($Y$11:$Y$15,$AE6,0)</f>
        <v>12311.892584000032</v>
      </c>
      <c r="AH6" cm="1">
        <f t="array" ref="AH6">INDEX($Z$11:$Z$15,$AD6,0)</f>
        <v>4.33</v>
      </c>
      <c r="AI6" cm="1">
        <f t="array" ref="AI6">INDEX($Z$11:$Z$15,$AE6,0)</f>
        <v>6.2</v>
      </c>
      <c r="AJ6">
        <f t="shared" si="6"/>
        <v>4.3367418663693105</v>
      </c>
    </row>
    <row r="7" spans="1:36" x14ac:dyDescent="0.35">
      <c r="A7">
        <f>'FL6 data'!C8*0.3048</f>
        <v>67.691848326067031</v>
      </c>
      <c r="B7">
        <f t="shared" si="2"/>
        <v>4.3402814214391583</v>
      </c>
      <c r="C7">
        <v>4.2</v>
      </c>
      <c r="D7">
        <v>4.2</v>
      </c>
      <c r="E7">
        <v>4.2</v>
      </c>
      <c r="F7">
        <v>148.9</v>
      </c>
      <c r="G7">
        <f>('FL6 data'!D8-32)*5/9</f>
        <v>87.61673915906556</v>
      </c>
      <c r="H7">
        <f>('FL6 data'!J8-32)*5/9</f>
        <v>54.178469426572221</v>
      </c>
      <c r="I7">
        <f>('FL6 data'!P8-32)*5/9</f>
        <v>38.711009550311665</v>
      </c>
      <c r="J7">
        <f>('FL6 data'!V8-32)*5/9</f>
        <v>71.223199290214097</v>
      </c>
      <c r="K7">
        <f>('FL6 data'!AA8-32)*5/9</f>
        <v>44.042349507661108</v>
      </c>
      <c r="L7">
        <f>('FL6 data'!AF8-32)*5/9</f>
        <v>30.501569615987275</v>
      </c>
      <c r="M7">
        <f>('FL6 data'!AL8-32)*5/9</f>
        <v>57.712119398302789</v>
      </c>
      <c r="N7">
        <f>('FL6 data'!AS8-32)*5/9</f>
        <v>36.020039571839497</v>
      </c>
      <c r="O7">
        <f>('FL6 data'!AZ8-32)*5/9</f>
        <v>25.174729658601997</v>
      </c>
      <c r="P7">
        <f>('FL6 data'!BN10-32)*5/9</f>
        <v>4.9458588204330507</v>
      </c>
      <c r="Q7">
        <f t="shared" si="3"/>
        <v>4.9458588204330507</v>
      </c>
      <c r="S7">
        <f t="shared" si="1"/>
        <v>222.09695435782595</v>
      </c>
      <c r="T7">
        <f t="shared" si="4"/>
        <v>-222.09695435782595</v>
      </c>
      <c r="U7">
        <f t="shared" si="5"/>
        <v>87.61673915906556</v>
      </c>
      <c r="V7">
        <f>Pressure!K7</f>
        <v>160.5309804431725</v>
      </c>
      <c r="X7">
        <v>-664</v>
      </c>
      <c r="Y7">
        <f>Y6-664</f>
        <v>12311.892584000032</v>
      </c>
      <c r="Z7">
        <v>6.2</v>
      </c>
      <c r="AC7">
        <v>67.691848326067031</v>
      </c>
      <c r="AD7">
        <f t="shared" si="7"/>
        <v>1</v>
      </c>
      <c r="AE7">
        <f t="shared" si="8"/>
        <v>2</v>
      </c>
      <c r="AF7" cm="1">
        <f t="array" ref="AF7">INDEX($Y$11:$Y$15,$AD7,0)</f>
        <v>0</v>
      </c>
      <c r="AG7" cm="1">
        <f t="array" ref="AG7">INDEX($Y$11:$Y$15,$AE7,0)</f>
        <v>12311.892584000032</v>
      </c>
      <c r="AH7" cm="1">
        <f t="array" ref="AH7">INDEX($Z$11:$Z$15,$AD7,0)</f>
        <v>4.33</v>
      </c>
      <c r="AI7" cm="1">
        <f t="array" ref="AI7">INDEX($Z$11:$Z$15,$AE7,0)</f>
        <v>6.2</v>
      </c>
      <c r="AJ7">
        <f t="shared" si="6"/>
        <v>4.3402814214391583</v>
      </c>
    </row>
    <row r="8" spans="1:36" x14ac:dyDescent="0.35">
      <c r="A8">
        <f>'FL6 data'!C9*0.3048</f>
        <v>82.580988000000005</v>
      </c>
      <c r="B8">
        <f t="shared" si="2"/>
        <v>4.3425428683288461</v>
      </c>
      <c r="C8">
        <v>4.2</v>
      </c>
      <c r="D8">
        <v>4.2</v>
      </c>
      <c r="E8">
        <v>4.2</v>
      </c>
      <c r="F8">
        <v>148.9</v>
      </c>
      <c r="G8">
        <f>('FL6 data'!D9-32)*5/9</f>
        <v>87.585099159318887</v>
      </c>
      <c r="H8">
        <f>('FL6 data'!J9-32)*5/9</f>
        <v>54.132839426937224</v>
      </c>
      <c r="I8">
        <f>('FL6 data'!P9-32)*5/9</f>
        <v>38.574519551403881</v>
      </c>
      <c r="J8">
        <f>('FL6 data'!V9-32)*5/9</f>
        <v>71.198409290412428</v>
      </c>
      <c r="K8">
        <f>('FL6 data'!AA9-32)*5/9</f>
        <v>43.925389508596666</v>
      </c>
      <c r="L8">
        <f>('FL6 data'!AF9-32)*5/9</f>
        <v>30.441749616465838</v>
      </c>
      <c r="M8">
        <f>('FL6 data'!AL9-32)*5/9</f>
        <v>57.692239398461815</v>
      </c>
      <c r="N8">
        <f>('FL6 data'!AS9-32)*5/9</f>
        <v>35.929919572560443</v>
      </c>
      <c r="O8">
        <f>('FL6 data'!AZ9-32)*5/9</f>
        <v>25.127699658978276</v>
      </c>
      <c r="P8">
        <f>('FL6 data'!BN11-32)*5/9</f>
        <v>4.9589418203283877</v>
      </c>
      <c r="Q8">
        <f t="shared" si="3"/>
        <v>4.9589418203283877</v>
      </c>
      <c r="S8">
        <f t="shared" si="1"/>
        <v>270.94822162800006</v>
      </c>
      <c r="T8">
        <f t="shared" si="4"/>
        <v>-270.94822162800006</v>
      </c>
      <c r="U8">
        <f t="shared" si="5"/>
        <v>87.585099159318887</v>
      </c>
      <c r="V8">
        <f>Pressure!K8</f>
        <v>160.54718054211503</v>
      </c>
      <c r="Y8">
        <v>0</v>
      </c>
      <c r="Z8">
        <v>4.2</v>
      </c>
      <c r="AC8">
        <v>82.580988000000005</v>
      </c>
      <c r="AD8">
        <f t="shared" si="7"/>
        <v>1</v>
      </c>
      <c r="AE8">
        <f t="shared" si="8"/>
        <v>2</v>
      </c>
      <c r="AF8" cm="1">
        <f t="array" ref="AF8">INDEX($Y$11:$Y$15,$AD8,0)</f>
        <v>0</v>
      </c>
      <c r="AG8" cm="1">
        <f t="array" ref="AG8">INDEX($Y$11:$Y$15,$AE8,0)</f>
        <v>12311.892584000032</v>
      </c>
      <c r="AH8" cm="1">
        <f t="array" ref="AH8">INDEX($Z$11:$Z$15,$AD8,0)</f>
        <v>4.33</v>
      </c>
      <c r="AI8" cm="1">
        <f t="array" ref="AI8">INDEX($Z$11:$Z$15,$AE8,0)</f>
        <v>6.2</v>
      </c>
      <c r="AJ8">
        <f t="shared" si="6"/>
        <v>4.3425428683288461</v>
      </c>
    </row>
    <row r="9" spans="1:36" x14ac:dyDescent="0.35">
      <c r="A9">
        <f>'FL6 data'!C10*0.3048</f>
        <v>95.342964000000009</v>
      </c>
      <c r="B9">
        <f t="shared" si="2"/>
        <v>4.3444812295480641</v>
      </c>
      <c r="C9">
        <v>4.2</v>
      </c>
      <c r="D9">
        <v>4.2</v>
      </c>
      <c r="E9">
        <v>4.2</v>
      </c>
      <c r="F9">
        <v>148.9</v>
      </c>
      <c r="G9">
        <f>('FL6 data'!D10-32)*5/9</f>
        <v>87.552749159577786</v>
      </c>
      <c r="H9">
        <f>('FL6 data'!J10-32)*5/9</f>
        <v>54.086749427305563</v>
      </c>
      <c r="I9">
        <f>('FL6 data'!P10-32)*5/9</f>
        <v>38.438039552495553</v>
      </c>
      <c r="J9">
        <f>('FL6 data'!V10-32)*5/9</f>
        <v>71.185259290517635</v>
      </c>
      <c r="K9">
        <f>('FL6 data'!AA10-32)*5/9</f>
        <v>43.969969508239998</v>
      </c>
      <c r="L9">
        <f>('FL6 data'!AF10-32)*5/9</f>
        <v>30.483619616130884</v>
      </c>
      <c r="M9">
        <f>('FL6 data'!AL10-32)*5/9</f>
        <v>57.694859398440862</v>
      </c>
      <c r="N9">
        <f>('FL6 data'!AS10-32)*5/9</f>
        <v>36.110699571114225</v>
      </c>
      <c r="O9">
        <f>('FL6 data'!AZ10-32)*5/9</f>
        <v>25.27456965780328</v>
      </c>
      <c r="P9">
        <f>('FL6 data'!BN12-32)*5/9</f>
        <v>4.9636948202903657</v>
      </c>
      <c r="Q9">
        <f t="shared" si="3"/>
        <v>4.9636948202903657</v>
      </c>
      <c r="S9">
        <f t="shared" si="1"/>
        <v>312.82026488400004</v>
      </c>
      <c r="T9">
        <f t="shared" si="4"/>
        <v>-312.82026488400004</v>
      </c>
      <c r="U9">
        <f t="shared" si="5"/>
        <v>87.552749159577786</v>
      </c>
      <c r="V9">
        <f>Pressure!K9</f>
        <v>160.53488046699201</v>
      </c>
      <c r="AC9">
        <v>95.342964000000009</v>
      </c>
      <c r="AD9">
        <f t="shared" si="7"/>
        <v>1</v>
      </c>
      <c r="AE9">
        <f t="shared" si="8"/>
        <v>2</v>
      </c>
      <c r="AF9" cm="1">
        <f t="array" ref="AF9">INDEX($Y$11:$Y$15,$AD9,0)</f>
        <v>0</v>
      </c>
      <c r="AG9" cm="1">
        <f t="array" ref="AG9">INDEX($Y$11:$Y$15,$AE9,0)</f>
        <v>12311.892584000032</v>
      </c>
      <c r="AH9" cm="1">
        <f t="array" ref="AH9">INDEX($Z$11:$Z$15,$AD9,0)</f>
        <v>4.33</v>
      </c>
      <c r="AI9" cm="1">
        <f t="array" ref="AI9">INDEX($Z$11:$Z$15,$AE9,0)</f>
        <v>6.2</v>
      </c>
      <c r="AJ9">
        <f t="shared" si="6"/>
        <v>4.3444812295480641</v>
      </c>
    </row>
    <row r="10" spans="1:36" x14ac:dyDescent="0.35">
      <c r="A10">
        <f>'FL6 data'!C11*0.3048</f>
        <v>114.449352</v>
      </c>
      <c r="B10">
        <f t="shared" si="2"/>
        <v>4.3473832160067856</v>
      </c>
      <c r="C10">
        <v>4.2</v>
      </c>
      <c r="D10">
        <v>4.2</v>
      </c>
      <c r="E10">
        <v>4.2</v>
      </c>
      <c r="F10">
        <v>148.9</v>
      </c>
      <c r="G10">
        <f>('FL6 data'!D11-32)*5/9</f>
        <v>87.48838916009278</v>
      </c>
      <c r="H10">
        <f>('FL6 data'!J11-32)*5/9</f>
        <v>53.99523942803777</v>
      </c>
      <c r="I10">
        <f>('FL6 data'!P11-32)*5/9</f>
        <v>38.173139554614444</v>
      </c>
      <c r="J10">
        <f>('FL6 data'!V11-32)*5/9</f>
        <v>71.118159291054397</v>
      </c>
      <c r="K10">
        <f>('FL6 data'!AA11-32)*5/9</f>
        <v>43.620019511039445</v>
      </c>
      <c r="L10">
        <f>('FL6 data'!AF11-32)*5/9</f>
        <v>30.116019619071665</v>
      </c>
      <c r="M10">
        <f>('FL6 data'!AL11-32)*5/9</f>
        <v>57.6263293989891</v>
      </c>
      <c r="N10">
        <f>('FL6 data'!AS11-32)*5/9</f>
        <v>35.686499574507835</v>
      </c>
      <c r="O10">
        <f>('FL6 data'!AZ11-32)*5/9</f>
        <v>24.864889661080717</v>
      </c>
      <c r="P10">
        <f>('FL6 data'!BN13-32)*5/9</f>
        <v>4.9620388203036114</v>
      </c>
      <c r="Q10">
        <f t="shared" si="3"/>
        <v>4.9620388203036114</v>
      </c>
      <c r="S10">
        <f t="shared" si="1"/>
        <v>375.50832391200004</v>
      </c>
      <c r="T10">
        <f t="shared" si="4"/>
        <v>-375.50832391200004</v>
      </c>
      <c r="U10">
        <f t="shared" si="5"/>
        <v>87.48838916009278</v>
      </c>
      <c r="V10">
        <f>Pressure!K10</f>
        <v>160.54108050485885</v>
      </c>
      <c r="AC10">
        <v>114.449352</v>
      </c>
      <c r="AD10">
        <f t="shared" si="7"/>
        <v>1</v>
      </c>
      <c r="AE10">
        <f t="shared" si="8"/>
        <v>2</v>
      </c>
      <c r="AF10" cm="1">
        <f t="array" ref="AF10">INDEX($Y$11:$Y$15,$AD10,0)</f>
        <v>0</v>
      </c>
      <c r="AG10" cm="1">
        <f t="array" ref="AG10">INDEX($Y$11:$Y$15,$AE10,0)</f>
        <v>12311.892584000032</v>
      </c>
      <c r="AH10" cm="1">
        <f t="array" ref="AH10">INDEX($Z$11:$Z$15,$AD10,0)</f>
        <v>4.33</v>
      </c>
      <c r="AI10" cm="1">
        <f t="array" ref="AI10">INDEX($Z$11:$Z$15,$AE10,0)</f>
        <v>6.2</v>
      </c>
      <c r="AJ10">
        <f t="shared" si="6"/>
        <v>4.3473832160067856</v>
      </c>
    </row>
    <row r="11" spans="1:36" x14ac:dyDescent="0.35">
      <c r="A11">
        <f>'FL6 data'!C12*0.3048</f>
        <v>152.549352</v>
      </c>
      <c r="B11">
        <f t="shared" si="2"/>
        <v>4.3531700598664038</v>
      </c>
      <c r="C11">
        <v>4.2</v>
      </c>
      <c r="D11">
        <v>4.2</v>
      </c>
      <c r="E11">
        <v>4.2</v>
      </c>
      <c r="F11">
        <v>148.9</v>
      </c>
      <c r="G11">
        <f>('FL6 data'!D12-32)*5/9</f>
        <v>87.360739161113898</v>
      </c>
      <c r="H11">
        <f>('FL6 data'!J12-32)*5/9</f>
        <v>53.813739429490006</v>
      </c>
      <c r="I11">
        <f>('FL6 data'!P12-32)*5/9</f>
        <v>37.654749558761836</v>
      </c>
      <c r="J11">
        <f>('FL6 data'!V12-32)*5/9</f>
        <v>71.018099291854909</v>
      </c>
      <c r="K11">
        <f>('FL6 data'!AA12-32)*5/9</f>
        <v>43.409269512725558</v>
      </c>
      <c r="L11">
        <f>('FL6 data'!AF12-32)*5/9</f>
        <v>29.740909622072554</v>
      </c>
      <c r="M11">
        <f>('FL6 data'!AL12-32)*5/9</f>
        <v>57.546369399628787</v>
      </c>
      <c r="N11">
        <f>('FL6 data'!AS12-32)*5/9</f>
        <v>35.519709575842164</v>
      </c>
      <c r="O11">
        <f>('FL6 data'!AZ12-32)*5/9</f>
        <v>24.564919663480495</v>
      </c>
      <c r="P11">
        <f>('FL6 data'!BN14-32)*5/9</f>
        <v>4.9588028203294989</v>
      </c>
      <c r="Q11">
        <f t="shared" si="3"/>
        <v>4.9588028203294989</v>
      </c>
      <c r="S11">
        <f t="shared" si="1"/>
        <v>500.51442391200004</v>
      </c>
      <c r="T11">
        <f t="shared" si="4"/>
        <v>-500.51442391200004</v>
      </c>
      <c r="U11">
        <f t="shared" si="5"/>
        <v>87.360739161113898</v>
      </c>
      <c r="V11">
        <f>Pressure!K11</f>
        <v>160.57818073144847</v>
      </c>
      <c r="Y11">
        <f>Y8</f>
        <v>0</v>
      </c>
      <c r="Z11">
        <f>AB15</f>
        <v>4.33</v>
      </c>
      <c r="AC11">
        <v>152.549352</v>
      </c>
      <c r="AD11">
        <f t="shared" si="7"/>
        <v>1</v>
      </c>
      <c r="AE11">
        <f t="shared" si="8"/>
        <v>2</v>
      </c>
      <c r="AF11" cm="1">
        <f t="array" ref="AF11">INDEX($Y$11:$Y$15,$AD11,0)</f>
        <v>0</v>
      </c>
      <c r="AG11" cm="1">
        <f t="array" ref="AG11">INDEX($Y$11:$Y$15,$AE11,0)</f>
        <v>12311.892584000032</v>
      </c>
      <c r="AH11" cm="1">
        <f t="array" ref="AH11">INDEX($Z$11:$Z$15,$AD11,0)</f>
        <v>4.33</v>
      </c>
      <c r="AI11" cm="1">
        <f t="array" ref="AI11">INDEX($Z$11:$Z$15,$AE11,0)</f>
        <v>6.2</v>
      </c>
      <c r="AJ11">
        <f t="shared" si="6"/>
        <v>4.3531700598664038</v>
      </c>
    </row>
    <row r="12" spans="1:36" x14ac:dyDescent="0.35">
      <c r="A12">
        <f>'FL6 data'!C13*0.3048</f>
        <v>196.97395200000003</v>
      </c>
      <c r="B12">
        <f t="shared" si="2"/>
        <v>4.3599175198067188</v>
      </c>
      <c r="C12">
        <v>4.2</v>
      </c>
      <c r="D12">
        <v>4.2</v>
      </c>
      <c r="E12">
        <v>4.2</v>
      </c>
      <c r="F12">
        <v>148.9</v>
      </c>
      <c r="G12">
        <f>('FL6 data'!D13-32)*5/9</f>
        <v>87.266049161871095</v>
      </c>
      <c r="H12">
        <f>('FL6 data'!J13-32)*5/9</f>
        <v>53.678059430575004</v>
      </c>
      <c r="I12">
        <f>('FL6 data'!P13-32)*5/9</f>
        <v>37.263279561893555</v>
      </c>
      <c r="J12">
        <f>('FL6 data'!V13-32)*5/9</f>
        <v>70.942469292459933</v>
      </c>
      <c r="K12">
        <f>('FL6 data'!AA13-32)*5/9</f>
        <v>43.286649513706671</v>
      </c>
      <c r="L12">
        <f>('FL6 data'!AF13-32)*5/9</f>
        <v>29.470729624234</v>
      </c>
      <c r="M12">
        <f>('FL6 data'!AL13-32)*5/9</f>
        <v>57.484799400121346</v>
      </c>
      <c r="N12">
        <f>('FL6 data'!AS13-32)*5/9</f>
        <v>35.421679576626389</v>
      </c>
      <c r="O12">
        <f>('FL6 data'!AZ13-32)*5/9</f>
        <v>24.347949665216277</v>
      </c>
      <c r="P12">
        <f>('FL6 data'!BN15-32)*5/9</f>
        <v>4.9556538203546907</v>
      </c>
      <c r="Q12">
        <f t="shared" si="3"/>
        <v>4.9556538203546907</v>
      </c>
      <c r="S12">
        <f t="shared" si="1"/>
        <v>646.27153651200013</v>
      </c>
      <c r="T12">
        <f t="shared" si="4"/>
        <v>-646.27153651200013</v>
      </c>
      <c r="U12">
        <f t="shared" si="5"/>
        <v>87.266049161871095</v>
      </c>
      <c r="V12">
        <f>Pressure!K12</f>
        <v>160.59588083955191</v>
      </c>
      <c r="Y12">
        <f>Y7</f>
        <v>12311.892584000032</v>
      </c>
      <c r="Z12">
        <f>Z7</f>
        <v>6.2</v>
      </c>
      <c r="AC12">
        <v>196.97395200000003</v>
      </c>
      <c r="AD12">
        <f t="shared" si="7"/>
        <v>1</v>
      </c>
      <c r="AE12">
        <f t="shared" si="8"/>
        <v>2</v>
      </c>
      <c r="AF12" cm="1">
        <f t="array" ref="AF12">INDEX($Y$11:$Y$15,$AD12,0)</f>
        <v>0</v>
      </c>
      <c r="AG12" cm="1">
        <f t="array" ref="AG12">INDEX($Y$11:$Y$15,$AE12,0)</f>
        <v>12311.892584000032</v>
      </c>
      <c r="AH12" cm="1">
        <f t="array" ref="AH12">INDEX($Z$11:$Z$15,$AD12,0)</f>
        <v>4.33</v>
      </c>
      <c r="AI12" cm="1">
        <f t="array" ref="AI12">INDEX($Z$11:$Z$15,$AE12,0)</f>
        <v>6.2</v>
      </c>
      <c r="AJ12">
        <f t="shared" si="6"/>
        <v>4.3599175198067188</v>
      </c>
    </row>
    <row r="13" spans="1:36" x14ac:dyDescent="0.35">
      <c r="A13">
        <f>'FL6 data'!C14*0.3048</f>
        <v>235.07395200000002</v>
      </c>
      <c r="B13">
        <f t="shared" si="2"/>
        <v>4.3657043636663371</v>
      </c>
      <c r="C13">
        <v>4.2</v>
      </c>
      <c r="D13">
        <v>4.2</v>
      </c>
      <c r="E13">
        <v>4.2</v>
      </c>
      <c r="F13">
        <v>148.9</v>
      </c>
      <c r="G13">
        <f>('FL6 data'!D14-32)*5/9</f>
        <v>87.170349162636668</v>
      </c>
      <c r="H13">
        <f>('FL6 data'!J14-32)*5/9</f>
        <v>53.541809431665556</v>
      </c>
      <c r="I13">
        <f>('FL6 data'!P14-32)*5/9</f>
        <v>36.867749565057835</v>
      </c>
      <c r="J13">
        <f>('FL6 data'!V14-32)*5/9</f>
        <v>70.867679293058274</v>
      </c>
      <c r="K13">
        <f>('FL6 data'!AA14-32)*5/9</f>
        <v>43.169939514639999</v>
      </c>
      <c r="L13">
        <f>('FL6 data'!AF14-32)*5/9</f>
        <v>29.189799626481445</v>
      </c>
      <c r="M13">
        <f>('FL6 data'!AL14-32)*5/9</f>
        <v>57.429279400565491</v>
      </c>
      <c r="N13">
        <f>('FL6 data'!AS14-32)*5/9</f>
        <v>35.332589577339114</v>
      </c>
      <c r="O13">
        <f>('FL6 data'!AZ14-32)*5/9</f>
        <v>24.126959666984167</v>
      </c>
      <c r="P13">
        <f>('FL6 data'!BN16-32)*5/9</f>
        <v>4.9535418203715844</v>
      </c>
      <c r="Q13">
        <f t="shared" si="3"/>
        <v>4.9535418203715844</v>
      </c>
      <c r="S13">
        <f t="shared" si="1"/>
        <v>771.27763651200007</v>
      </c>
      <c r="T13">
        <f t="shared" si="4"/>
        <v>-771.27763651200007</v>
      </c>
      <c r="U13">
        <f t="shared" si="5"/>
        <v>87.170349162636668</v>
      </c>
      <c r="V13">
        <f>Pressure!K13</f>
        <v>160.58188075404604</v>
      </c>
      <c r="Y13">
        <f>Y6</f>
        <v>12975.892584000032</v>
      </c>
      <c r="Z13">
        <f>Z6</f>
        <v>8.1999999999999993</v>
      </c>
      <c r="AC13">
        <v>235.07395200000002</v>
      </c>
      <c r="AD13">
        <f t="shared" si="7"/>
        <v>1</v>
      </c>
      <c r="AE13">
        <f t="shared" si="8"/>
        <v>2</v>
      </c>
      <c r="AF13" cm="1">
        <f t="array" ref="AF13">INDEX($Y$11:$Y$15,$AD13,0)</f>
        <v>0</v>
      </c>
      <c r="AG13" cm="1">
        <f t="array" ref="AG13">INDEX($Y$11:$Y$15,$AE13,0)</f>
        <v>12311.892584000032</v>
      </c>
      <c r="AH13" cm="1">
        <f t="array" ref="AH13">INDEX($Z$11:$Z$15,$AD13,0)</f>
        <v>4.33</v>
      </c>
      <c r="AI13" cm="1">
        <f t="array" ref="AI13">INDEX($Z$11:$Z$15,$AE13,0)</f>
        <v>6.2</v>
      </c>
      <c r="AJ13">
        <f t="shared" si="6"/>
        <v>4.3657043636663371</v>
      </c>
    </row>
    <row r="14" spans="1:36" x14ac:dyDescent="0.35">
      <c r="A14">
        <f>'FL6 data'!C15*0.3048</f>
        <v>273.17395200000004</v>
      </c>
      <c r="B14">
        <f t="shared" si="2"/>
        <v>4.3714912075259553</v>
      </c>
      <c r="C14">
        <v>4.2</v>
      </c>
      <c r="D14">
        <v>4.2</v>
      </c>
      <c r="E14">
        <v>4.2</v>
      </c>
      <c r="F14">
        <v>148.9</v>
      </c>
      <c r="G14">
        <f>('FL6 data'!D15-32)*5/9</f>
        <v>87.075559163394999</v>
      </c>
      <c r="H14">
        <f>('FL6 data'!J15-32)*5/9</f>
        <v>53.406259432749437</v>
      </c>
      <c r="I14">
        <f>('FL6 data'!P15-32)*5/9</f>
        <v>36.472609568218935</v>
      </c>
      <c r="J14">
        <f>('FL6 data'!V15-32)*5/9</f>
        <v>70.787619293698754</v>
      </c>
      <c r="K14">
        <f>('FL6 data'!AA15-32)*5/9</f>
        <v>43.047039515623332</v>
      </c>
      <c r="L14">
        <f>('FL6 data'!AF15-32)*5/9</f>
        <v>28.887499628899832</v>
      </c>
      <c r="M14">
        <f>('FL6 data'!AL15-32)*5/9</f>
        <v>57.359779401121514</v>
      </c>
      <c r="N14">
        <f>('FL6 data'!AS15-32)*5/9</f>
        <v>35.229309578165335</v>
      </c>
      <c r="O14">
        <f>('FL6 data'!AZ15-32)*5/9</f>
        <v>23.880279668957613</v>
      </c>
      <c r="P14">
        <f>('FL6 data'!BN17-32)*5/9</f>
        <v>4.9502448203979634</v>
      </c>
      <c r="Q14">
        <f t="shared" si="3"/>
        <v>4.9502448203979634</v>
      </c>
      <c r="S14">
        <f t="shared" si="1"/>
        <v>896.28373651200013</v>
      </c>
      <c r="T14">
        <f t="shared" si="4"/>
        <v>-896.28373651200013</v>
      </c>
      <c r="U14">
        <f t="shared" si="5"/>
        <v>87.075559163394999</v>
      </c>
      <c r="V14">
        <f>Pressure!K14</f>
        <v>160.60818091467425</v>
      </c>
      <c r="Y14">
        <f>Y5</f>
        <v>13375.892584000032</v>
      </c>
      <c r="Z14">
        <f>Z5</f>
        <v>13.5</v>
      </c>
      <c r="AC14">
        <v>273.17395200000004</v>
      </c>
      <c r="AD14">
        <f t="shared" si="7"/>
        <v>1</v>
      </c>
      <c r="AE14">
        <f t="shared" si="8"/>
        <v>2</v>
      </c>
      <c r="AF14" cm="1">
        <f t="array" ref="AF14">INDEX($Y$11:$Y$15,$AD14,0)</f>
        <v>0</v>
      </c>
      <c r="AG14" cm="1">
        <f t="array" ref="AG14">INDEX($Y$11:$Y$15,$AE14,0)</f>
        <v>12311.892584000032</v>
      </c>
      <c r="AH14" cm="1">
        <f t="array" ref="AH14">INDEX($Z$11:$Z$15,$AD14,0)</f>
        <v>4.33</v>
      </c>
      <c r="AI14" cm="1">
        <f t="array" ref="AI14">INDEX($Z$11:$Z$15,$AE14,0)</f>
        <v>6.2</v>
      </c>
      <c r="AJ14">
        <f t="shared" si="6"/>
        <v>4.3714912075259553</v>
      </c>
    </row>
    <row r="15" spans="1:36" x14ac:dyDescent="0.35">
      <c r="A15">
        <f>'FL6 data'!C16*0.3048</f>
        <v>311.27395200000001</v>
      </c>
      <c r="B15">
        <f t="shared" si="2"/>
        <v>4.3772780513855736</v>
      </c>
      <c r="C15">
        <v>4.2</v>
      </c>
      <c r="D15">
        <v>4.2</v>
      </c>
      <c r="E15">
        <v>4.2</v>
      </c>
      <c r="F15">
        <v>148.9</v>
      </c>
      <c r="G15">
        <f>('FL6 data'!D16-32)*5/9</f>
        <v>86.981679164146101</v>
      </c>
      <c r="H15">
        <f>('FL6 data'!J16-32)*5/9</f>
        <v>53.271499433827778</v>
      </c>
      <c r="I15">
        <f>('FL6 data'!P16-32)*5/9</f>
        <v>36.081339571349112</v>
      </c>
      <c r="J15">
        <f>('FL6 data'!V16-32)*5/9</f>
        <v>70.714789294281374</v>
      </c>
      <c r="K15">
        <f>('FL6 data'!AA16-32)*5/9</f>
        <v>42.94222951646222</v>
      </c>
      <c r="L15">
        <f>('FL6 data'!AF16-32)*5/9</f>
        <v>28.609229631126002</v>
      </c>
      <c r="M15">
        <f>('FL6 data'!AL16-32)*5/9</f>
        <v>57.303989401567833</v>
      </c>
      <c r="N15">
        <f>('FL6 data'!AS16-32)*5/9</f>
        <v>35.149859578800942</v>
      </c>
      <c r="O15">
        <f>('FL6 data'!AZ16-32)*5/9</f>
        <v>23.661729670705999</v>
      </c>
      <c r="P15">
        <f>('FL6 data'!BN18-32)*5/9</f>
        <v>4.947541820419584</v>
      </c>
      <c r="Q15">
        <f t="shared" si="3"/>
        <v>4.947541820419584</v>
      </c>
      <c r="S15">
        <f t="shared" si="1"/>
        <v>1021.2898365120001</v>
      </c>
      <c r="T15">
        <f t="shared" si="4"/>
        <v>-1021.2898365120001</v>
      </c>
      <c r="U15">
        <f t="shared" si="5"/>
        <v>86.981679164146101</v>
      </c>
      <c r="V15">
        <f>Pressure!K15</f>
        <v>160.6750813232691</v>
      </c>
      <c r="Y15">
        <f>Y4</f>
        <v>13575.892584000032</v>
      </c>
      <c r="Z15">
        <f>Z4</f>
        <v>22.6</v>
      </c>
      <c r="AA15">
        <f>Y15/Y22/60+6.5</f>
        <v>36.668650186666738</v>
      </c>
      <c r="AB15">
        <v>4.33</v>
      </c>
      <c r="AC15">
        <v>311.27395200000001</v>
      </c>
      <c r="AD15">
        <f t="shared" si="7"/>
        <v>1</v>
      </c>
      <c r="AE15">
        <f t="shared" si="8"/>
        <v>2</v>
      </c>
      <c r="AF15" cm="1">
        <f t="array" ref="AF15">INDEX($Y$11:$Y$15,$AD15,0)</f>
        <v>0</v>
      </c>
      <c r="AG15" cm="1">
        <f t="array" ref="AG15">INDEX($Y$11:$Y$15,$AE15,0)</f>
        <v>12311.892584000032</v>
      </c>
      <c r="AH15" cm="1">
        <f t="array" ref="AH15">INDEX($Z$11:$Z$15,$AD15,0)</f>
        <v>4.33</v>
      </c>
      <c r="AI15" cm="1">
        <f t="array" ref="AI15">INDEX($Z$11:$Z$15,$AE15,0)</f>
        <v>6.2</v>
      </c>
      <c r="AJ15">
        <f t="shared" si="6"/>
        <v>4.3772780513855736</v>
      </c>
    </row>
    <row r="16" spans="1:36" x14ac:dyDescent="0.35">
      <c r="A16">
        <f>'FL6 data'!C17*0.3048</f>
        <v>349.37395200000003</v>
      </c>
      <c r="B16">
        <f t="shared" si="2"/>
        <v>4.3830648952451918</v>
      </c>
      <c r="C16">
        <v>4.2</v>
      </c>
      <c r="D16">
        <v>4.2</v>
      </c>
      <c r="E16">
        <v>4.2</v>
      </c>
      <c r="F16">
        <v>148.9</v>
      </c>
      <c r="G16">
        <f>('FL6 data'!D17-32)*5/9</f>
        <v>86.888969164887783</v>
      </c>
      <c r="H16">
        <f>('FL6 data'!J17-32)*5/9</f>
        <v>53.137739434897782</v>
      </c>
      <c r="I16">
        <f>('FL6 data'!P17-32)*5/9</f>
        <v>35.696669574426451</v>
      </c>
      <c r="J16">
        <f>('FL6 data'!V17-32)*5/9</f>
        <v>70.636389294908597</v>
      </c>
      <c r="K16">
        <f>('FL6 data'!AA17-32)*5/9</f>
        <v>42.826889517384444</v>
      </c>
      <c r="L16">
        <f>('FL6 data'!AF17-32)*5/9</f>
        <v>28.319429633444386</v>
      </c>
      <c r="M16">
        <f>('FL6 data'!AL17-32)*5/9</f>
        <v>57.236629402106701</v>
      </c>
      <c r="N16">
        <f>('FL6 data'!AS17-32)*5/9</f>
        <v>35.051979579584</v>
      </c>
      <c r="O16">
        <f>('FL6 data'!AZ17-32)*5/9</f>
        <v>23.424599672603051</v>
      </c>
      <c r="P16">
        <f>('FL6 data'!BN19-32)*5/9</f>
        <v>4.9446228204429392</v>
      </c>
      <c r="Q16">
        <f t="shared" si="3"/>
        <v>4.9446228204429392</v>
      </c>
      <c r="S16">
        <f t="shared" si="1"/>
        <v>1146.2959365120003</v>
      </c>
      <c r="T16">
        <f t="shared" si="4"/>
        <v>-1146.2959365120003</v>
      </c>
      <c r="U16">
        <f t="shared" si="5"/>
        <v>86.888969164887783</v>
      </c>
      <c r="V16">
        <f>Pressure!K16</f>
        <v>160.79608206228119</v>
      </c>
      <c r="AC16">
        <v>349.37395200000003</v>
      </c>
      <c r="AD16">
        <f t="shared" si="7"/>
        <v>1</v>
      </c>
      <c r="AE16">
        <f t="shared" si="8"/>
        <v>2</v>
      </c>
      <c r="AF16" cm="1">
        <f t="array" ref="AF16">INDEX($Y$11:$Y$15,$AD16,0)</f>
        <v>0</v>
      </c>
      <c r="AG16" cm="1">
        <f t="array" ref="AG16">INDEX($Y$11:$Y$15,$AE16,0)</f>
        <v>12311.892584000032</v>
      </c>
      <c r="AH16" cm="1">
        <f t="array" ref="AH16">INDEX($Z$11:$Z$15,$AD16,0)</f>
        <v>4.33</v>
      </c>
      <c r="AI16" cm="1">
        <f t="array" ref="AI16">INDEX($Z$11:$Z$15,$AE16,0)</f>
        <v>6.2</v>
      </c>
      <c r="AJ16">
        <f t="shared" si="6"/>
        <v>4.3830648952451918</v>
      </c>
    </row>
    <row r="17" spans="1:36" x14ac:dyDescent="0.35">
      <c r="A17">
        <f>'FL6 data'!C18*0.3048</f>
        <v>387.473952</v>
      </c>
      <c r="B17">
        <f t="shared" si="2"/>
        <v>4.3888517391048101</v>
      </c>
      <c r="C17">
        <v>4.2</v>
      </c>
      <c r="D17">
        <v>4.2</v>
      </c>
      <c r="E17">
        <v>4.2</v>
      </c>
      <c r="F17">
        <v>148.9</v>
      </c>
      <c r="G17">
        <f>('FL6 data'!D18-32)*5/9</f>
        <v>86.797439165620005</v>
      </c>
      <c r="H17">
        <f>('FL6 data'!J18-32)*5/9</f>
        <v>53.005089435958887</v>
      </c>
      <c r="I17">
        <f>('FL6 data'!P18-32)*5/9</f>
        <v>35.319309577445338</v>
      </c>
      <c r="J17">
        <f>('FL6 data'!V18-32)*5/9</f>
        <v>70.563539295491367</v>
      </c>
      <c r="K17">
        <f>('FL6 data'!AA18-32)*5/9</f>
        <v>42.724999518200001</v>
      </c>
      <c r="L17">
        <f>('FL6 data'!AF18-32)*5/9</f>
        <v>28.047069635623277</v>
      </c>
      <c r="M17">
        <f>('FL6 data'!AL18-32)*5/9</f>
        <v>57.177109402582879</v>
      </c>
      <c r="N17">
        <f>('FL6 data'!AS18-32)*5/9</f>
        <v>34.972549580219393</v>
      </c>
      <c r="O17">
        <f>('FL6 data'!AZ18-32)*5/9</f>
        <v>23.206229674349999</v>
      </c>
      <c r="P17">
        <f>('FL6 data'!BN20-32)*5/9</f>
        <v>4.9426978204583385</v>
      </c>
      <c r="Q17">
        <f t="shared" si="3"/>
        <v>4.9426978204583385</v>
      </c>
      <c r="S17">
        <f t="shared" si="1"/>
        <v>1271.3020365120001</v>
      </c>
      <c r="T17">
        <f t="shared" si="4"/>
        <v>-1271.3020365120001</v>
      </c>
      <c r="U17">
        <f t="shared" si="5"/>
        <v>86.797439165620005</v>
      </c>
      <c r="V17">
        <f>Pressure!K17</f>
        <v>160.97118313171126</v>
      </c>
      <c r="AC17">
        <v>387.473952</v>
      </c>
      <c r="AD17">
        <f t="shared" si="7"/>
        <v>1</v>
      </c>
      <c r="AE17">
        <f t="shared" si="8"/>
        <v>2</v>
      </c>
      <c r="AF17" cm="1">
        <f t="array" ref="AF17">INDEX($Y$11:$Y$15,$AD17,0)</f>
        <v>0</v>
      </c>
      <c r="AG17" cm="1">
        <f t="array" ref="AG17">INDEX($Y$11:$Y$15,$AE17,0)</f>
        <v>12311.892584000032</v>
      </c>
      <c r="AH17" cm="1">
        <f t="array" ref="AH17">INDEX($Z$11:$Z$15,$AD17,0)</f>
        <v>4.33</v>
      </c>
      <c r="AI17" cm="1">
        <f t="array" ref="AI17">INDEX($Z$11:$Z$15,$AE17,0)</f>
        <v>6.2</v>
      </c>
      <c r="AJ17">
        <f t="shared" si="6"/>
        <v>4.3888517391048101</v>
      </c>
    </row>
    <row r="18" spans="1:36" x14ac:dyDescent="0.35">
      <c r="A18">
        <f>'FL6 data'!C19*0.3048</f>
        <v>425.57395200000002</v>
      </c>
      <c r="B18">
        <f t="shared" si="2"/>
        <v>4.3946385829644283</v>
      </c>
      <c r="C18">
        <v>4.2</v>
      </c>
      <c r="D18">
        <v>4.2</v>
      </c>
      <c r="E18">
        <v>4.2</v>
      </c>
      <c r="F18">
        <v>148.9</v>
      </c>
      <c r="G18">
        <f>('FL6 data'!D19-32)*5/9</f>
        <v>86.705619166354438</v>
      </c>
      <c r="H18">
        <f>('FL6 data'!J19-32)*5/9</f>
        <v>52.872509437019438</v>
      </c>
      <c r="I18">
        <f>('FL6 data'!P19-32)*5/9</f>
        <v>34.948149580414608</v>
      </c>
      <c r="J18">
        <f>('FL6 data'!V19-32)*5/9</f>
        <v>70.489849296080891</v>
      </c>
      <c r="K18">
        <f>('FL6 data'!AA19-32)*5/9</f>
        <v>42.716689518266115</v>
      </c>
      <c r="L18">
        <f>('FL6 data'!AF19-32)*5/9</f>
        <v>27.790819637673273</v>
      </c>
      <c r="M18">
        <f>('FL6 data'!AL19-32)*5/9</f>
        <v>57.11940940304445</v>
      </c>
      <c r="N18">
        <f>('FL6 data'!AS19-32)*5/9</f>
        <v>35.247599578018999</v>
      </c>
      <c r="O18">
        <f>('FL6 data'!AZ19-32)*5/9</f>
        <v>23.026989675783948</v>
      </c>
      <c r="P18">
        <f>('FL6 data'!BN21-32)*5/9</f>
        <v>4.9449958204399556</v>
      </c>
      <c r="Q18">
        <f t="shared" si="3"/>
        <v>4.9449958204399556</v>
      </c>
      <c r="S18">
        <f t="shared" si="1"/>
        <v>1396.3081365120001</v>
      </c>
      <c r="T18">
        <f t="shared" si="4"/>
        <v>-1396.3081365120001</v>
      </c>
      <c r="U18">
        <f t="shared" si="5"/>
        <v>86.705619166354438</v>
      </c>
      <c r="V18">
        <f>Pressure!K18</f>
        <v>161.12668408143307</v>
      </c>
      <c r="X18" t="s">
        <v>184</v>
      </c>
      <c r="Y18" t="s">
        <v>181</v>
      </c>
      <c r="AC18">
        <v>425.57395200000002</v>
      </c>
      <c r="AD18">
        <f t="shared" si="7"/>
        <v>1</v>
      </c>
      <c r="AE18">
        <f t="shared" si="8"/>
        <v>2</v>
      </c>
      <c r="AF18" cm="1">
        <f t="array" ref="AF18">INDEX($Y$11:$Y$15,$AD18,0)</f>
        <v>0</v>
      </c>
      <c r="AG18" cm="1">
        <f t="array" ref="AG18">INDEX($Y$11:$Y$15,$AE18,0)</f>
        <v>12311.892584000032</v>
      </c>
      <c r="AH18" cm="1">
        <f t="array" ref="AH18">INDEX($Z$11:$Z$15,$AD18,0)</f>
        <v>4.33</v>
      </c>
      <c r="AI18" cm="1">
        <f t="array" ref="AI18">INDEX($Z$11:$Z$15,$AE18,0)</f>
        <v>6.2</v>
      </c>
      <c r="AJ18">
        <f t="shared" si="6"/>
        <v>4.3946385829644283</v>
      </c>
    </row>
    <row r="19" spans="1:36" x14ac:dyDescent="0.35">
      <c r="A19">
        <f>'FL6 data'!C20*0.3048</f>
        <v>463.67395200000004</v>
      </c>
      <c r="B19">
        <f t="shared" si="2"/>
        <v>4.4004254268240466</v>
      </c>
      <c r="C19">
        <v>4.2</v>
      </c>
      <c r="D19">
        <v>4.2</v>
      </c>
      <c r="E19">
        <v>4.2</v>
      </c>
      <c r="F19">
        <v>148.9</v>
      </c>
      <c r="G19">
        <f>('FL6 data'!D20-32)*5/9</f>
        <v>86.613519167091667</v>
      </c>
      <c r="H19">
        <f>('FL6 data'!J20-32)*5/9</f>
        <v>52.739999438079998</v>
      </c>
      <c r="I19">
        <f>('FL6 data'!P20-32)*5/9</f>
        <v>34.581789583345497</v>
      </c>
      <c r="J19">
        <f>('FL6 data'!V20-32)*5/9</f>
        <v>70.54811929561474</v>
      </c>
      <c r="K19">
        <f>('FL6 data'!AA20-32)*5/9</f>
        <v>44.732439502139997</v>
      </c>
      <c r="L19">
        <f>('FL6 data'!AF20-32)*5/9</f>
        <v>28.830179629358391</v>
      </c>
      <c r="M19">
        <f>('FL6 data'!AL20-32)*5/9</f>
        <v>57.158849402728961</v>
      </c>
      <c r="N19">
        <f>('FL6 data'!AS20-32)*5/9</f>
        <v>38.496279552029449</v>
      </c>
      <c r="O19">
        <f>('FL6 data'!AZ20-32)*5/9</f>
        <v>24.965979660272001</v>
      </c>
      <c r="P19">
        <f>('FL6 data'!BN22-32)*5/9</f>
        <v>4.9604738203161283</v>
      </c>
      <c r="Q19">
        <f t="shared" si="3"/>
        <v>4.9604738203161283</v>
      </c>
      <c r="S19">
        <f t="shared" si="1"/>
        <v>1521.3142365120002</v>
      </c>
      <c r="T19">
        <f t="shared" si="4"/>
        <v>-1521.3142365120002</v>
      </c>
      <c r="U19">
        <f t="shared" si="5"/>
        <v>86.613519167091667</v>
      </c>
      <c r="V19">
        <f>Pressure!K19</f>
        <v>161.2624849108368</v>
      </c>
      <c r="Y19">
        <v>6.5</v>
      </c>
      <c r="Z19">
        <v>6.2</v>
      </c>
      <c r="AC19">
        <v>463.67395200000004</v>
      </c>
      <c r="AD19">
        <f t="shared" si="7"/>
        <v>1</v>
      </c>
      <c r="AE19">
        <f t="shared" si="8"/>
        <v>2</v>
      </c>
      <c r="AF19" cm="1">
        <f t="array" ref="AF19">INDEX($Y$11:$Y$15,$AD19,0)</f>
        <v>0</v>
      </c>
      <c r="AG19" cm="1">
        <f t="array" ref="AG19">INDEX($Y$11:$Y$15,$AE19,0)</f>
        <v>12311.892584000032</v>
      </c>
      <c r="AH19" cm="1">
        <f t="array" ref="AH19">INDEX($Z$11:$Z$15,$AD19,0)</f>
        <v>4.33</v>
      </c>
      <c r="AI19" cm="1">
        <f t="array" ref="AI19">INDEX($Z$11:$Z$15,$AE19,0)</f>
        <v>6.2</v>
      </c>
      <c r="AJ19">
        <f t="shared" si="6"/>
        <v>4.4004254268240466</v>
      </c>
    </row>
    <row r="20" spans="1:36" x14ac:dyDescent="0.35">
      <c r="A20">
        <f>'FL6 data'!C21*0.3048</f>
        <v>497.73535200000003</v>
      </c>
      <c r="B20">
        <f t="shared" si="2"/>
        <v>4.4055988652345448</v>
      </c>
      <c r="C20">
        <v>4.2</v>
      </c>
      <c r="D20">
        <v>4.2</v>
      </c>
      <c r="E20">
        <v>4.2</v>
      </c>
      <c r="F20">
        <v>148.9</v>
      </c>
      <c r="G20">
        <f>('FL6 data'!D21-32)*5/9</f>
        <v>86.540079167678897</v>
      </c>
      <c r="H20">
        <f>('FL6 data'!J21-32)*5/9</f>
        <v>52.634969438920002</v>
      </c>
      <c r="I20">
        <f>('FL6 data'!P21-32)*5/9</f>
        <v>34.295109585638947</v>
      </c>
      <c r="J20">
        <f>('FL6 data'!V21-32)*5/9</f>
        <v>70.462769296297552</v>
      </c>
      <c r="K20">
        <f>('FL6 data'!AA21-32)*5/9</f>
        <v>44.715419502276667</v>
      </c>
      <c r="L20">
        <f>('FL6 data'!AF21-32)*5/9</f>
        <v>28.862269629101675</v>
      </c>
      <c r="M20">
        <f>('FL6 data'!AL21-32)*5/9</f>
        <v>57.358019401135593</v>
      </c>
      <c r="N20">
        <f>('FL6 data'!AS21-32)*5/9</f>
        <v>38.463709552289998</v>
      </c>
      <c r="O20">
        <f>('FL6 data'!AZ21-32)*5/9</f>
        <v>25.061529659507613</v>
      </c>
      <c r="P20">
        <f>('FL6 data'!BN23-32)*5/9</f>
        <v>4.9969418200243885</v>
      </c>
      <c r="Q20">
        <f t="shared" si="3"/>
        <v>4.9969418200243885</v>
      </c>
      <c r="S20">
        <f t="shared" si="1"/>
        <v>1633.0696899120003</v>
      </c>
      <c r="T20">
        <f t="shared" si="4"/>
        <v>-1633.0696899120003</v>
      </c>
      <c r="U20">
        <f t="shared" si="5"/>
        <v>86.540079167678897</v>
      </c>
      <c r="V20">
        <f>Pressure!K20</f>
        <v>161.30688518201163</v>
      </c>
      <c r="X20">
        <f>(72-6.5)*Y22*60</f>
        <v>29475</v>
      </c>
      <c r="Y20">
        <v>72</v>
      </c>
      <c r="Z20">
        <v>4.2</v>
      </c>
      <c r="AC20">
        <v>497.73535200000003</v>
      </c>
      <c r="AD20">
        <f t="shared" si="7"/>
        <v>1</v>
      </c>
      <c r="AE20">
        <f t="shared" si="8"/>
        <v>2</v>
      </c>
      <c r="AF20" cm="1">
        <f t="array" ref="AF20">INDEX($Y$11:$Y$15,$AD20,0)</f>
        <v>0</v>
      </c>
      <c r="AG20" cm="1">
        <f t="array" ref="AG20">INDEX($Y$11:$Y$15,$AE20,0)</f>
        <v>12311.892584000032</v>
      </c>
      <c r="AH20" cm="1">
        <f t="array" ref="AH20">INDEX($Z$11:$Z$15,$AD20,0)</f>
        <v>4.33</v>
      </c>
      <c r="AI20" cm="1">
        <f t="array" ref="AI20">INDEX($Z$11:$Z$15,$AE20,0)</f>
        <v>6.2</v>
      </c>
      <c r="AJ20">
        <f t="shared" si="6"/>
        <v>4.4055988652345448</v>
      </c>
    </row>
    <row r="21" spans="1:36" x14ac:dyDescent="0.35">
      <c r="A21">
        <f>'FL6 data'!C22*0.3048</f>
        <v>527.758152</v>
      </c>
      <c r="B21">
        <f t="shared" si="2"/>
        <v>4.4101588981959239</v>
      </c>
      <c r="C21">
        <v>4.2</v>
      </c>
      <c r="D21">
        <v>4.2</v>
      </c>
      <c r="E21">
        <v>4.2</v>
      </c>
      <c r="F21">
        <v>148.9</v>
      </c>
      <c r="G21">
        <f>('FL6 data'!D22-32)*5/9</f>
        <v>86.464599168282774</v>
      </c>
      <c r="H21">
        <f>('FL6 data'!J22-32)*5/9</f>
        <v>52.528569439771104</v>
      </c>
      <c r="I21">
        <f>('FL6 data'!P22-32)*5/9</f>
        <v>34.009249587925837</v>
      </c>
      <c r="J21">
        <f>('FL6 data'!V22-32)*5/9</f>
        <v>70.300919297592344</v>
      </c>
      <c r="K21">
        <f>('FL6 data'!AA22-32)*5/9</f>
        <v>44.564719503482223</v>
      </c>
      <c r="L21">
        <f>('FL6 data'!AF22-32)*5/9</f>
        <v>28.584149631326667</v>
      </c>
      <c r="M21">
        <f>('FL6 data'!AL22-32)*5/9</f>
        <v>56.964379404284699</v>
      </c>
      <c r="N21">
        <f>('FL6 data'!AS22-32)*5/9</f>
        <v>38.335719553313893</v>
      </c>
      <c r="O21">
        <f>('FL6 data'!AZ22-32)*5/9</f>
        <v>24.815449661476276</v>
      </c>
      <c r="P21">
        <f>('FL6 data'!BN24-32)*5/9</f>
        <v>4.9521398203828007</v>
      </c>
      <c r="Q21">
        <f t="shared" si="3"/>
        <v>4.9521398203828007</v>
      </c>
      <c r="S21">
        <f t="shared" si="1"/>
        <v>1731.5744967120002</v>
      </c>
      <c r="T21">
        <f t="shared" si="4"/>
        <v>-1731.5744967120002</v>
      </c>
      <c r="U21">
        <f t="shared" si="5"/>
        <v>86.464599168282774</v>
      </c>
      <c r="V21">
        <f>Pressure!K21</f>
        <v>161.25988489495757</v>
      </c>
      <c r="Y21" t="s">
        <v>182</v>
      </c>
      <c r="AC21">
        <v>527.758152</v>
      </c>
      <c r="AD21">
        <f t="shared" si="7"/>
        <v>1</v>
      </c>
      <c r="AE21">
        <f t="shared" si="8"/>
        <v>2</v>
      </c>
      <c r="AF21" cm="1">
        <f t="array" ref="AF21">INDEX($Y$11:$Y$15,$AD21,0)</f>
        <v>0</v>
      </c>
      <c r="AG21" cm="1">
        <f t="array" ref="AG21">INDEX($Y$11:$Y$15,$AE21,0)</f>
        <v>12311.892584000032</v>
      </c>
      <c r="AH21" cm="1">
        <f t="array" ref="AH21">INDEX($Z$11:$Z$15,$AD21,0)</f>
        <v>4.33</v>
      </c>
      <c r="AI21" cm="1">
        <f t="array" ref="AI21">INDEX($Z$11:$Z$15,$AE21,0)</f>
        <v>6.2</v>
      </c>
      <c r="AJ21">
        <f t="shared" si="6"/>
        <v>4.4101588981959239</v>
      </c>
    </row>
    <row r="22" spans="1:36" x14ac:dyDescent="0.35">
      <c r="A22">
        <f>'FL6 data'!C23*0.3048</f>
        <v>554.12563799999998</v>
      </c>
      <c r="B22">
        <f t="shared" si="2"/>
        <v>4.4141637413574113</v>
      </c>
      <c r="C22">
        <v>4.2</v>
      </c>
      <c r="D22">
        <v>4.2</v>
      </c>
      <c r="E22">
        <v>4.2</v>
      </c>
      <c r="F22">
        <v>148.9</v>
      </c>
      <c r="G22">
        <f>('FL6 data'!D23-32)*5/9</f>
        <v>86.407399168740554</v>
      </c>
      <c r="H22">
        <f>('FL6 data'!J23-32)*5/9</f>
        <v>52.448009440415561</v>
      </c>
      <c r="I22">
        <f>('FL6 data'!P23-32)*5/9</f>
        <v>33.793579589651166</v>
      </c>
      <c r="J22">
        <f>('FL6 data'!V23-32)*5/9</f>
        <v>70.24887929800866</v>
      </c>
      <c r="K22">
        <f>('FL6 data'!AA23-32)*5/9</f>
        <v>44.516729503866117</v>
      </c>
      <c r="L22">
        <f>('FL6 data'!AF23-32)*5/9</f>
        <v>28.475059632199336</v>
      </c>
      <c r="M22">
        <f>('FL6 data'!AL23-32)*5/9</f>
        <v>56.922939404616208</v>
      </c>
      <c r="N22">
        <f>('FL6 data'!AS23-32)*5/9</f>
        <v>38.300779553593337</v>
      </c>
      <c r="O22">
        <f>('FL6 data'!AZ23-32)*5/9</f>
        <v>24.726869662184885</v>
      </c>
      <c r="P22">
        <f>('FL6 data'!BN25-32)*5/9</f>
        <v>4.9391588204866501</v>
      </c>
      <c r="Q22">
        <f t="shared" si="3"/>
        <v>4.9391588204866501</v>
      </c>
      <c r="S22">
        <f t="shared" si="1"/>
        <v>1818.0862182779999</v>
      </c>
      <c r="T22">
        <f t="shared" si="4"/>
        <v>-1818.0862182779999</v>
      </c>
      <c r="U22">
        <f t="shared" si="5"/>
        <v>86.407399168740554</v>
      </c>
      <c r="V22">
        <f>Pressure!K22</f>
        <v>161.20288454682782</v>
      </c>
      <c r="Y22">
        <v>7.5</v>
      </c>
      <c r="Z22" t="s">
        <v>183</v>
      </c>
      <c r="AC22">
        <v>554.12563799999998</v>
      </c>
      <c r="AD22">
        <f t="shared" si="7"/>
        <v>1</v>
      </c>
      <c r="AE22">
        <f t="shared" si="8"/>
        <v>2</v>
      </c>
      <c r="AF22" cm="1">
        <f t="array" ref="AF22">INDEX($Y$11:$Y$15,$AD22,0)</f>
        <v>0</v>
      </c>
      <c r="AG22" cm="1">
        <f t="array" ref="AG22">INDEX($Y$11:$Y$15,$AE22,0)</f>
        <v>12311.892584000032</v>
      </c>
      <c r="AH22" cm="1">
        <f t="array" ref="AH22">INDEX($Z$11:$Z$15,$AD22,0)</f>
        <v>4.33</v>
      </c>
      <c r="AI22" cm="1">
        <f t="array" ref="AI22">INDEX($Z$11:$Z$15,$AE22,0)</f>
        <v>6.2</v>
      </c>
      <c r="AJ22">
        <f t="shared" si="6"/>
        <v>4.4141637413574113</v>
      </c>
    </row>
    <row r="23" spans="1:36" x14ac:dyDescent="0.35">
      <c r="A23">
        <f>'FL6 data'!C24*0.3048</f>
        <v>576.83780999999999</v>
      </c>
      <c r="B23">
        <f t="shared" si="2"/>
        <v>4.417613394719007</v>
      </c>
      <c r="C23">
        <v>4.2</v>
      </c>
      <c r="D23">
        <v>4.2</v>
      </c>
      <c r="E23">
        <v>4.2</v>
      </c>
      <c r="F23">
        <v>148.9</v>
      </c>
      <c r="G23">
        <f>('FL6 data'!D24-32)*5/9</f>
        <v>86.349759169201675</v>
      </c>
      <c r="H23">
        <f>('FL6 data'!J24-32)*5/9</f>
        <v>52.367409441060559</v>
      </c>
      <c r="I23">
        <f>('FL6 data'!P24-32)*5/9</f>
        <v>33.579489591363895</v>
      </c>
      <c r="J23">
        <f>('FL6 data'!V24-32)*5/9</f>
        <v>70.202249298381687</v>
      </c>
      <c r="K23">
        <f>('FL6 data'!AA24-32)*5/9</f>
        <v>44.402809504777224</v>
      </c>
      <c r="L23">
        <f>('FL6 data'!AF24-32)*5/9</f>
        <v>28.29443963364433</v>
      </c>
      <c r="M23">
        <f>('FL6 data'!AL24-32)*5/9</f>
        <v>56.885499404915741</v>
      </c>
      <c r="N23">
        <f>('FL6 data'!AS24-32)*5/9</f>
        <v>38.160869554712775</v>
      </c>
      <c r="O23">
        <f>('FL6 data'!AZ24-32)*5/9</f>
        <v>24.574729663402</v>
      </c>
      <c r="P23">
        <f>('FL6 data'!BN26-32)*5/9</f>
        <v>4.9339988205279299</v>
      </c>
      <c r="Q23">
        <f t="shared" si="3"/>
        <v>4.9339988205279299</v>
      </c>
      <c r="S23">
        <f t="shared" si="1"/>
        <v>1892.6048546100001</v>
      </c>
      <c r="T23">
        <f t="shared" si="4"/>
        <v>-1892.6048546100001</v>
      </c>
      <c r="U23">
        <f t="shared" si="5"/>
        <v>86.349759169201675</v>
      </c>
      <c r="V23">
        <f>Pressure!K23</f>
        <v>161.13588413762236</v>
      </c>
      <c r="AC23">
        <v>576.83780999999999</v>
      </c>
      <c r="AD23">
        <f t="shared" si="7"/>
        <v>1</v>
      </c>
      <c r="AE23">
        <f t="shared" si="8"/>
        <v>2</v>
      </c>
      <c r="AF23" cm="1">
        <f t="array" ref="AF23">INDEX($Y$11:$Y$15,$AD23,0)</f>
        <v>0</v>
      </c>
      <c r="AG23" cm="1">
        <f t="array" ref="AG23">INDEX($Y$11:$Y$15,$AE23,0)</f>
        <v>12311.892584000032</v>
      </c>
      <c r="AH23" cm="1">
        <f t="array" ref="AH23">INDEX($Z$11:$Z$15,$AD23,0)</f>
        <v>4.33</v>
      </c>
      <c r="AI23" cm="1">
        <f t="array" ref="AI23">INDEX($Z$11:$Z$15,$AE23,0)</f>
        <v>6.2</v>
      </c>
      <c r="AJ23">
        <f t="shared" si="6"/>
        <v>4.417613394719007</v>
      </c>
    </row>
    <row r="24" spans="1:36" x14ac:dyDescent="0.35">
      <c r="A24">
        <f>'FL6 data'!C25*0.3048</f>
        <v>599.55074400000001</v>
      </c>
      <c r="B24">
        <f t="shared" si="2"/>
        <v>4.4210631638174798</v>
      </c>
      <c r="C24">
        <v>4.2</v>
      </c>
      <c r="D24">
        <v>4.2</v>
      </c>
      <c r="E24">
        <v>4.2</v>
      </c>
      <c r="F24">
        <v>148.9</v>
      </c>
      <c r="G24">
        <f>('FL6 data'!D25-32)*5/9</f>
        <v>86.292099169662777</v>
      </c>
      <c r="H24">
        <f>('FL6 data'!J25-32)*5/9</f>
        <v>52.286909441704445</v>
      </c>
      <c r="I24">
        <f>('FL6 data'!P25-32)*5/9</f>
        <v>33.367499593059833</v>
      </c>
      <c r="J24">
        <f>('FL6 data'!V25-32)*5/9</f>
        <v>70.155539298755386</v>
      </c>
      <c r="K24">
        <f>('FL6 data'!AA25-32)*5/9</f>
        <v>43.923469508612214</v>
      </c>
      <c r="L24">
        <f>('FL6 data'!AF25-32)*5/9</f>
        <v>28.112969635096061</v>
      </c>
      <c r="M24">
        <f>('FL6 data'!AL25-32)*5/9</f>
        <v>56.848099405214938</v>
      </c>
      <c r="N24">
        <f>('FL6 data'!AS25-32)*5/9</f>
        <v>36.99142956406839</v>
      </c>
      <c r="O24">
        <f>('FL6 data'!AZ25-32)*5/9</f>
        <v>24.421349664629059</v>
      </c>
      <c r="P24">
        <f>('FL6 data'!BN27-32)*5/9</f>
        <v>4.9321428205427784</v>
      </c>
      <c r="Q24">
        <f t="shared" si="3"/>
        <v>4.9321428205427784</v>
      </c>
      <c r="S24">
        <f t="shared" si="1"/>
        <v>1967.1259910640001</v>
      </c>
      <c r="T24">
        <f t="shared" si="4"/>
        <v>-1967.1259910640001</v>
      </c>
      <c r="U24">
        <f t="shared" si="5"/>
        <v>86.292099169662777</v>
      </c>
      <c r="V24">
        <f>Pressure!K24</f>
        <v>161.06598371070578</v>
      </c>
      <c r="AC24">
        <v>599.55074400000001</v>
      </c>
      <c r="AD24">
        <f t="shared" si="7"/>
        <v>1</v>
      </c>
      <c r="AE24">
        <f t="shared" si="8"/>
        <v>2</v>
      </c>
      <c r="AF24" cm="1">
        <f t="array" ref="AF24">INDEX($Y$11:$Y$15,$AD24,0)</f>
        <v>0</v>
      </c>
      <c r="AG24" cm="1">
        <f t="array" ref="AG24">INDEX($Y$11:$Y$15,$AE24,0)</f>
        <v>12311.892584000032</v>
      </c>
      <c r="AH24" cm="1">
        <f t="array" ref="AH24">INDEX($Z$11:$Z$15,$AD24,0)</f>
        <v>4.33</v>
      </c>
      <c r="AI24" cm="1">
        <f t="array" ref="AI24">INDEX($Z$11:$Z$15,$AE24,0)</f>
        <v>6.2</v>
      </c>
      <c r="AJ24">
        <f t="shared" si="6"/>
        <v>4.4210631638174798</v>
      </c>
    </row>
    <row r="168" spans="20:22" x14ac:dyDescent="0.35">
      <c r="T168" s="20"/>
      <c r="U168" s="20"/>
      <c r="V168" s="20"/>
    </row>
    <row r="169" spans="20:22" x14ac:dyDescent="0.35">
      <c r="T169" s="8"/>
      <c r="U169" s="8"/>
      <c r="V169" s="8"/>
    </row>
    <row r="172" spans="20:22" x14ac:dyDescent="0.35">
      <c r="T172" s="8"/>
      <c r="U172" s="8"/>
      <c r="V172" s="8"/>
    </row>
    <row r="183" spans="20:22" x14ac:dyDescent="0.35">
      <c r="T183" s="8"/>
      <c r="U183" s="8"/>
      <c r="V183" s="8"/>
    </row>
    <row r="230" spans="20:22" x14ac:dyDescent="0.35">
      <c r="T230" s="8"/>
      <c r="U230" s="8"/>
      <c r="V230" s="8"/>
    </row>
  </sheetData>
  <pageMargins left="0.7" right="0.7" top="0.75" bottom="0.75" header="0.3" footer="0.3"/>
  <pageSetup orientation="portrait" horizontalDpi="200" verticalDpi="200" r:id="rId1"/>
  <headerFooter>
    <oddHeader>&amp;L&amp;"Calibri"&amp;10&amp;K0000FFTechnipFMC | Internal&amp;1#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E0FD-CBB7-4A8C-95E7-9BBB7E2D16DE}">
  <dimension ref="A1:U89"/>
  <sheetViews>
    <sheetView topLeftCell="A75" workbookViewId="0">
      <selection activeCell="N98" sqref="N98"/>
    </sheetView>
  </sheetViews>
  <sheetFormatPr defaultRowHeight="14.5" x14ac:dyDescent="0.35"/>
  <cols>
    <col min="1" max="1" width="14.1796875" customWidth="1"/>
    <col min="3" max="3" width="14.6328125" customWidth="1"/>
  </cols>
  <sheetData>
    <row r="1" spans="1:21" x14ac:dyDescent="0.35">
      <c r="A1" t="s">
        <v>51</v>
      </c>
      <c r="B1" t="s">
        <v>54</v>
      </c>
      <c r="C1" t="s">
        <v>75</v>
      </c>
      <c r="D1" t="s">
        <v>77</v>
      </c>
      <c r="E1" t="s">
        <v>185</v>
      </c>
      <c r="F1" t="s">
        <v>78</v>
      </c>
      <c r="G1" t="s">
        <v>81</v>
      </c>
      <c r="H1" t="s">
        <v>82</v>
      </c>
      <c r="I1" t="s">
        <v>83</v>
      </c>
      <c r="J1" t="s">
        <v>80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122</v>
      </c>
      <c r="R1" t="s">
        <v>123</v>
      </c>
      <c r="S1" t="s">
        <v>124</v>
      </c>
      <c r="T1" t="s">
        <v>154</v>
      </c>
      <c r="U1" t="s">
        <v>155</v>
      </c>
    </row>
    <row r="2" spans="1:21" x14ac:dyDescent="0.35">
      <c r="A2" t="s">
        <v>52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</row>
    <row r="3" spans="1:21" x14ac:dyDescent="0.35">
      <c r="A3" t="s">
        <v>53</v>
      </c>
      <c r="B3" t="s">
        <v>55</v>
      </c>
      <c r="C3" t="s">
        <v>55</v>
      </c>
      <c r="D3" t="s">
        <v>55</v>
      </c>
      <c r="E3" t="s">
        <v>55</v>
      </c>
      <c r="F3" t="s">
        <v>55</v>
      </c>
      <c r="G3" t="s">
        <v>55</v>
      </c>
      <c r="H3" t="s">
        <v>55</v>
      </c>
      <c r="I3" t="s">
        <v>55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55</v>
      </c>
      <c r="T3" t="s">
        <v>55</v>
      </c>
      <c r="U3" t="s">
        <v>55</v>
      </c>
    </row>
    <row r="4" spans="1:21" x14ac:dyDescent="0.35">
      <c r="A4">
        <v>0</v>
      </c>
      <c r="B4">
        <v>1</v>
      </c>
      <c r="C4">
        <f>FL6_WD!U3</f>
        <v>121.26591922536001</v>
      </c>
      <c r="D4">
        <f>FL6_WD!V3</f>
        <v>120.674378155968</v>
      </c>
      <c r="E4">
        <f>FL6_WD!W3</f>
        <v>1351.2809192253601</v>
      </c>
      <c r="F4">
        <f>FL6_WD!X3</f>
        <v>1519.00591922536</v>
      </c>
      <c r="G4">
        <f>FL6_WD!Y3</f>
        <v>120.674378155968</v>
      </c>
      <c r="H4">
        <v>1</v>
      </c>
      <c r="I4">
        <f>FL6_WD!Z3</f>
        <v>108.97369580339425</v>
      </c>
      <c r="J4">
        <f>FL6_WD!AA3</f>
        <v>1217.53591922536</v>
      </c>
      <c r="K4">
        <f>K5</f>
        <v>160.39217959544635</v>
      </c>
      <c r="L4">
        <f>L5</f>
        <v>148.76960861057847</v>
      </c>
      <c r="M4">
        <f t="shared" ref="M4:T4" si="0">M5</f>
        <v>157.56686233981719</v>
      </c>
      <c r="N4">
        <f t="shared" si="0"/>
        <v>147.96370368851342</v>
      </c>
      <c r="O4">
        <f t="shared" si="0"/>
        <v>142.83957239287508</v>
      </c>
      <c r="P4">
        <f t="shared" si="0"/>
        <v>151.53412549486896</v>
      </c>
      <c r="Q4">
        <f t="shared" si="0"/>
        <v>129.73329234625234</v>
      </c>
      <c r="R4">
        <f t="shared" si="0"/>
        <v>142.91217283628222</v>
      </c>
      <c r="S4">
        <f t="shared" si="0"/>
        <v>147.58490137497793</v>
      </c>
      <c r="T4">
        <f t="shared" si="0"/>
        <v>82.132181622406463</v>
      </c>
      <c r="U4">
        <f>T4</f>
        <v>82.132181622406463</v>
      </c>
    </row>
    <row r="5" spans="1:21" x14ac:dyDescent="0.35">
      <c r="A5">
        <v>14.795924163033481</v>
      </c>
      <c r="B5">
        <v>1</v>
      </c>
      <c r="C5">
        <f>FL6_WD!U4</f>
        <v>121.26708968187869</v>
      </c>
      <c r="D5">
        <f>FL6_WD!V4</f>
        <v>120.67554290294269</v>
      </c>
      <c r="E5">
        <f>FL6_WD!W4</f>
        <v>1351.2820896818787</v>
      </c>
      <c r="F5">
        <f>FL6_WD!X4</f>
        <v>1519.0070896818786</v>
      </c>
      <c r="G5">
        <f>FL6_WD!Y4</f>
        <v>120.67554290294269</v>
      </c>
      <c r="H5">
        <v>1</v>
      </c>
      <c r="I5">
        <f>FL6_WD!Z4</f>
        <v>108.97474761558871</v>
      </c>
      <c r="J5">
        <f>FL6_WD!AA4</f>
        <v>1217.5370896818786</v>
      </c>
      <c r="K5">
        <f>'FL6 data'!E6*0.068948</f>
        <v>160.39217959544635</v>
      </c>
      <c r="L5">
        <f>'FL6 data'!K6*0.068948</f>
        <v>148.76960861057847</v>
      </c>
      <c r="M5">
        <f>'FL6 data'!Q6*0.068948</f>
        <v>157.56686233981719</v>
      </c>
      <c r="N5">
        <f>'FL6 data'!W6*0.068948</f>
        <v>147.96370368851342</v>
      </c>
      <c r="O5">
        <f>'FL6 data'!AB6*0.068948</f>
        <v>142.83957239287508</v>
      </c>
      <c r="P5">
        <f>'FL6 data'!AG6*0.068948</f>
        <v>151.53412549486896</v>
      </c>
      <c r="Q5">
        <f>'FL6 data'!AN6*0.068948</f>
        <v>129.73329234625234</v>
      </c>
      <c r="R5">
        <f>'FL6 data'!AU6*0.068948</f>
        <v>142.91217283628222</v>
      </c>
      <c r="S5">
        <f>'FL6 data'!BB6*0.068948</f>
        <v>147.58490137497793</v>
      </c>
      <c r="T5">
        <f>'FL6 data'!BK8*0.068948</f>
        <v>82.132181622406463</v>
      </c>
      <c r="U5">
        <f t="shared" ref="U5:U68" si="1">T5</f>
        <v>82.132181622406463</v>
      </c>
    </row>
    <row r="6" spans="1:21" x14ac:dyDescent="0.35">
      <c r="A6">
        <v>44.387772489100534</v>
      </c>
      <c r="B6">
        <v>1</v>
      </c>
      <c r="C6">
        <f>FL6_WD!U5</f>
        <v>121.25059502436001</v>
      </c>
      <c r="D6">
        <f>FL6_WD!V5</f>
        <v>120.65912870716801</v>
      </c>
      <c r="E6">
        <f>FL6_WD!W5</f>
        <v>1351.2655950243602</v>
      </c>
      <c r="F6">
        <f>FL6_WD!X5</f>
        <v>1518.9905950243601</v>
      </c>
      <c r="G6">
        <f>FL6_WD!Y5</f>
        <v>120.65912870716801</v>
      </c>
      <c r="H6">
        <v>1</v>
      </c>
      <c r="I6">
        <f>FL6_WD!Z5</f>
        <v>108.95992495311023</v>
      </c>
      <c r="J6">
        <f>FL6_WD!AA5</f>
        <v>1217.5205950243601</v>
      </c>
      <c r="K6">
        <f>'FL6 data'!E7*0.068948</f>
        <v>160.46988007000198</v>
      </c>
      <c r="L6">
        <f>'FL6 data'!K7*0.068948</f>
        <v>148.88920934104033</v>
      </c>
      <c r="M6">
        <f>'FL6 data'!Q7*0.068948</f>
        <v>157.69256310753525</v>
      </c>
      <c r="N6">
        <f>'FL6 data'!W7*0.068948</f>
        <v>148.0855044324116</v>
      </c>
      <c r="O6">
        <f>'FL6 data'!AB7*0.068948</f>
        <v>142.96397315265287</v>
      </c>
      <c r="P6">
        <f>'FL6 data'!AG7*0.068948</f>
        <v>151.66002626380828</v>
      </c>
      <c r="Q6">
        <f>'FL6 data'!AN7*0.068948</f>
        <v>129.85599309564734</v>
      </c>
      <c r="R6">
        <f>'FL6 data'!AU7*0.068948</f>
        <v>143.03737360094573</v>
      </c>
      <c r="S6">
        <f>'FL6 data'!BB7*0.068948</f>
        <v>147.7112021463598</v>
      </c>
      <c r="T6">
        <f>'FL6 data'!BK9*0.068948</f>
        <v>82.205312069050777</v>
      </c>
      <c r="U6">
        <f t="shared" si="1"/>
        <v>82.205312069050777</v>
      </c>
    </row>
    <row r="7" spans="1:21" x14ac:dyDescent="0.35">
      <c r="A7">
        <v>67.691848326067031</v>
      </c>
      <c r="B7">
        <v>1</v>
      </c>
      <c r="C7">
        <f>FL6_WD!U6</f>
        <v>121.2570575821281</v>
      </c>
      <c r="D7">
        <f>FL6_WD!V6</f>
        <v>120.66555974026404</v>
      </c>
      <c r="E7">
        <f>FL6_WD!W6</f>
        <v>1351.2720575821281</v>
      </c>
      <c r="F7">
        <f>FL6_WD!X6</f>
        <v>1518.997057582128</v>
      </c>
      <c r="G7">
        <f>FL6_WD!Y6</f>
        <v>120.66555974026404</v>
      </c>
      <c r="H7">
        <v>1</v>
      </c>
      <c r="I7">
        <f>FL6_WD!Z6</f>
        <v>108.96573242819333</v>
      </c>
      <c r="J7">
        <f>FL6_WD!AA6</f>
        <v>1217.527057582128</v>
      </c>
      <c r="K7">
        <f>'FL6 data'!E8*0.068948</f>
        <v>160.5309804431725</v>
      </c>
      <c r="L7">
        <f>'FL6 data'!K8*0.068948</f>
        <v>148.98340991637036</v>
      </c>
      <c r="M7">
        <f>'FL6 data'!Q8*0.068948</f>
        <v>157.79156371218119</v>
      </c>
      <c r="N7">
        <f>'FL6 data'!W8*0.068948</f>
        <v>148.18150501873532</v>
      </c>
      <c r="O7">
        <f>'FL6 data'!AB8*0.068948</f>
        <v>143.06207375180242</v>
      </c>
      <c r="P7">
        <f>'FL6 data'!AG8*0.068948</f>
        <v>151.75912686906554</v>
      </c>
      <c r="Q7">
        <f>'FL6 data'!AN8*0.068948</f>
        <v>129.95269368624631</v>
      </c>
      <c r="R7">
        <f>'FL6 data'!AU8*0.068948</f>
        <v>143.13597420314915</v>
      </c>
      <c r="S7">
        <f>'FL6 data'!BB8*0.068948</f>
        <v>147.81060275344899</v>
      </c>
      <c r="T7">
        <f>'FL6 data'!BK10*0.068948</f>
        <v>82.304372674063544</v>
      </c>
      <c r="U7">
        <f t="shared" si="1"/>
        <v>82.304372674063544</v>
      </c>
    </row>
    <row r="8" spans="1:21" x14ac:dyDescent="0.35">
      <c r="A8">
        <v>82.580988000000005</v>
      </c>
      <c r="B8">
        <v>1</v>
      </c>
      <c r="C8">
        <f>FL6_WD!U7</f>
        <v>121.26252797967869</v>
      </c>
      <c r="D8">
        <f>FL6_WD!V7</f>
        <v>120.67100345294857</v>
      </c>
      <c r="E8">
        <f>FL6_WD!W7</f>
        <v>1351.2775279796788</v>
      </c>
      <c r="F8">
        <f>FL6_WD!X7</f>
        <v>1519.0025279796787</v>
      </c>
      <c r="G8">
        <f>FL6_WD!Y7</f>
        <v>120.67100345294857</v>
      </c>
      <c r="H8">
        <v>1</v>
      </c>
      <c r="I8">
        <f>FL6_WD!Z7</f>
        <v>108.97064831422638</v>
      </c>
      <c r="J8">
        <f>FL6_WD!AA7</f>
        <v>1217.5325279796787</v>
      </c>
      <c r="K8">
        <f>'FL6 data'!E9*0.068948</f>
        <v>160.54718054211503</v>
      </c>
      <c r="L8">
        <f>'FL6 data'!K9*0.068948</f>
        <v>149.01941013624167</v>
      </c>
      <c r="M8">
        <f>'FL6 data'!Q9*0.068948</f>
        <v>157.83056395037565</v>
      </c>
      <c r="N8">
        <f>'FL6 data'!W9*0.068948</f>
        <v>148.2197052520433</v>
      </c>
      <c r="O8">
        <f>'FL6 data'!AB9*0.068948</f>
        <v>143.10107398999617</v>
      </c>
      <c r="P8">
        <f>'FL6 data'!AG9*0.068948</f>
        <v>151.79862711031316</v>
      </c>
      <c r="Q8">
        <f>'FL6 data'!AN9*0.068948</f>
        <v>129.99119392138655</v>
      </c>
      <c r="R8">
        <f>'FL6 data'!AU9*0.068948</f>
        <v>143.17527444317548</v>
      </c>
      <c r="S8">
        <f>'FL6 data'!BB9*0.068948</f>
        <v>147.85020299530791</v>
      </c>
      <c r="T8">
        <f>'FL6 data'!BK11*0.068948</f>
        <v>82.343982915983148</v>
      </c>
      <c r="U8">
        <f t="shared" si="1"/>
        <v>82.343982915983148</v>
      </c>
    </row>
    <row r="9" spans="1:21" x14ac:dyDescent="0.35">
      <c r="A9">
        <v>95.342964000000009</v>
      </c>
      <c r="B9">
        <v>1</v>
      </c>
      <c r="C9">
        <f>FL6_WD!U8</f>
        <v>121.2759136692522</v>
      </c>
      <c r="D9">
        <f>FL6_WD!V8</f>
        <v>120.68432384647535</v>
      </c>
      <c r="E9">
        <f>FL6_WD!W8</f>
        <v>1351.2909136692524</v>
      </c>
      <c r="F9">
        <f>FL6_WD!X8</f>
        <v>1519.0159136692523</v>
      </c>
      <c r="G9">
        <f>FL6_WD!Y8</f>
        <v>120.68432384647535</v>
      </c>
      <c r="H9">
        <v>1</v>
      </c>
      <c r="I9">
        <f>FL6_WD!Z8</f>
        <v>108.98267715194946</v>
      </c>
      <c r="J9">
        <f>FL6_WD!AA8</f>
        <v>1217.5459136692523</v>
      </c>
      <c r="K9">
        <f>'FL6 data'!E10*0.068948</f>
        <v>160.53488046699201</v>
      </c>
      <c r="L9">
        <f>'FL6 data'!K10*0.068948</f>
        <v>149.02361016189377</v>
      </c>
      <c r="M9">
        <f>'FL6 data'!Q10*0.068948</f>
        <v>157.83716399068501</v>
      </c>
      <c r="N9">
        <f>'FL6 data'!W10*0.068948</f>
        <v>148.22600529052079</v>
      </c>
      <c r="O9">
        <f>'FL6 data'!AB10*0.068948</f>
        <v>143.10757402969492</v>
      </c>
      <c r="P9">
        <f>'FL6 data'!AG10*0.068948</f>
        <v>151.80512715001188</v>
      </c>
      <c r="Q9">
        <f>'FL6 data'!AN10*0.068948</f>
        <v>129.9975939604748</v>
      </c>
      <c r="R9">
        <f>'FL6 data'!AU10*0.068948</f>
        <v>143.18177448287423</v>
      </c>
      <c r="S9">
        <f>'FL6 data'!BB10*0.068948</f>
        <v>147.85680303561728</v>
      </c>
      <c r="T9">
        <f>'FL6 data'!BK12*0.068948</f>
        <v>82.350432955376775</v>
      </c>
      <c r="U9">
        <f t="shared" si="1"/>
        <v>82.350432955376775</v>
      </c>
    </row>
    <row r="10" spans="1:21" x14ac:dyDescent="0.35">
      <c r="A10">
        <v>114.449352</v>
      </c>
      <c r="B10">
        <v>1</v>
      </c>
      <c r="C10">
        <f>FL6_WD!U9</f>
        <v>121.2966176864166</v>
      </c>
      <c r="D10">
        <f>FL6_WD!V9</f>
        <v>120.7049268684341</v>
      </c>
      <c r="E10">
        <f>FL6_WD!W9</f>
        <v>1351.3116176864166</v>
      </c>
      <c r="F10">
        <f>FL6_WD!X9</f>
        <v>1519.0366176864165</v>
      </c>
      <c r="G10">
        <f>FL6_WD!Y9</f>
        <v>120.7049268684341</v>
      </c>
      <c r="H10">
        <v>1</v>
      </c>
      <c r="I10">
        <f>FL6_WD!Z9</f>
        <v>109.00128248873985</v>
      </c>
      <c r="J10">
        <f>FL6_WD!AA9</f>
        <v>1217.5666176864165</v>
      </c>
      <c r="K10">
        <f>'FL6 data'!E11*0.068948</f>
        <v>160.54108050485885</v>
      </c>
      <c r="L10">
        <f>'FL6 data'!K11*0.068948</f>
        <v>149.05581035855622</v>
      </c>
      <c r="M10">
        <f>'FL6 data'!Q11*0.068948</f>
        <v>157.87286420872445</v>
      </c>
      <c r="N10">
        <f>'FL6 data'!W11*0.068948</f>
        <v>148.26040550062012</v>
      </c>
      <c r="O10">
        <f>'FL6 data'!AB11*0.068948</f>
        <v>143.14307424651304</v>
      </c>
      <c r="P10">
        <f>'FL6 data'!AG11*0.068948</f>
        <v>151.84112736988388</v>
      </c>
      <c r="Q10">
        <f>'FL6 data'!AN11*0.068948</f>
        <v>130.03219417179562</v>
      </c>
      <c r="R10">
        <f>'FL6 data'!AU11*0.068948</f>
        <v>143.21757470152428</v>
      </c>
      <c r="S10">
        <f>'FL6 data'!BB11*0.068948</f>
        <v>147.89290325609991</v>
      </c>
      <c r="T10">
        <f>'FL6 data'!BK13*0.068948</f>
        <v>82.386023172744075</v>
      </c>
      <c r="U10">
        <f t="shared" si="1"/>
        <v>82.386023172744075</v>
      </c>
    </row>
    <row r="11" spans="1:21" x14ac:dyDescent="0.35">
      <c r="A11">
        <v>152.549352</v>
      </c>
      <c r="B11">
        <v>1</v>
      </c>
      <c r="C11">
        <f>FL6_WD!U10</f>
        <v>121.29502907757963</v>
      </c>
      <c r="D11">
        <f>FL6_WD!V10</f>
        <v>120.70334600890851</v>
      </c>
      <c r="E11">
        <f>FL6_WD!W10</f>
        <v>1351.3100290775797</v>
      </c>
      <c r="F11">
        <f>FL6_WD!X10</f>
        <v>1519.0350290775796</v>
      </c>
      <c r="G11">
        <f>FL6_WD!Y10</f>
        <v>120.70334600890851</v>
      </c>
      <c r="H11">
        <v>1</v>
      </c>
      <c r="I11">
        <f>FL6_WD!Z10</f>
        <v>108.99985491059375</v>
      </c>
      <c r="J11">
        <f>FL6_WD!AA10</f>
        <v>1217.5650290775795</v>
      </c>
      <c r="K11">
        <f>'FL6 data'!E12*0.068948</f>
        <v>160.57818073144847</v>
      </c>
      <c r="L11">
        <f>'FL6 data'!K12*0.068948</f>
        <v>149.1447109015165</v>
      </c>
      <c r="M11">
        <f>'FL6 data'!Q12*0.068948</f>
        <v>157.96916479688053</v>
      </c>
      <c r="N11">
        <f>'FL6 data'!W12*0.068948</f>
        <v>148.35380607106421</v>
      </c>
      <c r="O11">
        <f>'FL6 data'!AB12*0.068948</f>
        <v>143.23847482917208</v>
      </c>
      <c r="P11">
        <f>'FL6 data'!AG12*0.068948</f>
        <v>151.93762795926128</v>
      </c>
      <c r="Q11">
        <f>'FL6 data'!AN12*0.068948</f>
        <v>130.12629474651501</v>
      </c>
      <c r="R11">
        <f>'FL6 data'!AU12*0.068948</f>
        <v>143.31357528784849</v>
      </c>
      <c r="S11">
        <f>'FL6 data'!BB12*0.068948</f>
        <v>147.98970384730916</v>
      </c>
      <c r="T11">
        <f>'FL6 data'!BK14*0.068948</f>
        <v>82.482823763953803</v>
      </c>
      <c r="U11">
        <f t="shared" si="1"/>
        <v>82.482823763953803</v>
      </c>
    </row>
    <row r="12" spans="1:21" x14ac:dyDescent="0.35">
      <c r="A12">
        <v>196.97395200000003</v>
      </c>
      <c r="B12">
        <v>1</v>
      </c>
      <c r="C12">
        <f>FL6_WD!U11</f>
        <v>121.37216293250641</v>
      </c>
      <c r="D12">
        <f>FL6_WD!V11</f>
        <v>120.7801036011283</v>
      </c>
      <c r="E12">
        <f>FL6_WD!W11</f>
        <v>1351.3871629325065</v>
      </c>
      <c r="F12">
        <f>FL6_WD!X11</f>
        <v>1519.1121629325064</v>
      </c>
      <c r="G12">
        <f>FL6_WD!Y11</f>
        <v>120.7801036011283</v>
      </c>
      <c r="H12">
        <v>1</v>
      </c>
      <c r="I12">
        <f>FL6_WD!Z11</f>
        <v>109.06917002646992</v>
      </c>
      <c r="J12">
        <f>FL6_WD!AA11</f>
        <v>1217.6421629325064</v>
      </c>
      <c r="K12">
        <f>'FL6 data'!E13*0.068948</f>
        <v>160.59588083955191</v>
      </c>
      <c r="L12">
        <f>'FL6 data'!K13*0.068948</f>
        <v>149.22131136935377</v>
      </c>
      <c r="M12">
        <f>'FL6 data'!Q13*0.068948</f>
        <v>158.05456531846383</v>
      </c>
      <c r="N12">
        <f>'FL6 data'!W13*0.068948</f>
        <v>148.43690657860066</v>
      </c>
      <c r="O12">
        <f>'FL6 data'!AB13*0.068948</f>
        <v>143.32337534770224</v>
      </c>
      <c r="P12">
        <f>'FL6 data'!AG13*0.068948</f>
        <v>152.02352848389842</v>
      </c>
      <c r="Q12">
        <f>'FL6 data'!AN13*0.068948</f>
        <v>130.209995257716</v>
      </c>
      <c r="R12">
        <f>'FL6 data'!AU13*0.068948</f>
        <v>143.39887580882115</v>
      </c>
      <c r="S12">
        <f>'FL6 data'!BB13*0.068948</f>
        <v>148.07590437377891</v>
      </c>
      <c r="T12">
        <f>'FL6 data'!BK15*0.068948</f>
        <v>82.568794289018896</v>
      </c>
      <c r="U12">
        <f t="shared" si="1"/>
        <v>82.568794289018896</v>
      </c>
    </row>
    <row r="13" spans="1:21" x14ac:dyDescent="0.35">
      <c r="A13">
        <v>235.07395200000002</v>
      </c>
      <c r="B13">
        <v>1</v>
      </c>
      <c r="C13">
        <f>FL6_WD!U12</f>
        <v>121.444722002628</v>
      </c>
      <c r="D13">
        <f>FL6_WD!V12</f>
        <v>120.85230872456641</v>
      </c>
      <c r="E13">
        <f>FL6_WD!W12</f>
        <v>1351.459722002628</v>
      </c>
      <c r="F13">
        <f>FL6_WD!X12</f>
        <v>1519.184722002628</v>
      </c>
      <c r="G13">
        <f>FL6_WD!Y12</f>
        <v>120.85230872456641</v>
      </c>
      <c r="H13">
        <v>1</v>
      </c>
      <c r="I13">
        <f>FL6_WD!Z12</f>
        <v>109.13437408450795</v>
      </c>
      <c r="J13">
        <f>FL6_WD!AA12</f>
        <v>1217.7147220026279</v>
      </c>
      <c r="K13">
        <f>'FL6 data'!E14*0.068948</f>
        <v>160.58188075404604</v>
      </c>
      <c r="L13">
        <f>'FL6 data'!K14*0.068948</f>
        <v>149.25701158739321</v>
      </c>
      <c r="M13">
        <f>'FL6 data'!Q14*0.068948</f>
        <v>158.09756558108842</v>
      </c>
      <c r="N13">
        <f>'FL6 data'!W14*0.068948</f>
        <v>148.47860683328506</v>
      </c>
      <c r="O13">
        <f>'FL6 data'!AB14*0.068948</f>
        <v>143.36607560849421</v>
      </c>
      <c r="P13">
        <f>'FL6 data'!AG14*0.068948</f>
        <v>152.06662874713365</v>
      </c>
      <c r="Q13">
        <f>'FL6 data'!AN14*0.068948</f>
        <v>130.25199551423262</v>
      </c>
      <c r="R13">
        <f>'FL6 data'!AU14*0.068948</f>
        <v>143.44177607083444</v>
      </c>
      <c r="S13">
        <f>'FL6 data'!BB14*0.068948</f>
        <v>148.11910463762479</v>
      </c>
      <c r="T13">
        <f>'FL6 data'!BK16*0.068948</f>
        <v>82.611804551704125</v>
      </c>
      <c r="U13">
        <f t="shared" si="1"/>
        <v>82.611804551704125</v>
      </c>
    </row>
    <row r="14" spans="1:21" x14ac:dyDescent="0.35">
      <c r="A14">
        <v>273.17395200000004</v>
      </c>
      <c r="B14">
        <v>1</v>
      </c>
      <c r="C14">
        <f>FL6_WD!U13</f>
        <v>121.49524282848483</v>
      </c>
      <c r="D14">
        <f>FL6_WD!V13</f>
        <v>120.90258310737026</v>
      </c>
      <c r="E14">
        <f>FL6_WD!W13</f>
        <v>1351.5102428284849</v>
      </c>
      <c r="F14">
        <f>FL6_WD!X13</f>
        <v>1519.2352428284848</v>
      </c>
      <c r="G14">
        <f>FL6_WD!Y13</f>
        <v>120.90258310737026</v>
      </c>
      <c r="H14">
        <v>1</v>
      </c>
      <c r="I14">
        <f>FL6_WD!Z13</f>
        <v>109.17977382372426</v>
      </c>
      <c r="J14">
        <f>FL6_WD!AA13</f>
        <v>1217.7652428284848</v>
      </c>
      <c r="K14">
        <f>'FL6 data'!E15*0.068948</f>
        <v>160.60818091467425</v>
      </c>
      <c r="L14">
        <f>'FL6 data'!K15*0.068948</f>
        <v>149.33531206561329</v>
      </c>
      <c r="M14">
        <f>'FL6 data'!Q15*0.068948</f>
        <v>158.18326610450436</v>
      </c>
      <c r="N14">
        <f>'FL6 data'!W15*0.068948</f>
        <v>148.56120733776771</v>
      </c>
      <c r="O14">
        <f>'FL6 data'!AB15*0.068948</f>
        <v>143.45047612396985</v>
      </c>
      <c r="P14">
        <f>'FL6 data'!AG15*0.068948</f>
        <v>152.15202926871768</v>
      </c>
      <c r="Q14">
        <f>'FL6 data'!AN15*0.068948</f>
        <v>130.33519602237982</v>
      </c>
      <c r="R14">
        <f>'FL6 data'!AU15*0.068948</f>
        <v>143.52677658997521</v>
      </c>
      <c r="S14">
        <f>'FL6 data'!BB15*0.068948</f>
        <v>148.2048051610407</v>
      </c>
      <c r="T14">
        <f>'FL6 data'!BK17*0.068948</f>
        <v>82.697335074081906</v>
      </c>
      <c r="U14">
        <f t="shared" si="1"/>
        <v>82.697335074081906</v>
      </c>
    </row>
    <row r="15" spans="1:21" x14ac:dyDescent="0.35">
      <c r="A15">
        <v>311.27395200000001</v>
      </c>
      <c r="B15">
        <v>1</v>
      </c>
      <c r="C15">
        <f>FL6_WD!U14</f>
        <v>121.52729697052321</v>
      </c>
      <c r="D15">
        <f>FL6_WD!V14</f>
        <v>120.93448088774016</v>
      </c>
      <c r="E15">
        <f>FL6_WD!W14</f>
        <v>1351.5422969705232</v>
      </c>
      <c r="F15">
        <f>FL6_WD!X14</f>
        <v>1519.2672969705231</v>
      </c>
      <c r="G15">
        <f>FL6_WD!Y14</f>
        <v>120.93448088774016</v>
      </c>
      <c r="H15">
        <v>1</v>
      </c>
      <c r="I15">
        <f>FL6_WD!Z14</f>
        <v>109.20857877029164</v>
      </c>
      <c r="J15">
        <f>FL6_WD!AA14</f>
        <v>1217.7972969705231</v>
      </c>
      <c r="K15">
        <f>'FL6 data'!E16*0.068948</f>
        <v>160.6750813232691</v>
      </c>
      <c r="L15">
        <f>'FL6 data'!K16*0.068948</f>
        <v>149.45471279485321</v>
      </c>
      <c r="M15">
        <f>'FL6 data'!Q16*0.068948</f>
        <v>158.31066688260452</v>
      </c>
      <c r="N15">
        <f>'FL6 data'!W16*0.068948</f>
        <v>148.68470809204877</v>
      </c>
      <c r="O15">
        <f>'FL6 data'!AB16*0.068948</f>
        <v>143.57667689474175</v>
      </c>
      <c r="P15">
        <f>'FL6 data'!AG16*0.068948</f>
        <v>152.27973004864975</v>
      </c>
      <c r="Q15">
        <f>'FL6 data'!AN16*0.068948</f>
        <v>130.45949678154687</v>
      </c>
      <c r="R15">
        <f>'FL6 data'!AU16*0.068948</f>
        <v>143.65367736502225</v>
      </c>
      <c r="S15">
        <f>'FL6 data'!BB16*0.068948</f>
        <v>148.33280594280606</v>
      </c>
      <c r="T15">
        <f>'FL6 data'!BK18*0.068948</f>
        <v>82.825345855907926</v>
      </c>
      <c r="U15">
        <f t="shared" si="1"/>
        <v>82.825345855907926</v>
      </c>
    </row>
    <row r="16" spans="1:21" x14ac:dyDescent="0.35">
      <c r="A16">
        <v>349.37395200000003</v>
      </c>
      <c r="B16">
        <v>1</v>
      </c>
      <c r="C16">
        <f>FL6_WD!U15</f>
        <v>121.56816150652323</v>
      </c>
      <c r="D16">
        <f>FL6_WD!V15</f>
        <v>120.97514608454017</v>
      </c>
      <c r="E16">
        <f>FL6_WD!W15</f>
        <v>1351.5831615065233</v>
      </c>
      <c r="F16">
        <f>FL6_WD!X15</f>
        <v>1519.3081615065232</v>
      </c>
      <c r="G16">
        <f>FL6_WD!Y15</f>
        <v>120.97514608454017</v>
      </c>
      <c r="H16">
        <v>1</v>
      </c>
      <c r="I16">
        <f>FL6_WD!Z15</f>
        <v>109.24530103771565</v>
      </c>
      <c r="J16">
        <f>FL6_WD!AA15</f>
        <v>1217.8381615065232</v>
      </c>
      <c r="K16">
        <f>'FL6 data'!E17*0.068948</f>
        <v>160.79608206228119</v>
      </c>
      <c r="L16">
        <f>'FL6 data'!K17*0.068948</f>
        <v>149.63071386978032</v>
      </c>
      <c r="M16">
        <f>'FL6 data'!Q17*0.068948</f>
        <v>158.49526801005644</v>
      </c>
      <c r="N16">
        <f>'FL6 data'!W17*0.068948</f>
        <v>148.86290918041212</v>
      </c>
      <c r="O16">
        <f>'FL6 data'!AB17*0.068948</f>
        <v>143.75877800692439</v>
      </c>
      <c r="P16">
        <f>'FL6 data'!AG17*0.068948</f>
        <v>152.46403117426908</v>
      </c>
      <c r="Q16">
        <f>'FL6 data'!AN17*0.068948</f>
        <v>130.63899787785007</v>
      </c>
      <c r="R16">
        <f>'FL6 data'!AU17*0.068948</f>
        <v>143.83687848392324</v>
      </c>
      <c r="S16">
        <f>'FL6 data'!BB17*0.068948</f>
        <v>148.51770707208988</v>
      </c>
      <c r="T16">
        <f>'FL6 data'!BK19*0.068948</f>
        <v>83.010266985313962</v>
      </c>
      <c r="U16">
        <f t="shared" si="1"/>
        <v>83.010266985313962</v>
      </c>
    </row>
    <row r="17" spans="1:21" x14ac:dyDescent="0.35">
      <c r="A17">
        <v>387.473952</v>
      </c>
      <c r="B17">
        <v>1</v>
      </c>
      <c r="C17">
        <f>FL6_WD!U16</f>
        <v>130.42591980341936</v>
      </c>
      <c r="D17">
        <f>FL6_WD!V16</f>
        <v>129.78969580437831</v>
      </c>
      <c r="E17">
        <f>FL6_WD!W16</f>
        <v>1360.4409198034195</v>
      </c>
      <c r="F17">
        <f>FL6_WD!X16</f>
        <v>1528.1659198034195</v>
      </c>
      <c r="G17">
        <f>FL6_WD!Y16</f>
        <v>129.78969580437831</v>
      </c>
      <c r="H17">
        <v>1</v>
      </c>
      <c r="I17">
        <f>FL6_WD!Z16</f>
        <v>117.20518510334595</v>
      </c>
      <c r="J17">
        <f>FL6_WD!AA16</f>
        <v>1226.6959198034194</v>
      </c>
      <c r="K17">
        <f>'FL6 data'!E18*0.068948</f>
        <v>160.97118313171126</v>
      </c>
      <c r="L17">
        <f>'FL6 data'!K18*0.068948</f>
        <v>149.86191528184307</v>
      </c>
      <c r="M17">
        <f>'FL6 data'!Q18*0.068948</f>
        <v>158.73576947891908</v>
      </c>
      <c r="N17">
        <f>'FL6 data'!W18*0.068948</f>
        <v>149.09571060224712</v>
      </c>
      <c r="O17">
        <f>'FL6 data'!AB18*0.068948</f>
        <v>143.99677946051847</v>
      </c>
      <c r="P17">
        <f>'FL6 data'!AG18*0.068948</f>
        <v>152.70473264435367</v>
      </c>
      <c r="Q17">
        <f>'FL6 data'!AN18*0.068948</f>
        <v>130.87349931006787</v>
      </c>
      <c r="R17">
        <f>'FL6 data'!AU18*0.068948</f>
        <v>144.07617994545689</v>
      </c>
      <c r="S17">
        <f>'FL6 data'!BB18*0.068948</f>
        <v>148.75920854706021</v>
      </c>
      <c r="T17">
        <f>'FL6 data'!BK20*0.068948</f>
        <v>83.252068462116796</v>
      </c>
      <c r="U17">
        <f t="shared" si="1"/>
        <v>83.252068462116796</v>
      </c>
    </row>
    <row r="18" spans="1:21" x14ac:dyDescent="0.35">
      <c r="A18">
        <v>425.57395200000002</v>
      </c>
      <c r="B18">
        <v>1</v>
      </c>
      <c r="C18">
        <f>FL6_WD!U17</f>
        <v>143.25059490444474</v>
      </c>
      <c r="D18">
        <f>FL6_WD!V17</f>
        <v>142.55181151466695</v>
      </c>
      <c r="E18">
        <f>FL6_WD!W17</f>
        <v>1373.2655949044449</v>
      </c>
      <c r="F18">
        <f>FL6_WD!X17</f>
        <v>1540.9905949044448</v>
      </c>
      <c r="G18">
        <f>FL6_WD!Y17</f>
        <v>142.55181151466695</v>
      </c>
      <c r="H18">
        <v>1</v>
      </c>
      <c r="I18">
        <f>FL6_WD!Z17</f>
        <v>128.72987606486248</v>
      </c>
      <c r="J18">
        <f>FL6_WD!AA17</f>
        <v>1239.5205949044448</v>
      </c>
      <c r="K18">
        <f>'FL6 data'!E19*0.068948</f>
        <v>161.12668408143307</v>
      </c>
      <c r="L18">
        <f>'FL6 data'!K19*0.068948</f>
        <v>150.07251656809061</v>
      </c>
      <c r="M18">
        <f>'FL6 data'!Q19*0.068948</f>
        <v>158.95577082257782</v>
      </c>
      <c r="N18">
        <f>'FL6 data'!W19*0.068948</f>
        <v>149.30871190315284</v>
      </c>
      <c r="O18">
        <f>'FL6 data'!AB19*0.068948</f>
        <v>144.21418078829728</v>
      </c>
      <c r="P18">
        <f>'FL6 data'!AG19*0.068948</f>
        <v>152.92463398740179</v>
      </c>
      <c r="Q18">
        <f>'FL6 data'!AN19*0.068948</f>
        <v>131.08800062013489</v>
      </c>
      <c r="R18">
        <f>'FL6 data'!AU19*0.068948</f>
        <v>144.29398127567893</v>
      </c>
      <c r="S18">
        <f>'FL6 data'!BB19*0.068948</f>
        <v>148.97970989377282</v>
      </c>
      <c r="T18">
        <f>'FL6 data'!BK21*0.068948</f>
        <v>83.473199812676825</v>
      </c>
      <c r="U18">
        <f t="shared" si="1"/>
        <v>83.473199812676825</v>
      </c>
    </row>
    <row r="19" spans="1:21" x14ac:dyDescent="0.35">
      <c r="A19">
        <v>463.67395200000004</v>
      </c>
      <c r="B19">
        <v>1</v>
      </c>
      <c r="C19">
        <f>FL6_WD!U18</f>
        <v>156.07527000547006</v>
      </c>
      <c r="D19">
        <f>FL6_WD!V18</f>
        <v>155.31392722495553</v>
      </c>
      <c r="E19">
        <f>FL6_WD!W18</f>
        <v>1386.0902700054701</v>
      </c>
      <c r="F19">
        <f>FL6_WD!X18</f>
        <v>1553.81527000547</v>
      </c>
      <c r="G19">
        <f>FL6_WD!Y18</f>
        <v>155.31392722495553</v>
      </c>
      <c r="H19">
        <v>1</v>
      </c>
      <c r="I19">
        <f>FL6_WD!Z18</f>
        <v>140.25456702637899</v>
      </c>
      <c r="J19">
        <f>FL6_WD!AA18</f>
        <v>1252.34527000547</v>
      </c>
      <c r="K19">
        <f>'FL6 data'!E20*0.068948</f>
        <v>161.2624849108368</v>
      </c>
      <c r="L19">
        <f>'FL6 data'!K20*0.068948</f>
        <v>150.26301773157675</v>
      </c>
      <c r="M19">
        <f>'FL6 data'!Q20*0.068948</f>
        <v>159.15537204164261</v>
      </c>
      <c r="N19">
        <f>'FL6 data'!W20*0.068948</f>
        <v>149.50121307885402</v>
      </c>
      <c r="O19">
        <f>'FL6 data'!AB20*0.068948</f>
        <v>144.45198224067008</v>
      </c>
      <c r="P19">
        <f>'FL6 data'!AG20*0.068948</f>
        <v>153.14353532434217</v>
      </c>
      <c r="Q19">
        <f>'FL6 data'!AN20*0.068948</f>
        <v>131.28210180560814</v>
      </c>
      <c r="R19">
        <f>'FL6 data'!AU20*0.068948</f>
        <v>144.53548275064929</v>
      </c>
      <c r="S19">
        <f>'FL6 data'!BB20*0.068948</f>
        <v>149.20311125819651</v>
      </c>
      <c r="T19">
        <f>'FL6 data'!BK22*0.068948</f>
        <v>83.673661036993991</v>
      </c>
      <c r="U19">
        <f t="shared" si="1"/>
        <v>83.673661036993991</v>
      </c>
    </row>
    <row r="20" spans="1:21" x14ac:dyDescent="0.35">
      <c r="A20">
        <v>497.73535200000003</v>
      </c>
      <c r="B20">
        <v>1</v>
      </c>
      <c r="C20">
        <f>FL6_WD!U19</f>
        <v>167.54052954578668</v>
      </c>
      <c r="D20">
        <f>FL6_WD!V19</f>
        <v>166.72325866995354</v>
      </c>
      <c r="E20">
        <f>FL6_WD!W19</f>
        <v>1397.5555295457868</v>
      </c>
      <c r="F20">
        <f>FL6_WD!X19</f>
        <v>1565.2805295457867</v>
      </c>
      <c r="G20">
        <f>FL6_WD!Y19</f>
        <v>166.72325866995354</v>
      </c>
      <c r="H20">
        <v>1</v>
      </c>
      <c r="I20">
        <f>FL6_WD!Z19</f>
        <v>150.55764074597474</v>
      </c>
      <c r="J20">
        <f>FL6_WD!AA19</f>
        <v>1263.8105295457867</v>
      </c>
      <c r="K20">
        <f>'FL6 data'!E21*0.068948</f>
        <v>161.30688518201163</v>
      </c>
      <c r="L20">
        <f>'FL6 data'!K21*0.068948</f>
        <v>150.35201827514766</v>
      </c>
      <c r="M20">
        <f>'FL6 data'!Q21*0.068948</f>
        <v>159.25207263224127</v>
      </c>
      <c r="N20">
        <f>'FL6 data'!W21*0.068948</f>
        <v>149.59711366456696</v>
      </c>
      <c r="O20">
        <f>'FL6 data'!AB21*0.068948</f>
        <v>144.58068302671055</v>
      </c>
      <c r="P20">
        <f>'FL6 data'!AG21*0.068948</f>
        <v>153.26933609267016</v>
      </c>
      <c r="Q20">
        <f>'FL6 data'!AN21*0.068948</f>
        <v>131.37900239742862</v>
      </c>
      <c r="R20">
        <f>'FL6 data'!AU21*0.068948</f>
        <v>144.66508354218686</v>
      </c>
      <c r="S20">
        <f>'FL6 data'!BB21*0.068948</f>
        <v>149.3315120424044</v>
      </c>
      <c r="T20">
        <f>'FL6 data'!BK23*0.068948</f>
        <v>83.771941637242904</v>
      </c>
      <c r="U20">
        <f t="shared" si="1"/>
        <v>83.771941637242904</v>
      </c>
    </row>
    <row r="21" spans="1:21" x14ac:dyDescent="0.35">
      <c r="A21">
        <v>527.758152</v>
      </c>
      <c r="B21">
        <v>1</v>
      </c>
      <c r="C21">
        <f>FL6_WD!U20</f>
        <v>177.64637352539458</v>
      </c>
      <c r="D21">
        <f>FL6_WD!V20</f>
        <v>176.77980584966096</v>
      </c>
      <c r="E21">
        <f>FL6_WD!W20</f>
        <v>1407.6613735253948</v>
      </c>
      <c r="F21">
        <f>FL6_WD!X20</f>
        <v>1575.3863735253947</v>
      </c>
      <c r="G21">
        <f>FL6_WD!Y20</f>
        <v>176.77980584966096</v>
      </c>
      <c r="H21">
        <v>1</v>
      </c>
      <c r="I21">
        <f>FL6_WD!Z20</f>
        <v>159.63909722364974</v>
      </c>
      <c r="J21">
        <f>FL6_WD!AA20</f>
        <v>1273.9163735253946</v>
      </c>
      <c r="K21">
        <f>'FL6 data'!E22*0.068948</f>
        <v>161.25988489495757</v>
      </c>
      <c r="L21">
        <f>'FL6 data'!K22*0.068948</f>
        <v>150.34211821468327</v>
      </c>
      <c r="M21">
        <f>'FL6 data'!Q22*0.068948</f>
        <v>159.24757260475724</v>
      </c>
      <c r="N21">
        <f>'FL6 data'!W22*0.068948</f>
        <v>149.59371364380135</v>
      </c>
      <c r="O21">
        <f>'FL6 data'!AB22*0.068948</f>
        <v>144.57608299861593</v>
      </c>
      <c r="P21">
        <f>'FL6 data'!AG22*0.068948</f>
        <v>153.26473606457554</v>
      </c>
      <c r="Q21">
        <f>'FL6 data'!AN22*0.068948</f>
        <v>131.37560237666301</v>
      </c>
      <c r="R21">
        <f>'FL6 data'!AU22*0.068948</f>
        <v>144.66048351409219</v>
      </c>
      <c r="S21">
        <f>'FL6 data'!BB22*0.068948</f>
        <v>149.32691201430978</v>
      </c>
      <c r="T21">
        <f>'FL6 data'!BK24*0.068948</f>
        <v>83.768061613545655</v>
      </c>
      <c r="U21">
        <f t="shared" si="1"/>
        <v>83.768061613545655</v>
      </c>
    </row>
    <row r="22" spans="1:21" x14ac:dyDescent="0.35">
      <c r="A22">
        <v>554.12563799999998</v>
      </c>
      <c r="B22">
        <v>1</v>
      </c>
      <c r="C22">
        <f>FL6_WD!U21</f>
        <v>186.52181817581021</v>
      </c>
      <c r="D22">
        <f>FL6_WD!V21</f>
        <v>185.61195564812331</v>
      </c>
      <c r="E22">
        <f>FL6_WD!W21</f>
        <v>1416.5368181758104</v>
      </c>
      <c r="F22">
        <f>FL6_WD!X21</f>
        <v>1584.2618181758103</v>
      </c>
      <c r="G22">
        <f>FL6_WD!Y21</f>
        <v>185.61195564812331</v>
      </c>
      <c r="H22">
        <v>1</v>
      </c>
      <c r="I22">
        <f>FL6_WD!Z21</f>
        <v>167.61487485047687</v>
      </c>
      <c r="J22">
        <f>FL6_WD!AA21</f>
        <v>1282.7918181758102</v>
      </c>
      <c r="K22">
        <f>'FL6 data'!E23*0.068948</f>
        <v>161.20288454682782</v>
      </c>
      <c r="L22">
        <f>'FL6 data'!K23*0.068948</f>
        <v>150.31581805405506</v>
      </c>
      <c r="M22">
        <f>'FL6 data'!Q23*0.068948</f>
        <v>159.22297245451188</v>
      </c>
      <c r="N22">
        <f>'FL6 data'!W23*0.068948</f>
        <v>149.57481352836885</v>
      </c>
      <c r="O22">
        <f>'FL6 data'!AB23*0.068948</f>
        <v>144.55038284165221</v>
      </c>
      <c r="P22">
        <f>'FL6 data'!AG23*0.068948</f>
        <v>153.23883590639059</v>
      </c>
      <c r="Q22">
        <f>'FL6 data'!AN23*0.068948</f>
        <v>131.35660226061975</v>
      </c>
      <c r="R22">
        <f>'FL6 data'!AU23*0.068948</f>
        <v>144.6346833565172</v>
      </c>
      <c r="S22">
        <f>'FL6 data'!BB23*0.068948</f>
        <v>149.3010118561248</v>
      </c>
      <c r="T22">
        <f>'FL6 data'!BK25*0.068948</f>
        <v>83.748121491761339</v>
      </c>
      <c r="U22">
        <f t="shared" si="1"/>
        <v>83.748121491761339</v>
      </c>
    </row>
    <row r="23" spans="1:21" x14ac:dyDescent="0.35">
      <c r="A23">
        <v>576.83780999999999</v>
      </c>
      <c r="B23">
        <v>1</v>
      </c>
      <c r="C23">
        <f>FL6_WD!U22</f>
        <v>194.1668634970334</v>
      </c>
      <c r="D23">
        <f>FL6_WD!V22</f>
        <v>193.21970806534057</v>
      </c>
      <c r="E23">
        <f>FL6_WD!W22</f>
        <v>1424.1818634970334</v>
      </c>
      <c r="F23">
        <f>FL6_WD!X22</f>
        <v>1591.9068634970333</v>
      </c>
      <c r="G23">
        <f>FL6_WD!Y22</f>
        <v>193.21970806534057</v>
      </c>
      <c r="H23">
        <v>1</v>
      </c>
      <c r="I23">
        <f>FL6_WD!Z22</f>
        <v>174.48497362645608</v>
      </c>
      <c r="J23">
        <f>FL6_WD!AA22</f>
        <v>1290.4368634970333</v>
      </c>
      <c r="K23">
        <f>'FL6 data'!E24*0.068948</f>
        <v>161.13588413762236</v>
      </c>
      <c r="L23">
        <f>'FL6 data'!K24*0.068948</f>
        <v>150.27331779448434</v>
      </c>
      <c r="M23">
        <f>'FL6 data'!Q24*0.068948</f>
        <v>159.17847218272641</v>
      </c>
      <c r="N23">
        <f>'FL6 data'!W24*0.068948</f>
        <v>149.5405133188803</v>
      </c>
      <c r="O23">
        <f>'FL6 data'!AB24*0.068948</f>
        <v>144.50358255581875</v>
      </c>
      <c r="P23">
        <f>'FL6 data'!AG24*0.068948</f>
        <v>153.19183561933585</v>
      </c>
      <c r="Q23">
        <f>'FL6 data'!AN24*0.068948</f>
        <v>131.32200204929893</v>
      </c>
      <c r="R23">
        <f>'FL6 data'!AU24*0.068948</f>
        <v>144.58778307007375</v>
      </c>
      <c r="S23">
        <f>'FL6 data'!BB24*0.068948</f>
        <v>149.25391156845944</v>
      </c>
      <c r="T23">
        <f>'FL6 data'!BK26*0.068948</f>
        <v>83.712121271889927</v>
      </c>
      <c r="U23">
        <f t="shared" si="1"/>
        <v>83.712121271889927</v>
      </c>
    </row>
    <row r="24" spans="1:21" x14ac:dyDescent="0.35">
      <c r="A24">
        <v>599.55074400000001</v>
      </c>
      <c r="B24">
        <v>1</v>
      </c>
      <c r="C24">
        <f>FL6_WD!U23</f>
        <v>201.81216531175863</v>
      </c>
      <c r="D24">
        <f>FL6_WD!V23</f>
        <v>200.82771572487201</v>
      </c>
      <c r="E24">
        <f>FL6_WD!W23</f>
        <v>1431.8271653117588</v>
      </c>
      <c r="F24">
        <f>FL6_WD!X23</f>
        <v>1599.5521653117587</v>
      </c>
      <c r="G24">
        <f>FL6_WD!Y23</f>
        <v>200.82771572487201</v>
      </c>
      <c r="H24">
        <v>1</v>
      </c>
      <c r="I24">
        <f>FL6_WD!Z23</f>
        <v>181.3553028962545</v>
      </c>
      <c r="J24">
        <f>FL6_WD!AA23</f>
        <v>1298.0821653117587</v>
      </c>
      <c r="K24">
        <f>'FL6 data'!E25*0.068948</f>
        <v>161.06598371070578</v>
      </c>
      <c r="L24">
        <f>'FL6 data'!K25*0.068948</f>
        <v>150.2276175153699</v>
      </c>
      <c r="M24">
        <f>'FL6 data'!Q25*0.068948</f>
        <v>159.13027188834337</v>
      </c>
      <c r="N24">
        <f>'FL6 data'!W25*0.068948</f>
        <v>149.50321309106911</v>
      </c>
      <c r="O24">
        <f>'FL6 data'!AB25*0.068948</f>
        <v>144.45638226754343</v>
      </c>
      <c r="P24">
        <f>'FL6 data'!AG25*0.068948</f>
        <v>153.14073530724102</v>
      </c>
      <c r="Q24">
        <f>'FL6 data'!AN25*0.068948</f>
        <v>131.28440181965547</v>
      </c>
      <c r="R24">
        <f>'FL6 data'!AU25*0.068948</f>
        <v>144.54178278912673</v>
      </c>
      <c r="S24">
        <f>'FL6 data'!BB25*0.068948</f>
        <v>149.202711255754</v>
      </c>
      <c r="T24">
        <f>'FL6 data'!BK27*0.068948</f>
        <v>83.673081033451624</v>
      </c>
      <c r="U24">
        <f t="shared" si="1"/>
        <v>83.673081033451624</v>
      </c>
    </row>
    <row r="25" spans="1:21" x14ac:dyDescent="0.35">
      <c r="A25">
        <v>622.26444000000004</v>
      </c>
      <c r="B25">
        <v>1</v>
      </c>
      <c r="C25">
        <f>FL6_WD!U24</f>
        <v>209.45772361998593</v>
      </c>
      <c r="D25">
        <f>FL6_WD!V24</f>
        <v>208.43597862671771</v>
      </c>
      <c r="E25">
        <f>FL6_WD!W24</f>
        <v>1439.472723619986</v>
      </c>
      <c r="F25">
        <f>FL6_WD!X24</f>
        <v>1607.1977236199859</v>
      </c>
      <c r="G25">
        <f>FL6_WD!Y24</f>
        <v>208.43597862671771</v>
      </c>
      <c r="H25">
        <v>1</v>
      </c>
      <c r="I25">
        <f>FL6_WD!Z24</f>
        <v>188.22586265987221</v>
      </c>
      <c r="J25">
        <f>FL6_WD!AA24</f>
        <v>1305.7277236199859</v>
      </c>
      <c r="K25">
        <f>'FL6 data'!E26*0.068948</f>
        <v>160.9931832660767</v>
      </c>
      <c r="L25">
        <f>'FL6 data'!K26*0.068948</f>
        <v>150.17861721610043</v>
      </c>
      <c r="M25">
        <f>'FL6 data'!Q26*0.068948</f>
        <v>159.07837157136211</v>
      </c>
      <c r="N25">
        <f>'FL6 data'!W26*0.068948</f>
        <v>149.46291284493532</v>
      </c>
      <c r="O25">
        <f>'FL6 data'!AB26*0.068948</f>
        <v>144.4144820116372</v>
      </c>
      <c r="P25">
        <f>'FL6 data'!AG26*0.068948</f>
        <v>153.08563497071532</v>
      </c>
      <c r="Q25">
        <f>'FL6 data'!AN26*0.068948</f>
        <v>131.24390157230016</v>
      </c>
      <c r="R25">
        <f>'FL6 data'!AU26*0.068948</f>
        <v>144.49998253383183</v>
      </c>
      <c r="S25">
        <f>'FL6 data'!BB26*0.068948</f>
        <v>149.14761091922833</v>
      </c>
      <c r="T25">
        <f>'FL6 data'!BK28*0.068948</f>
        <v>83.63098077632425</v>
      </c>
      <c r="U25">
        <f t="shared" si="1"/>
        <v>83.63098077632425</v>
      </c>
    </row>
    <row r="26" spans="1:21" x14ac:dyDescent="0.35">
      <c r="A26">
        <v>644.97813600000006</v>
      </c>
      <c r="B26">
        <v>1</v>
      </c>
      <c r="C26">
        <f>FL6_WD!U25</f>
        <v>217.10328192821316</v>
      </c>
      <c r="D26">
        <f>FL6_WD!V25</f>
        <v>216.04424152856336</v>
      </c>
      <c r="E26">
        <f>FL6_WD!W25</f>
        <v>1447.1182819282133</v>
      </c>
      <c r="F26">
        <f>FL6_WD!X25</f>
        <v>1614.8432819282132</v>
      </c>
      <c r="G26">
        <f>FL6_WD!Y25</f>
        <v>216.04424152856336</v>
      </c>
      <c r="H26">
        <v>1</v>
      </c>
      <c r="I26">
        <f>FL6_WD!Z25</f>
        <v>195.09642242348991</v>
      </c>
      <c r="J26">
        <f>FL6_WD!AA25</f>
        <v>1313.3732819282131</v>
      </c>
      <c r="K26">
        <f>'FL6 data'!E27*0.068948</f>
        <v>160.92078282389085</v>
      </c>
      <c r="L26">
        <f>'FL6 data'!K27*0.068948</f>
        <v>150.13011691988484</v>
      </c>
      <c r="M26">
        <f>'FL6 data'!Q27*0.068948</f>
        <v>159.0269712574347</v>
      </c>
      <c r="N26">
        <f>'FL6 data'!W27*0.068948</f>
        <v>149.42321260246601</v>
      </c>
      <c r="O26">
        <f>'FL6 data'!AB27*0.068948</f>
        <v>144.37388176367125</v>
      </c>
      <c r="P26">
        <f>'FL6 data'!AG27*0.068948</f>
        <v>153.03123463846546</v>
      </c>
      <c r="Q26">
        <f>'FL6 data'!AN27*0.068948</f>
        <v>131.20390132799861</v>
      </c>
      <c r="R26">
        <f>'FL6 data'!AU27*0.068948</f>
        <v>144.45908228403329</v>
      </c>
      <c r="S26">
        <f>'FL6 data'!BB27*0.068948</f>
        <v>149.09311058636783</v>
      </c>
      <c r="T26">
        <f>'FL6 data'!BK29*0.068948</f>
        <v>83.589370522189569</v>
      </c>
      <c r="U26">
        <f t="shared" si="1"/>
        <v>83.589370522189569</v>
      </c>
    </row>
    <row r="27" spans="1:21" x14ac:dyDescent="0.35">
      <c r="A27">
        <v>667.69183200000009</v>
      </c>
      <c r="B27">
        <v>1</v>
      </c>
      <c r="C27">
        <f>FL6_WD!U26</f>
        <v>224.7488402364404</v>
      </c>
      <c r="D27">
        <f>FL6_WD!V26</f>
        <v>223.65250443040901</v>
      </c>
      <c r="E27">
        <f>FL6_WD!W26</f>
        <v>1454.7638402364405</v>
      </c>
      <c r="F27">
        <f>FL6_WD!X26</f>
        <v>1622.4888402364404</v>
      </c>
      <c r="G27">
        <f>FL6_WD!Y26</f>
        <v>223.65250443040901</v>
      </c>
      <c r="H27">
        <v>1</v>
      </c>
      <c r="I27">
        <f>FL6_WD!Z26</f>
        <v>201.96698218710759</v>
      </c>
      <c r="J27">
        <f>FL6_WD!AA26</f>
        <v>1321.0188402364404</v>
      </c>
      <c r="K27">
        <f>'FL6 data'!E28*0.068948</f>
        <v>160.84888238475884</v>
      </c>
      <c r="L27">
        <f>'FL6 data'!K28*0.068948</f>
        <v>150.08211662672309</v>
      </c>
      <c r="M27">
        <f>'FL6 data'!Q28*0.068948</f>
        <v>158.97617094717177</v>
      </c>
      <c r="N27">
        <f>'FL6 data'!W28*0.068948</f>
        <v>149.38391236243973</v>
      </c>
      <c r="O27">
        <f>'FL6 data'!AB28*0.068948</f>
        <v>144.33368151814852</v>
      </c>
      <c r="P27">
        <f>'FL6 data'!AG28*0.068948</f>
        <v>152.97743430987944</v>
      </c>
      <c r="Q27">
        <f>'FL6 data'!AN28*0.068948</f>
        <v>131.16430108614009</v>
      </c>
      <c r="R27">
        <f>'FL6 data'!AU28*0.068948</f>
        <v>144.4186820372893</v>
      </c>
      <c r="S27">
        <f>'FL6 data'!BB28*0.068948</f>
        <v>149.03921025717113</v>
      </c>
      <c r="T27">
        <f>'FL6 data'!BK30*0.068948</f>
        <v>83.548250271047593</v>
      </c>
      <c r="U27">
        <f t="shared" si="1"/>
        <v>83.548250271047593</v>
      </c>
    </row>
    <row r="28" spans="1:21" x14ac:dyDescent="0.35">
      <c r="A28">
        <v>690.40857600000004</v>
      </c>
      <c r="B28">
        <v>1</v>
      </c>
      <c r="C28">
        <f>FL6_WD!U27</f>
        <v>232.39542451867572</v>
      </c>
      <c r="D28">
        <f>FL6_WD!V27</f>
        <v>231.26178830151144</v>
      </c>
      <c r="E28">
        <f>FL6_WD!W27</f>
        <v>1462.4104245186759</v>
      </c>
      <c r="F28">
        <f>FL6_WD!X27</f>
        <v>1630.1354245186758</v>
      </c>
      <c r="G28">
        <f>FL6_WD!Y27</f>
        <v>231.26178830151144</v>
      </c>
      <c r="H28">
        <v>1</v>
      </c>
      <c r="I28">
        <f>FL6_WD!Z27</f>
        <v>208.83846392600216</v>
      </c>
      <c r="J28">
        <f>FL6_WD!AA27</f>
        <v>1328.6654245186758</v>
      </c>
      <c r="K28">
        <f>'FL6 data'!E29*0.068948</f>
        <v>160.76808189127016</v>
      </c>
      <c r="L28">
        <f>'FL6 data'!K29*0.068948</f>
        <v>150.02421627309693</v>
      </c>
      <c r="M28">
        <f>'FL6 data'!Q29*0.068948</f>
        <v>158.91397056728292</v>
      </c>
      <c r="N28">
        <f>'FL6 data'!W29*0.068948</f>
        <v>149.33571206805638</v>
      </c>
      <c r="O28">
        <f>'FL6 data'!AB29*0.068948</f>
        <v>144.28438121704644</v>
      </c>
      <c r="P28">
        <f>'FL6 data'!AG29*0.068948</f>
        <v>152.91133390617173</v>
      </c>
      <c r="Q28">
        <f>'FL6 data'!AN29*0.068948</f>
        <v>131.11570078931371</v>
      </c>
      <c r="R28">
        <f>'FL6 data'!AU29*0.068948</f>
        <v>144.36908173435532</v>
      </c>
      <c r="S28">
        <f>'FL6 data'!BB29*0.068948</f>
        <v>148.97310985346277</v>
      </c>
      <c r="T28">
        <f>'FL6 data'!BK31*0.068948</f>
        <v>83.497849963227637</v>
      </c>
      <c r="U28">
        <f t="shared" si="1"/>
        <v>83.497849963227637</v>
      </c>
    </row>
    <row r="29" spans="1:21" x14ac:dyDescent="0.35">
      <c r="A29">
        <v>713.12836800000002</v>
      </c>
      <c r="B29">
        <v>1</v>
      </c>
      <c r="C29">
        <f>FL6_WD!U28</f>
        <v>240.04303477491916</v>
      </c>
      <c r="D29">
        <f>FL6_WD!V28</f>
        <v>238.87209314187075</v>
      </c>
      <c r="E29">
        <f>FL6_WD!W28</f>
        <v>1470.0580347749192</v>
      </c>
      <c r="F29">
        <f>FL6_WD!X28</f>
        <v>1637.7830347749191</v>
      </c>
      <c r="G29">
        <f>FL6_WD!Y28</f>
        <v>238.87209314187075</v>
      </c>
      <c r="H29">
        <v>1</v>
      </c>
      <c r="I29">
        <f>FL6_WD!Z28</f>
        <v>215.71086764017369</v>
      </c>
      <c r="J29">
        <f>FL6_WD!AA28</f>
        <v>1336.3130347749191</v>
      </c>
      <c r="K29">
        <f>'FL6 data'!E30*0.068948</f>
        <v>160.67858134464538</v>
      </c>
      <c r="L29">
        <f>'FL6 data'!K30*0.068948</f>
        <v>149.95621585778375</v>
      </c>
      <c r="M29">
        <f>'FL6 data'!Q30*0.068948</f>
        <v>158.84027011715673</v>
      </c>
      <c r="N29">
        <f>'FL6 data'!W30*0.068948</f>
        <v>149.27851171870518</v>
      </c>
      <c r="O29">
        <f>'FL6 data'!AB30*0.068948</f>
        <v>144.22598086036643</v>
      </c>
      <c r="P29">
        <f>'FL6 data'!AG30*0.068948</f>
        <v>152.83313342856158</v>
      </c>
      <c r="Q29">
        <f>'FL6 data'!AN30*0.068948</f>
        <v>131.05820043813023</v>
      </c>
      <c r="R29">
        <f>'FL6 data'!AU30*0.068948</f>
        <v>144.31038137584275</v>
      </c>
      <c r="S29">
        <f>'FL6 data'!BB30*0.068948</f>
        <v>148.89470937463201</v>
      </c>
      <c r="T29">
        <f>'FL6 data'!BK32*0.068948</f>
        <v>83.438189598851892</v>
      </c>
      <c r="U29">
        <f t="shared" si="1"/>
        <v>83.438189598851892</v>
      </c>
    </row>
    <row r="30" spans="1:21" x14ac:dyDescent="0.35">
      <c r="A30">
        <v>735.84358800000007</v>
      </c>
      <c r="B30">
        <v>1</v>
      </c>
      <c r="C30">
        <f>FL6_WD!U29</f>
        <v>247.68910607015044</v>
      </c>
      <c r="D30">
        <f>FL6_WD!V29</f>
        <v>246.48086652834482</v>
      </c>
      <c r="E30">
        <f>FL6_WD!W29</f>
        <v>1477.7041060701506</v>
      </c>
      <c r="F30">
        <f>FL6_WD!X29</f>
        <v>1645.4291060701505</v>
      </c>
      <c r="G30">
        <f>FL6_WD!Y29</f>
        <v>246.48086652834482</v>
      </c>
      <c r="H30">
        <v>1</v>
      </c>
      <c r="I30">
        <f>FL6_WD!Z29</f>
        <v>222.58188839142986</v>
      </c>
      <c r="J30">
        <f>FL6_WD!AA29</f>
        <v>1343.9591060701505</v>
      </c>
      <c r="K30">
        <f>'FL6 data'!E31*0.068948</f>
        <v>160.60438089146606</v>
      </c>
      <c r="L30">
        <f>'FL6 data'!K31*0.068948</f>
        <v>149.90551554813214</v>
      </c>
      <c r="M30">
        <f>'FL6 data'!Q31*0.068948</f>
        <v>158.78656978918201</v>
      </c>
      <c r="N30">
        <f>'FL6 data'!W31*0.068948</f>
        <v>149.23691146463159</v>
      </c>
      <c r="O30">
        <f>'FL6 data'!AB31*0.068948</f>
        <v>144.18348060079572</v>
      </c>
      <c r="P30">
        <f>'FL6 data'!AG31*0.068948</f>
        <v>152.77613308043252</v>
      </c>
      <c r="Q30">
        <f>'FL6 data'!AN31*0.068948</f>
        <v>131.01630018222437</v>
      </c>
      <c r="R30">
        <f>'FL6 data'!AU31*0.068948</f>
        <v>144.26758111444011</v>
      </c>
      <c r="S30">
        <f>'FL6 data'!BB31*0.068948</f>
        <v>148.83770902650227</v>
      </c>
      <c r="T30">
        <f>'FL6 data'!BK33*0.068948</f>
        <v>83.39467933311289</v>
      </c>
      <c r="U30">
        <f t="shared" si="1"/>
        <v>83.39467933311289</v>
      </c>
    </row>
    <row r="31" spans="1:21" x14ac:dyDescent="0.35">
      <c r="A31">
        <v>758.55423600000006</v>
      </c>
      <c r="B31">
        <v>1</v>
      </c>
      <c r="C31">
        <f>FL6_WD!U30</f>
        <v>255.33363840436962</v>
      </c>
      <c r="D31">
        <f>FL6_WD!V30</f>
        <v>254.08810846093368</v>
      </c>
      <c r="E31">
        <f>FL6_WD!W30</f>
        <v>1485.3486384043697</v>
      </c>
      <c r="F31">
        <f>FL6_WD!X30</f>
        <v>1653.0736384043696</v>
      </c>
      <c r="G31">
        <f>FL6_WD!Y30</f>
        <v>254.08810846093368</v>
      </c>
      <c r="H31">
        <v>1</v>
      </c>
      <c r="I31">
        <f>FL6_WD!Z30</f>
        <v>229.45152617977061</v>
      </c>
      <c r="J31">
        <f>FL6_WD!AA30</f>
        <v>1351.6036384043696</v>
      </c>
      <c r="K31">
        <f>'FL6 data'!E32*0.068948</f>
        <v>160.54558053234283</v>
      </c>
      <c r="L31">
        <f>'FL6 data'!K32*0.068948</f>
        <v>149.87231534536133</v>
      </c>
      <c r="M31">
        <f>'FL6 data'!Q32*0.068948</f>
        <v>158.75276958274739</v>
      </c>
      <c r="N31">
        <f>'FL6 data'!W32*0.068948</f>
        <v>149.21091130583557</v>
      </c>
      <c r="O31">
        <f>'FL6 data'!AB32*0.068948</f>
        <v>144.15688043833563</v>
      </c>
      <c r="P31">
        <f>'FL6 data'!AG32*0.068948</f>
        <v>152.74053286300375</v>
      </c>
      <c r="Q31">
        <f>'FL6 data'!AN32*0.068948</f>
        <v>130.99010002220686</v>
      </c>
      <c r="R31">
        <f>'FL6 data'!AU32*0.068948</f>
        <v>144.24088095136869</v>
      </c>
      <c r="S31">
        <f>'FL6 data'!BB32*0.068948</f>
        <v>148.80200880846286</v>
      </c>
      <c r="T31">
        <f>'FL6 data'!BK34*0.068948</f>
        <v>83.367329166071698</v>
      </c>
      <c r="U31">
        <f t="shared" si="1"/>
        <v>83.367329166071698</v>
      </c>
    </row>
    <row r="32" spans="1:21" x14ac:dyDescent="0.35">
      <c r="A32">
        <v>781.26640800000007</v>
      </c>
      <c r="B32">
        <v>1</v>
      </c>
      <c r="C32">
        <f>FL6_WD!U31</f>
        <v>262.97868372559293</v>
      </c>
      <c r="D32">
        <f>FL6_WD!V31</f>
        <v>261.69586087815094</v>
      </c>
      <c r="E32">
        <f>FL6_WD!W31</f>
        <v>1492.993683725593</v>
      </c>
      <c r="F32">
        <f>FL6_WD!X31</f>
        <v>1660.7186837255929</v>
      </c>
      <c r="G32">
        <f>FL6_WD!Y31</f>
        <v>261.69586087815094</v>
      </c>
      <c r="H32">
        <v>1</v>
      </c>
      <c r="I32">
        <f>FL6_WD!Z31</f>
        <v>236.32162495574988</v>
      </c>
      <c r="J32">
        <f>FL6_WD!AA31</f>
        <v>1359.2486837255929</v>
      </c>
      <c r="K32">
        <f>'FL6 data'!E33*0.068948</f>
        <v>160.48058013535277</v>
      </c>
      <c r="L32">
        <f>'FL6 data'!K33*0.068948</f>
        <v>149.83211509983857</v>
      </c>
      <c r="M32">
        <f>'FL6 data'!Q33*0.068948</f>
        <v>158.71096932745246</v>
      </c>
      <c r="N32">
        <f>'FL6 data'!W33*0.068948</f>
        <v>149.17861110856208</v>
      </c>
      <c r="O32">
        <f>'FL6 data'!AB33*0.068948</f>
        <v>144.12378023617612</v>
      </c>
      <c r="P32">
        <f>'FL6 data'!AG33*0.068948</f>
        <v>152.69623259244023</v>
      </c>
      <c r="Q32">
        <f>'FL6 data'!AN33*0.068948</f>
        <v>130.95759982371186</v>
      </c>
      <c r="R32">
        <f>'FL6 data'!AU33*0.068948</f>
        <v>144.20758074798792</v>
      </c>
      <c r="S32">
        <f>'FL6 data'!BB33*0.068948</f>
        <v>148.75780853850998</v>
      </c>
      <c r="T32">
        <f>'FL6 data'!BK35*0.068948</f>
        <v>83.333458959209366</v>
      </c>
      <c r="U32">
        <f t="shared" si="1"/>
        <v>83.333458959209366</v>
      </c>
    </row>
    <row r="33" spans="1:21" x14ac:dyDescent="0.35">
      <c r="A33">
        <v>803.9801040000001</v>
      </c>
      <c r="B33">
        <v>1</v>
      </c>
      <c r="C33">
        <f>FL6_WD!U32</f>
        <v>270.62424203382005</v>
      </c>
      <c r="D33">
        <f>FL6_WD!V32</f>
        <v>269.30412377999659</v>
      </c>
      <c r="E33">
        <f>FL6_WD!W32</f>
        <v>1500.6392420338202</v>
      </c>
      <c r="F33">
        <f>FL6_WD!X32</f>
        <v>1668.3642420338201</v>
      </c>
      <c r="G33">
        <f>FL6_WD!Y32</f>
        <v>269.30412377999659</v>
      </c>
      <c r="H33">
        <v>1</v>
      </c>
      <c r="I33">
        <f>FL6_WD!Z32</f>
        <v>243.1921847193675</v>
      </c>
      <c r="J33">
        <f>FL6_WD!AA32</f>
        <v>1366.8942420338201</v>
      </c>
      <c r="K33">
        <f>'FL6 data'!E34*0.068948</f>
        <v>160.40937970049589</v>
      </c>
      <c r="L33">
        <f>'FL6 data'!K34*0.068948</f>
        <v>149.78481481095196</v>
      </c>
      <c r="M33">
        <f>'FL6 data'!Q34*0.068948</f>
        <v>158.66116902329722</v>
      </c>
      <c r="N33">
        <f>'FL6 data'!W34*0.068948</f>
        <v>149.14001087281108</v>
      </c>
      <c r="O33">
        <f>'FL6 data'!AB34*0.068948</f>
        <v>144.08437999553914</v>
      </c>
      <c r="P33">
        <f>'FL6 data'!AG34*0.068948</f>
        <v>152.64903230416422</v>
      </c>
      <c r="Q33">
        <f>'FL6 data'!AN34*0.068948</f>
        <v>130.91869958612861</v>
      </c>
      <c r="R33">
        <f>'FL6 data'!AU34*0.068948</f>
        <v>144.167980506129</v>
      </c>
      <c r="S33">
        <f>'FL6 data'!BB34*0.068948</f>
        <v>148.71170825695231</v>
      </c>
      <c r="T33">
        <f>'FL6 data'!BK36*0.068948</f>
        <v>83.293058712464799</v>
      </c>
      <c r="U33">
        <f t="shared" si="1"/>
        <v>83.293058712464799</v>
      </c>
    </row>
    <row r="34" spans="1:21" x14ac:dyDescent="0.35">
      <c r="A34">
        <v>826.69151399999998</v>
      </c>
      <c r="B34">
        <v>1</v>
      </c>
      <c r="C34">
        <f>FL6_WD!U33</f>
        <v>278.2690308615413</v>
      </c>
      <c r="D34">
        <f>FL6_WD!V33</f>
        <v>276.91162095489966</v>
      </c>
      <c r="E34">
        <f>FL6_WD!W33</f>
        <v>1508.2840308615414</v>
      </c>
      <c r="F34">
        <f>FL6_WD!X33</f>
        <v>1676.0090308615413</v>
      </c>
      <c r="G34">
        <f>FL6_WD!Y33</f>
        <v>276.91162095489966</v>
      </c>
      <c r="H34">
        <v>1</v>
      </c>
      <c r="I34">
        <f>FL6_WD!Z33</f>
        <v>250.06205300152749</v>
      </c>
      <c r="J34">
        <f>FL6_WD!AA33</f>
        <v>1374.5390308615413</v>
      </c>
      <c r="K34">
        <f>'FL6 data'!E35*0.068948</f>
        <v>160.34887933098986</v>
      </c>
      <c r="L34">
        <f>'FL6 data'!K35*0.068948</f>
        <v>149.74951459535575</v>
      </c>
      <c r="M34">
        <f>'FL6 data'!Q35*0.068948</f>
        <v>158.62516880342523</v>
      </c>
      <c r="N34">
        <f>'FL6 data'!W35*0.068948</f>
        <v>149.1122107030215</v>
      </c>
      <c r="O34">
        <f>'FL6 data'!AB35*0.068948</f>
        <v>144.05597982208488</v>
      </c>
      <c r="P34">
        <f>'FL6 data'!AG35*0.068948</f>
        <v>152.61903212093776</v>
      </c>
      <c r="Q34">
        <f>'FL6 data'!AN35*0.068948</f>
        <v>130.89079941572828</v>
      </c>
      <c r="R34">
        <f>'FL6 data'!AU35*0.068948</f>
        <v>144.13938033145348</v>
      </c>
      <c r="S34">
        <f>'FL6 data'!BB35*0.068948</f>
        <v>148.68240807800169</v>
      </c>
      <c r="T34">
        <f>'FL6 data'!BK37*0.068948</f>
        <v>83.263938534613288</v>
      </c>
      <c r="U34">
        <f t="shared" si="1"/>
        <v>83.263938534613288</v>
      </c>
    </row>
    <row r="35" spans="1:21" x14ac:dyDescent="0.35">
      <c r="A35">
        <v>849.40063800000007</v>
      </c>
      <c r="B35">
        <v>1</v>
      </c>
      <c r="C35">
        <f>FL6_WD!U34</f>
        <v>285.91305020875643</v>
      </c>
      <c r="D35">
        <f>FL6_WD!V34</f>
        <v>284.5183524028601</v>
      </c>
      <c r="E35">
        <f>FL6_WD!W34</f>
        <v>1515.9280502087565</v>
      </c>
      <c r="F35">
        <f>FL6_WD!X34</f>
        <v>1683.6530502087564</v>
      </c>
      <c r="G35">
        <f>FL6_WD!Y34</f>
        <v>284.5183524028601</v>
      </c>
      <c r="H35">
        <v>1</v>
      </c>
      <c r="I35">
        <f>FL6_WD!Z34</f>
        <v>256.93122980222984</v>
      </c>
      <c r="J35">
        <f>FL6_WD!AA34</f>
        <v>1382.1830502087564</v>
      </c>
      <c r="K35">
        <f>'FL6 data'!E36*0.068948</f>
        <v>160.29917902744526</v>
      </c>
      <c r="L35">
        <f>'FL6 data'!K36*0.068948</f>
        <v>149.72641445427195</v>
      </c>
      <c r="M35">
        <f>'FL6 data'!Q36*0.068948</f>
        <v>158.6032686696704</v>
      </c>
      <c r="N35">
        <f>'FL6 data'!W36*0.068948</f>
        <v>149.09531059980409</v>
      </c>
      <c r="O35">
        <f>'FL6 data'!AB36*0.068948</f>
        <v>144.0386797164247</v>
      </c>
      <c r="P35">
        <f>'FL6 data'!AG36*0.068948</f>
        <v>152.60153201405632</v>
      </c>
      <c r="Q35">
        <f>'FL6 data'!AN36*0.068948</f>
        <v>130.87379931190011</v>
      </c>
      <c r="R35">
        <f>'FL6 data'!AU36*0.068948</f>
        <v>144.1220802257933</v>
      </c>
      <c r="S35">
        <f>'FL6 data'!BB36*0.068948</f>
        <v>148.66480797050889</v>
      </c>
      <c r="T35">
        <f>'FL6 data'!BK38*0.068948</f>
        <v>83.24610842571586</v>
      </c>
      <c r="U35">
        <f t="shared" si="1"/>
        <v>83.24610842571586</v>
      </c>
    </row>
    <row r="36" spans="1:21" x14ac:dyDescent="0.35">
      <c r="A36">
        <v>872.10976200000005</v>
      </c>
      <c r="B36">
        <v>1</v>
      </c>
      <c r="C36">
        <f>FL6_WD!U35</f>
        <v>293.55706955597151</v>
      </c>
      <c r="D36">
        <f>FL6_WD!V35</f>
        <v>292.12508385082043</v>
      </c>
      <c r="E36">
        <f>FL6_WD!W35</f>
        <v>1523.5720695559717</v>
      </c>
      <c r="F36">
        <f>FL6_WD!X35</f>
        <v>1691.2970695559716</v>
      </c>
      <c r="G36">
        <f>FL6_WD!Y35</f>
        <v>292.12508385082043</v>
      </c>
      <c r="H36">
        <v>1</v>
      </c>
      <c r="I36">
        <f>FL6_WD!Z35</f>
        <v>263.80040660293213</v>
      </c>
      <c r="J36">
        <f>FL6_WD!AA35</f>
        <v>1389.8270695559715</v>
      </c>
      <c r="K36">
        <f>'FL6 data'!E37*0.068948</f>
        <v>160.24707870924206</v>
      </c>
      <c r="L36">
        <f>'FL6 data'!K37*0.068948</f>
        <v>149.70051429608628</v>
      </c>
      <c r="M36">
        <f>'FL6 data'!Q37*0.068948</f>
        <v>158.57816851637119</v>
      </c>
      <c r="N36">
        <f>'FL6 data'!W37*0.068948</f>
        <v>149.07601048192859</v>
      </c>
      <c r="O36">
        <f>'FL6 data'!AB37*0.068948</f>
        <v>144.01897959610588</v>
      </c>
      <c r="P36">
        <f>'FL6 data'!AG37*0.068948</f>
        <v>152.58153189190489</v>
      </c>
      <c r="Q36">
        <f>'FL6 data'!AN37*0.068948</f>
        <v>130.85429919280313</v>
      </c>
      <c r="R36">
        <f>'FL6 data'!AU37*0.068948</f>
        <v>144.10218010425316</v>
      </c>
      <c r="S36">
        <f>'FL6 data'!BB37*0.068948</f>
        <v>148.64480784835817</v>
      </c>
      <c r="T36">
        <f>'FL6 data'!BK39*0.068948</f>
        <v>83.225768301488543</v>
      </c>
      <c r="U36">
        <f t="shared" si="1"/>
        <v>83.225768301488543</v>
      </c>
    </row>
    <row r="37" spans="1:21" x14ac:dyDescent="0.35">
      <c r="A37">
        <v>894.81888600000013</v>
      </c>
      <c r="B37">
        <v>1</v>
      </c>
      <c r="C37">
        <f>FL6_WD!U36</f>
        <v>301.2010889031867</v>
      </c>
      <c r="D37">
        <f>FL6_WD!V36</f>
        <v>299.73181529878093</v>
      </c>
      <c r="E37">
        <f>FL6_WD!W36</f>
        <v>1531.2160889031868</v>
      </c>
      <c r="F37">
        <f>FL6_WD!X36</f>
        <v>1698.9410889031867</v>
      </c>
      <c r="G37">
        <f>FL6_WD!Y36</f>
        <v>299.73181529878093</v>
      </c>
      <c r="H37">
        <v>1</v>
      </c>
      <c r="I37">
        <f>FL6_WD!Z36</f>
        <v>270.66958340363442</v>
      </c>
      <c r="J37">
        <f>FL6_WD!AA36</f>
        <v>1397.4710889031867</v>
      </c>
      <c r="K37">
        <f>'FL6 data'!E38*0.068948</f>
        <v>160.19257837638153</v>
      </c>
      <c r="L37">
        <f>'FL6 data'!K38*0.068948</f>
        <v>149.67201412202141</v>
      </c>
      <c r="M37">
        <f>'FL6 data'!Q38*0.068948</f>
        <v>158.55006834474952</v>
      </c>
      <c r="N37">
        <f>'FL6 data'!W38*0.068948</f>
        <v>149.05431034939502</v>
      </c>
      <c r="O37">
        <f>'FL6 data'!AB38*0.068948</f>
        <v>143.99677946051847</v>
      </c>
      <c r="P37">
        <f>'FL6 data'!AG38*0.068948</f>
        <v>152.55903175448557</v>
      </c>
      <c r="Q37">
        <f>'FL6 data'!AN38*0.068948</f>
        <v>130.83249905965877</v>
      </c>
      <c r="R37">
        <f>'FL6 data'!AU38*0.068948</f>
        <v>144.07987996805511</v>
      </c>
      <c r="S37">
        <f>'FL6 data'!BB38*0.068948</f>
        <v>148.62230771093817</v>
      </c>
      <c r="T37">
        <f>'FL6 data'!BK40*0.068948</f>
        <v>83.202938162053428</v>
      </c>
      <c r="U37">
        <f t="shared" si="1"/>
        <v>83.202938162053428</v>
      </c>
    </row>
    <row r="38" spans="1:21" x14ac:dyDescent="0.35">
      <c r="A38">
        <v>925.22344799999712</v>
      </c>
      <c r="B38">
        <v>1</v>
      </c>
      <c r="C38">
        <f>FL6_WD!U37</f>
        <v>311.43543612730593</v>
      </c>
      <c r="D38">
        <f>FL6_WD!V37</f>
        <v>309.91623887790439</v>
      </c>
      <c r="E38">
        <f>FL6_WD!W37</f>
        <v>1541.4504361273061</v>
      </c>
      <c r="F38">
        <f>FL6_WD!X37</f>
        <v>1709.1754361273061</v>
      </c>
      <c r="G38">
        <f>FL6_WD!Y37</f>
        <v>309.91623887790439</v>
      </c>
      <c r="H38">
        <v>1</v>
      </c>
      <c r="I38">
        <f>FL6_WD!Z37</f>
        <v>279.86651728474294</v>
      </c>
      <c r="J38">
        <f>FL6_WD!AA37</f>
        <v>1407.7054361273058</v>
      </c>
      <c r="K38">
        <f>'FL6 data'!E39*0.068948</f>
        <v>160.13387801786897</v>
      </c>
      <c r="L38">
        <f>'FL6 data'!K39*0.068948</f>
        <v>149.64951398460209</v>
      </c>
      <c r="M38">
        <f>'FL6 data'!Q39*0.068948</f>
        <v>158.53086822748455</v>
      </c>
      <c r="N38">
        <f>'FL6 data'!W39*0.068948</f>
        <v>149.03971026022495</v>
      </c>
      <c r="O38">
        <f>'FL6 data'!AB39*0.068948</f>
        <v>143.98167936829495</v>
      </c>
      <c r="P38">
        <f>'FL6 data'!AG39*0.068948</f>
        <v>152.54373166104011</v>
      </c>
      <c r="Q38">
        <f>'FL6 data'!AN39*0.068948</f>
        <v>130.81769896926721</v>
      </c>
      <c r="R38">
        <f>'FL6 data'!AU39*0.068948</f>
        <v>144.06477987583091</v>
      </c>
      <c r="S38">
        <f>'FL6 data'!BB39*0.068948</f>
        <v>148.60700761749271</v>
      </c>
      <c r="T38">
        <f>'FL6 data'!BK41*0.068948</f>
        <v>83.190438085709204</v>
      </c>
      <c r="U38">
        <f t="shared" si="1"/>
        <v>83.190438085709204</v>
      </c>
    </row>
    <row r="39" spans="1:21" x14ac:dyDescent="0.35">
      <c r="A39">
        <v>963.32344799999703</v>
      </c>
      <c r="B39">
        <v>1</v>
      </c>
      <c r="C39">
        <f>FL6_WD!U38</f>
        <v>324.2601112283312</v>
      </c>
      <c r="D39">
        <f>FL6_WD!V38</f>
        <v>322.67835458819297</v>
      </c>
      <c r="E39">
        <f>FL6_WD!W38</f>
        <v>1554.2751112283313</v>
      </c>
      <c r="F39">
        <f>FL6_WD!X38</f>
        <v>1722.0001112283312</v>
      </c>
      <c r="G39">
        <f>FL6_WD!Y38</f>
        <v>322.67835458819297</v>
      </c>
      <c r="H39">
        <v>1</v>
      </c>
      <c r="I39">
        <f>FL6_WD!Z38</f>
        <v>291.3912082462594</v>
      </c>
      <c r="J39">
        <f>FL6_WD!AA38</f>
        <v>1420.5301112283312</v>
      </c>
      <c r="K39">
        <f>'FL6 data'!E40*0.068948</f>
        <v>160.07097763370498</v>
      </c>
      <c r="L39">
        <f>'FL6 data'!K40*0.068948</f>
        <v>149.63311388443827</v>
      </c>
      <c r="M39">
        <f>'FL6 data'!Q40*0.068948</f>
        <v>158.52096816702013</v>
      </c>
      <c r="N39">
        <f>'FL6 data'!W40*0.068948</f>
        <v>149.03201021319691</v>
      </c>
      <c r="O39">
        <f>'FL6 data'!AB40*0.068948</f>
        <v>143.9738793206559</v>
      </c>
      <c r="P39">
        <f>'FL6 data'!AG40*0.068948</f>
        <v>152.53583161279045</v>
      </c>
      <c r="Q39">
        <f>'FL6 data'!AN40*0.068948</f>
        <v>130.80999892223915</v>
      </c>
      <c r="R39">
        <f>'FL6 data'!AU40*0.068948</f>
        <v>144.0569798281926</v>
      </c>
      <c r="S39">
        <f>'FL6 data'!BB40*0.068948</f>
        <v>148.5990075686324</v>
      </c>
      <c r="T39">
        <f>'FL6 data'!BK42*0.068948</f>
        <v>83.189528080151334</v>
      </c>
      <c r="U39">
        <f t="shared" si="1"/>
        <v>83.189528080151334</v>
      </c>
    </row>
    <row r="40" spans="1:21" x14ac:dyDescent="0.35">
      <c r="A40">
        <v>1001.4234479999971</v>
      </c>
      <c r="B40">
        <v>1</v>
      </c>
      <c r="C40">
        <f>FL6_WD!U39</f>
        <v>337.08478632935652</v>
      </c>
      <c r="D40">
        <f>FL6_WD!V39</f>
        <v>335.44047029848167</v>
      </c>
      <c r="E40">
        <f>FL6_WD!W39</f>
        <v>1567.0997863293567</v>
      </c>
      <c r="F40">
        <f>FL6_WD!X39</f>
        <v>1734.8247863293566</v>
      </c>
      <c r="G40">
        <f>FL6_WD!Y39</f>
        <v>335.44047029848167</v>
      </c>
      <c r="H40">
        <v>1</v>
      </c>
      <c r="I40">
        <f>FL6_WD!Z39</f>
        <v>302.91589920777591</v>
      </c>
      <c r="J40">
        <f>FL6_WD!AA39</f>
        <v>1433.3547863293566</v>
      </c>
      <c r="K40">
        <f>'FL6 data'!E41*0.068948</f>
        <v>160.02117732954906</v>
      </c>
      <c r="L40">
        <f>'FL6 data'!K41*0.068948</f>
        <v>149.63071386978032</v>
      </c>
      <c r="M40">
        <f>'FL6 data'!Q41*0.068948</f>
        <v>158.5262681993899</v>
      </c>
      <c r="N40">
        <f>'FL6 data'!W41*0.068948</f>
        <v>149.03761024739913</v>
      </c>
      <c r="O40">
        <f>'FL6 data'!AB41*0.068948</f>
        <v>143.97957935546887</v>
      </c>
      <c r="P40">
        <f>'FL6 data'!AG41*0.068948</f>
        <v>152.54163164821475</v>
      </c>
      <c r="Q40">
        <f>'FL6 data'!AN41*0.068948</f>
        <v>130.81559895644136</v>
      </c>
      <c r="R40">
        <f>'FL6 data'!AU41*0.068948</f>
        <v>144.06267986300557</v>
      </c>
      <c r="S40">
        <f>'FL6 data'!BB41*0.068948</f>
        <v>148.6048076040567</v>
      </c>
      <c r="T40">
        <f>'FL6 data'!BK43*0.068948</f>
        <v>83.193028101527716</v>
      </c>
      <c r="U40">
        <f t="shared" si="1"/>
        <v>83.193028101527716</v>
      </c>
    </row>
    <row r="41" spans="1:21" x14ac:dyDescent="0.35">
      <c r="A41">
        <v>1039.523447999997</v>
      </c>
      <c r="B41">
        <v>1</v>
      </c>
      <c r="C41">
        <f>FL6_WD!U40</f>
        <v>349.90946143038184</v>
      </c>
      <c r="D41">
        <f>FL6_WD!V40</f>
        <v>348.20258600877014</v>
      </c>
      <c r="E41">
        <f>FL6_WD!W40</f>
        <v>1579.9244614303821</v>
      </c>
      <c r="F41">
        <f>FL6_WD!X40</f>
        <v>1747.649461430382</v>
      </c>
      <c r="G41">
        <f>FL6_WD!Y40</f>
        <v>348.20258600877014</v>
      </c>
      <c r="H41">
        <v>1</v>
      </c>
      <c r="I41">
        <f>FL6_WD!Z40</f>
        <v>314.44059016929236</v>
      </c>
      <c r="J41">
        <f>FL6_WD!AA40</f>
        <v>1446.1794614303817</v>
      </c>
      <c r="K41">
        <f>'FL6 data'!E42*0.068948</f>
        <v>159.984377104792</v>
      </c>
      <c r="L41">
        <f>'FL6 data'!K42*0.068948</f>
        <v>149.64211393940627</v>
      </c>
      <c r="M41">
        <f>'FL6 data'!Q42*0.068948</f>
        <v>158.54556831726552</v>
      </c>
      <c r="N41">
        <f>'FL6 data'!W42*0.068948</f>
        <v>149.05641036222084</v>
      </c>
      <c r="O41">
        <f>'FL6 data'!AB42*0.068948</f>
        <v>143.99877947273387</v>
      </c>
      <c r="P41">
        <f>'FL6 data'!AG42*0.068948</f>
        <v>152.56113176731162</v>
      </c>
      <c r="Q41">
        <f>'FL6 data'!AN42*0.068948</f>
        <v>130.83449907187386</v>
      </c>
      <c r="R41">
        <f>'FL6 data'!AU42*0.068948</f>
        <v>144.0819799808805</v>
      </c>
      <c r="S41">
        <f>'FL6 data'!BB42*0.068948</f>
        <v>148.62440772376419</v>
      </c>
      <c r="T41">
        <f>'FL6 data'!BK44*0.068948</f>
        <v>83.211318213234605</v>
      </c>
      <c r="U41">
        <f t="shared" si="1"/>
        <v>83.211318213234605</v>
      </c>
    </row>
    <row r="42" spans="1:21" x14ac:dyDescent="0.35">
      <c r="A42">
        <v>1077.6234479999971</v>
      </c>
      <c r="B42">
        <v>1</v>
      </c>
      <c r="C42">
        <f>FL6_WD!U41</f>
        <v>362.73413653140716</v>
      </c>
      <c r="D42">
        <f>FL6_WD!V41</f>
        <v>360.96470171905884</v>
      </c>
      <c r="E42">
        <f>FL6_WD!W41</f>
        <v>1592.7491365314072</v>
      </c>
      <c r="F42">
        <f>FL6_WD!X41</f>
        <v>1760.4741365314071</v>
      </c>
      <c r="G42">
        <f>FL6_WD!Y41</f>
        <v>360.96470171905884</v>
      </c>
      <c r="H42">
        <v>1</v>
      </c>
      <c r="I42">
        <f>FL6_WD!Z41</f>
        <v>325.96528113080899</v>
      </c>
      <c r="J42">
        <f>FL6_WD!AA41</f>
        <v>1459.0041365314071</v>
      </c>
      <c r="K42">
        <f>'FL6 data'!E43*0.068948</f>
        <v>159.95737693988866</v>
      </c>
      <c r="L42">
        <f>'FL6 data'!K43*0.068948</f>
        <v>149.66391407255048</v>
      </c>
      <c r="M42">
        <f>'FL6 data'!Q43*0.068948</f>
        <v>158.57526849865937</v>
      </c>
      <c r="N42">
        <f>'FL6 data'!W43*0.068948</f>
        <v>149.08501053689648</v>
      </c>
      <c r="O42">
        <f>'FL6 data'!AB43*0.068948</f>
        <v>144.02817965229511</v>
      </c>
      <c r="P42">
        <f>'FL6 data'!AG43*0.068948</f>
        <v>152.59093194931611</v>
      </c>
      <c r="Q42">
        <f>'FL6 data'!AN43*0.068948</f>
        <v>130.86339924838174</v>
      </c>
      <c r="R42">
        <f>'FL6 data'!AU43*0.068948</f>
        <v>144.11148016105307</v>
      </c>
      <c r="S42">
        <f>'FL6 data'!BB43*0.068948</f>
        <v>148.65420790576871</v>
      </c>
      <c r="T42">
        <f>'FL6 data'!BK45*0.068948</f>
        <v>83.240278390108912</v>
      </c>
      <c r="U42">
        <f t="shared" si="1"/>
        <v>83.240278390108912</v>
      </c>
    </row>
    <row r="43" spans="1:21" x14ac:dyDescent="0.35">
      <c r="A43">
        <v>1115.723447999997</v>
      </c>
      <c r="B43">
        <v>1</v>
      </c>
      <c r="C43">
        <f>FL6_WD!U42</f>
        <v>375.55881163243248</v>
      </c>
      <c r="D43">
        <f>FL6_WD!V42</f>
        <v>373.72681742934742</v>
      </c>
      <c r="E43">
        <f>FL6_WD!W42</f>
        <v>1605.5738116324326</v>
      </c>
      <c r="F43">
        <f>FL6_WD!X42</f>
        <v>1773.2988116324325</v>
      </c>
      <c r="G43">
        <f>FL6_WD!Y42</f>
        <v>373.72681742934742</v>
      </c>
      <c r="H43">
        <v>1</v>
      </c>
      <c r="I43">
        <f>FL6_WD!Z42</f>
        <v>337.48997209232539</v>
      </c>
      <c r="J43">
        <f>FL6_WD!AA42</f>
        <v>1471.8288116324325</v>
      </c>
      <c r="K43">
        <f>'FL6 data'!E44*0.068948</f>
        <v>159.9400768342278</v>
      </c>
      <c r="L43">
        <f>'FL6 data'!K44*0.068948</f>
        <v>149.69581426738102</v>
      </c>
      <c r="M43">
        <f>'FL6 data'!Q44*0.068948</f>
        <v>158.61506874173958</v>
      </c>
      <c r="N43">
        <f>'FL6 data'!W44*0.068948</f>
        <v>149.1235107720367</v>
      </c>
      <c r="O43">
        <f>'FL6 data'!AB44*0.068948</f>
        <v>144.06757989293209</v>
      </c>
      <c r="P43">
        <f>'FL6 data'!AG44*0.068948</f>
        <v>152.63093219361758</v>
      </c>
      <c r="Q43">
        <f>'FL6 data'!AN44*0.068948</f>
        <v>130.90219948535423</v>
      </c>
      <c r="R43">
        <f>'FL6 data'!AU44*0.068948</f>
        <v>144.15118040352266</v>
      </c>
      <c r="S43">
        <f>'FL6 data'!BB44*0.068948</f>
        <v>148.6943081506808</v>
      </c>
      <c r="T43">
        <f>'FL6 data'!BK46*0.068948</f>
        <v>83.279438629280122</v>
      </c>
      <c r="U43">
        <f t="shared" si="1"/>
        <v>83.279438629280122</v>
      </c>
    </row>
    <row r="44" spans="1:21" x14ac:dyDescent="0.35">
      <c r="A44">
        <v>1153.8234479999971</v>
      </c>
      <c r="B44">
        <v>1</v>
      </c>
      <c r="C44">
        <f>FL6_WD!U43</f>
        <v>388.3834867334578</v>
      </c>
      <c r="D44">
        <f>FL6_WD!V43</f>
        <v>386.48893313963612</v>
      </c>
      <c r="E44">
        <f>FL6_WD!W43</f>
        <v>1618.398486733458</v>
      </c>
      <c r="F44">
        <f>FL6_WD!X43</f>
        <v>1786.1234867334579</v>
      </c>
      <c r="G44">
        <f>FL6_WD!Y43</f>
        <v>386.48893313963612</v>
      </c>
      <c r="H44">
        <v>1</v>
      </c>
      <c r="I44">
        <f>FL6_WD!Z43</f>
        <v>349.01466305384196</v>
      </c>
      <c r="J44">
        <f>FL6_WD!AA43</f>
        <v>1484.6534867334578</v>
      </c>
      <c r="K44">
        <f>'FL6 data'!E45*0.068948</f>
        <v>159.95487692461941</v>
      </c>
      <c r="L44">
        <f>'FL6 data'!K45*0.068948</f>
        <v>149.76141466803554</v>
      </c>
      <c r="M44">
        <f>'FL6 data'!Q45*0.068948</f>
        <v>158.68886919247566</v>
      </c>
      <c r="N44">
        <f>'FL6 data'!W45*0.068948</f>
        <v>149.19441120506116</v>
      </c>
      <c r="O44">
        <f>'FL6 data'!AB45*0.068948</f>
        <v>144.1410803418363</v>
      </c>
      <c r="P44">
        <f>'FL6 data'!AG45*0.068948</f>
        <v>152.70583265107203</v>
      </c>
      <c r="Q44">
        <f>'FL6 data'!AN45*0.068948</f>
        <v>130.97359992143248</v>
      </c>
      <c r="R44">
        <f>'FL6 data'!AU45*0.068948</f>
        <v>144.22498085425875</v>
      </c>
      <c r="S44">
        <f>'FL6 data'!BB45*0.068948</f>
        <v>148.76960861057847</v>
      </c>
      <c r="T44">
        <f>'FL6 data'!BK47*0.068948</f>
        <v>83.352299074275393</v>
      </c>
      <c r="U44">
        <f t="shared" si="1"/>
        <v>83.352299074275393</v>
      </c>
    </row>
    <row r="45" spans="1:21" x14ac:dyDescent="0.35">
      <c r="A45">
        <v>1191.9234479999971</v>
      </c>
      <c r="B45">
        <v>1</v>
      </c>
      <c r="C45">
        <f>FL6_WD!U44</f>
        <v>401.20816183448312</v>
      </c>
      <c r="D45">
        <f>FL6_WD!V44</f>
        <v>399.25104884992464</v>
      </c>
      <c r="E45">
        <f>FL6_WD!W44</f>
        <v>1631.2231618344831</v>
      </c>
      <c r="F45">
        <f>FL6_WD!X44</f>
        <v>1798.948161834483</v>
      </c>
      <c r="G45">
        <f>FL6_WD!Y44</f>
        <v>399.25104884992464</v>
      </c>
      <c r="H45">
        <v>1</v>
      </c>
      <c r="I45">
        <f>FL6_WD!Z44</f>
        <v>360.53935401535847</v>
      </c>
      <c r="J45">
        <f>FL6_WD!AA44</f>
        <v>1497.4781618344832</v>
      </c>
      <c r="K45">
        <f>'FL6 data'!E46*0.068948</f>
        <v>160.00157720984154</v>
      </c>
      <c r="L45">
        <f>'FL6 data'!K46*0.068948</f>
        <v>149.85961526779576</v>
      </c>
      <c r="M45">
        <f>'FL6 data'!Q46*0.068948</f>
        <v>158.7957698453713</v>
      </c>
      <c r="N45">
        <f>'FL6 data'!W46*0.068948</f>
        <v>149.29761183535916</v>
      </c>
      <c r="O45">
        <f>'FL6 data'!AB46*0.068948</f>
        <v>144.24428097213433</v>
      </c>
      <c r="P45">
        <f>'FL6 data'!AG46*0.068948</f>
        <v>152.81433331374052</v>
      </c>
      <c r="Q45">
        <f>'FL6 data'!AN46*0.068948</f>
        <v>131.07750055600573</v>
      </c>
      <c r="R45">
        <f>'FL6 data'!AU46*0.068948</f>
        <v>144.32788148272419</v>
      </c>
      <c r="S45">
        <f>'FL6 data'!BB46*0.068948</f>
        <v>148.87760927019309</v>
      </c>
      <c r="T45">
        <f>'FL6 data'!BK48*0.068948</f>
        <v>83.458699724117494</v>
      </c>
      <c r="U45">
        <f t="shared" si="1"/>
        <v>83.458699724117494</v>
      </c>
    </row>
    <row r="46" spans="1:21" x14ac:dyDescent="0.35">
      <c r="A46">
        <v>1222.3272479999971</v>
      </c>
      <c r="B46">
        <v>1</v>
      </c>
      <c r="C46">
        <f>FL6_WD!U45</f>
        <v>411.44225256510128</v>
      </c>
      <c r="D46">
        <f>FL6_WD!V45</f>
        <v>409.43521718673497</v>
      </c>
      <c r="E46">
        <f>FL6_WD!W45</f>
        <v>1641.4572525651015</v>
      </c>
      <c r="F46">
        <f>FL6_WD!X45</f>
        <v>1809.1822525651014</v>
      </c>
      <c r="G46">
        <f>FL6_WD!Y45</f>
        <v>409.43521718673497</v>
      </c>
      <c r="H46">
        <v>1</v>
      </c>
      <c r="I46">
        <f>FL6_WD!Z45</f>
        <v>369.73605740264861</v>
      </c>
      <c r="J46">
        <f>FL6_WD!AA45</f>
        <v>1507.7122525651012</v>
      </c>
      <c r="K46">
        <f>'FL6 data'!E47*0.068948</f>
        <v>160.00187721167413</v>
      </c>
      <c r="L46">
        <f>'FL6 data'!K47*0.068948</f>
        <v>149.8985155053789</v>
      </c>
      <c r="M46">
        <f>'FL6 data'!Q47*0.068948</f>
        <v>158.84037011776806</v>
      </c>
      <c r="N46">
        <f>'FL6 data'!W47*0.068948</f>
        <v>149.34271211080915</v>
      </c>
      <c r="O46">
        <f>'FL6 data'!AB47*0.068948</f>
        <v>144.2876812372015</v>
      </c>
      <c r="P46">
        <f>'FL6 data'!AG47*0.068948</f>
        <v>152.86573362766791</v>
      </c>
      <c r="Q46">
        <f>'FL6 data'!AN47*0.068948</f>
        <v>131.12280083267726</v>
      </c>
      <c r="R46">
        <f>'FL6 data'!AU47*0.068948</f>
        <v>144.36948173679787</v>
      </c>
      <c r="S46">
        <f>'FL6 data'!BB47*0.068948</f>
        <v>148.92870958228792</v>
      </c>
      <c r="T46">
        <f>'FL6 data'!BK49*0.068948</f>
        <v>83.504820005797185</v>
      </c>
      <c r="U46">
        <f t="shared" si="1"/>
        <v>83.504820005797185</v>
      </c>
    </row>
    <row r="47" spans="1:21" x14ac:dyDescent="0.35">
      <c r="A47">
        <v>1245.0348479999971</v>
      </c>
      <c r="B47">
        <v>1</v>
      </c>
      <c r="C47">
        <f>FL6_WD!U46</f>
        <v>419.0857589253124</v>
      </c>
      <c r="D47">
        <f>FL6_WD!V46</f>
        <v>417.04143815006705</v>
      </c>
      <c r="E47">
        <f>FL6_WD!W46</f>
        <v>1649.1007589253124</v>
      </c>
      <c r="F47">
        <f>FL6_WD!X46</f>
        <v>1816.8257589253124</v>
      </c>
      <c r="G47">
        <f>FL6_WD!Y46</f>
        <v>417.04143815006705</v>
      </c>
      <c r="H47">
        <v>1</v>
      </c>
      <c r="I47">
        <f>FL6_WD!Z46</f>
        <v>376.60477321571244</v>
      </c>
      <c r="J47">
        <f>FL6_WD!AA46</f>
        <v>1515.3557589253123</v>
      </c>
      <c r="K47">
        <f>'FL6 data'!E48*0.068948</f>
        <v>159.95577693011649</v>
      </c>
      <c r="L47">
        <f>'FL6 data'!K48*0.068948</f>
        <v>149.87931538811458</v>
      </c>
      <c r="M47">
        <f>'FL6 data'!Q48*0.068948</f>
        <v>158.82327001332916</v>
      </c>
      <c r="N47">
        <f>'FL6 data'!W48*0.068948</f>
        <v>149.32951203018962</v>
      </c>
      <c r="O47">
        <f>'FL6 data'!AB48*0.068948</f>
        <v>144.27358115108498</v>
      </c>
      <c r="P47">
        <f>'FL6 data'!AG48*0.068948</f>
        <v>152.85163354155142</v>
      </c>
      <c r="Q47">
        <f>'FL6 data'!AN48*0.068948</f>
        <v>131.10950075144697</v>
      </c>
      <c r="R47">
        <f>'FL6 data'!AU48*0.068948</f>
        <v>144.35518164946009</v>
      </c>
      <c r="S47">
        <f>'FL6 data'!BB48*0.068948</f>
        <v>148.91430949433953</v>
      </c>
      <c r="T47">
        <f>'FL6 data'!BK50*0.068948</f>
        <v>83.49511994655407</v>
      </c>
      <c r="U47">
        <f t="shared" si="1"/>
        <v>83.49511994655407</v>
      </c>
    </row>
    <row r="48" spans="1:21" x14ac:dyDescent="0.35">
      <c r="A48">
        <v>1275.4386479999971</v>
      </c>
      <c r="B48">
        <v>1</v>
      </c>
      <c r="C48">
        <f>FL6_WD!U47</f>
        <v>429.31984965593062</v>
      </c>
      <c r="D48">
        <f>FL6_WD!V47</f>
        <v>427.22560648687733</v>
      </c>
      <c r="E48">
        <f>FL6_WD!W47</f>
        <v>1659.3348496559306</v>
      </c>
      <c r="F48">
        <f>FL6_WD!X47</f>
        <v>1827.0598496559305</v>
      </c>
      <c r="G48">
        <f>FL6_WD!Y47</f>
        <v>427.22560648687733</v>
      </c>
      <c r="H48">
        <v>1</v>
      </c>
      <c r="I48">
        <f>FL6_WD!Z47</f>
        <v>385.80147660300264</v>
      </c>
      <c r="J48">
        <f>FL6_WD!AA47</f>
        <v>1525.5898496559307</v>
      </c>
      <c r="K48">
        <f>'FL6 data'!E49*0.068948</f>
        <v>159.9330767914752</v>
      </c>
      <c r="L48">
        <f>'FL6 data'!K49*0.068948</f>
        <v>149.89541548644578</v>
      </c>
      <c r="M48">
        <f>'FL6 data'!Q49*0.068948</f>
        <v>158.8449701458627</v>
      </c>
      <c r="N48">
        <f>'FL6 data'!W49*0.068948</f>
        <v>149.35111216211249</v>
      </c>
      <c r="O48">
        <f>'FL6 data'!AB49*0.068948</f>
        <v>144.29678129278011</v>
      </c>
      <c r="P48">
        <f>'FL6 data'!AG49*0.068948</f>
        <v>152.87513368507845</v>
      </c>
      <c r="Q48">
        <f>'FL6 data'!AN49*0.068948</f>
        <v>131.13130088459133</v>
      </c>
      <c r="R48">
        <f>'FL6 data'!AU49*0.068948</f>
        <v>144.38008180153807</v>
      </c>
      <c r="S48">
        <f>'FL6 data'!BB49*0.068948</f>
        <v>148.93820964030979</v>
      </c>
      <c r="T48">
        <f>'FL6 data'!BK51*0.068948</f>
        <v>83.51630007591173</v>
      </c>
      <c r="U48">
        <f t="shared" si="1"/>
        <v>83.51630007591173</v>
      </c>
    </row>
    <row r="49" spans="1:21" x14ac:dyDescent="0.35">
      <c r="A49">
        <v>1313.538647999997</v>
      </c>
      <c r="B49">
        <v>1</v>
      </c>
      <c r="C49">
        <f>FL6_WD!U48</f>
        <v>442.14452475695595</v>
      </c>
      <c r="D49">
        <f>FL6_WD!V48</f>
        <v>439.98772219716591</v>
      </c>
      <c r="E49">
        <f>FL6_WD!W48</f>
        <v>1672.159524756956</v>
      </c>
      <c r="F49">
        <f>FL6_WD!X48</f>
        <v>1839.8845247569559</v>
      </c>
      <c r="G49">
        <f>FL6_WD!Y48</f>
        <v>439.98772219716591</v>
      </c>
      <c r="H49">
        <v>1</v>
      </c>
      <c r="I49">
        <f>FL6_WD!Z48</f>
        <v>397.3261675645191</v>
      </c>
      <c r="J49">
        <f>FL6_WD!AA48</f>
        <v>1538.4145247569559</v>
      </c>
      <c r="K49">
        <f>'FL6 data'!E50*0.068948</f>
        <v>159.93367679513969</v>
      </c>
      <c r="L49">
        <f>'FL6 data'!K50*0.068948</f>
        <v>149.94591579487616</v>
      </c>
      <c r="M49">
        <f>'FL6 data'!Q50*0.068948</f>
        <v>158.90357050376394</v>
      </c>
      <c r="N49">
        <f>'FL6 data'!W50*0.068948</f>
        <v>149.40751250657763</v>
      </c>
      <c r="O49">
        <f>'FL6 data'!AB50*0.068948</f>
        <v>144.36538171175707</v>
      </c>
      <c r="P49">
        <f>'FL6 data'!AG50*0.068948</f>
        <v>152.94393410527741</v>
      </c>
      <c r="Q49">
        <f>'FL6 data'!AN50*0.068948</f>
        <v>131.1881012314995</v>
      </c>
      <c r="R49">
        <f>'FL6 data'!AU50*0.068948</f>
        <v>144.45068223273046</v>
      </c>
      <c r="S49">
        <f>'FL6 data'!BB50*0.068948</f>
        <v>149.00771006478385</v>
      </c>
      <c r="T49">
        <f>'FL6 data'!BK52*0.068948</f>
        <v>83.573600425873693</v>
      </c>
      <c r="U49">
        <f t="shared" si="1"/>
        <v>83.573600425873693</v>
      </c>
    </row>
    <row r="50" spans="1:21" x14ac:dyDescent="0.35">
      <c r="A50">
        <v>1343.9454959999971</v>
      </c>
      <c r="B50">
        <v>1</v>
      </c>
      <c r="C50">
        <f>FL6_WD!U49</f>
        <v>452.37964146158208</v>
      </c>
      <c r="D50">
        <f>FL6_WD!V49</f>
        <v>450.17291150323297</v>
      </c>
      <c r="E50">
        <f>FL6_WD!W49</f>
        <v>1682.3946414615821</v>
      </c>
      <c r="F50">
        <f>FL6_WD!X49</f>
        <v>1850.119641461582</v>
      </c>
      <c r="G50">
        <f>FL6_WD!Y49</f>
        <v>450.17291150323297</v>
      </c>
      <c r="H50">
        <v>1</v>
      </c>
      <c r="I50">
        <f>FL6_WD!Z49</f>
        <v>406.52379292708622</v>
      </c>
      <c r="J50">
        <f>FL6_WD!AA49</f>
        <v>1548.6496414615822</v>
      </c>
      <c r="K50">
        <f>'FL6 data'!E51*0.068948</f>
        <v>159.89737657343579</v>
      </c>
      <c r="L50">
        <f>'FL6 data'!K51*0.068948</f>
        <v>149.9461157960981</v>
      </c>
      <c r="M50">
        <f>'FL6 data'!Q51*0.068948</f>
        <v>158.90657052208707</v>
      </c>
      <c r="N50">
        <f>'FL6 data'!W51*0.068948</f>
        <v>149.41511255299494</v>
      </c>
      <c r="O50">
        <f>'FL6 data'!AB51*0.068948</f>
        <v>144.37628177832917</v>
      </c>
      <c r="P50">
        <f>'FL6 data'!AG51*0.068948</f>
        <v>152.95443416940626</v>
      </c>
      <c r="Q50">
        <f>'FL6 data'!AN51*0.068948</f>
        <v>131.19580127852757</v>
      </c>
      <c r="R50">
        <f>'FL6 data'!AU51*0.068948</f>
        <v>144.46158229930256</v>
      </c>
      <c r="S50">
        <f>'FL6 data'!BB51*0.068948</f>
        <v>149.01851013074528</v>
      </c>
      <c r="T50">
        <f>'FL6 data'!BK53*0.068948</f>
        <v>83.581170472107758</v>
      </c>
      <c r="U50">
        <f t="shared" si="1"/>
        <v>83.581170472107758</v>
      </c>
    </row>
    <row r="51" spans="1:21" x14ac:dyDescent="0.35">
      <c r="A51">
        <v>1366.6591919999971</v>
      </c>
      <c r="B51">
        <v>1</v>
      </c>
      <c r="C51">
        <f>FL6_WD!U50</f>
        <v>460.02519976980949</v>
      </c>
      <c r="D51">
        <f>FL6_WD!V50</f>
        <v>457.78117440507867</v>
      </c>
      <c r="E51">
        <f>FL6_WD!W50</f>
        <v>1690.0401997698095</v>
      </c>
      <c r="F51">
        <f>FL6_WD!X50</f>
        <v>1857.7651997698094</v>
      </c>
      <c r="G51">
        <f>FL6_WD!Y50</f>
        <v>457.78117440507867</v>
      </c>
      <c r="H51">
        <v>1</v>
      </c>
      <c r="I51">
        <f>FL6_WD!Z50</f>
        <v>413.3943526907039</v>
      </c>
      <c r="J51">
        <f>FL6_WD!AA50</f>
        <v>1556.2951997698094</v>
      </c>
      <c r="K51">
        <f>'FL6 data'!E52*0.068948</f>
        <v>159.82417612636419</v>
      </c>
      <c r="L51">
        <f>'FL6 data'!K52*0.068948</f>
        <v>149.89651549316415</v>
      </c>
      <c r="M51">
        <f>'FL6 data'!Q52*0.068948</f>
        <v>158.85407020144135</v>
      </c>
      <c r="N51">
        <f>'FL6 data'!W52*0.068948</f>
        <v>149.37431230380736</v>
      </c>
      <c r="O51">
        <f>'FL6 data'!AB52*0.068948</f>
        <v>144.32098144058227</v>
      </c>
      <c r="P51">
        <f>'FL6 data'!AG52*0.068948</f>
        <v>152.8987338292161</v>
      </c>
      <c r="Q51">
        <f>'FL6 data'!AN52*0.068948</f>
        <v>131.15470102750771</v>
      </c>
      <c r="R51">
        <f>'FL6 data'!AU52*0.068948</f>
        <v>144.40618196094499</v>
      </c>
      <c r="S51">
        <f>'FL6 data'!BB52*0.068948</f>
        <v>148.96270978994451</v>
      </c>
      <c r="T51">
        <f>'FL6 data'!BK54*0.068948</f>
        <v>83.538430211071557</v>
      </c>
      <c r="U51">
        <f t="shared" si="1"/>
        <v>83.538430211071557</v>
      </c>
    </row>
    <row r="52" spans="1:21" x14ac:dyDescent="0.35">
      <c r="A52">
        <v>1393.0274399999971</v>
      </c>
      <c r="B52">
        <v>1</v>
      </c>
      <c r="C52">
        <f>FL6_WD!U51</f>
        <v>468.90090091372707</v>
      </c>
      <c r="D52">
        <f>FL6_WD!V51</f>
        <v>466.61357944585524</v>
      </c>
      <c r="E52">
        <f>FL6_WD!W51</f>
        <v>1698.9159009137272</v>
      </c>
      <c r="F52">
        <f>FL6_WD!X51</f>
        <v>1866.6409009137271</v>
      </c>
      <c r="G52">
        <f>FL6_WD!Y51</f>
        <v>466.61357944585524</v>
      </c>
      <c r="H52">
        <v>1</v>
      </c>
      <c r="I52">
        <f>FL6_WD!Z51</f>
        <v>421.37036081135028</v>
      </c>
      <c r="J52">
        <f>FL6_WD!AA51</f>
        <v>1565.1709009137271</v>
      </c>
      <c r="K52">
        <f>'FL6 data'!E53*0.068948</f>
        <v>159.76017573548185</v>
      </c>
      <c r="L52">
        <f>'FL6 data'!K53*0.068948</f>
        <v>149.86221528367568</v>
      </c>
      <c r="M52">
        <f>'FL6 data'!Q53*0.068948</f>
        <v>158.82036999561734</v>
      </c>
      <c r="N52">
        <f>'FL6 data'!W53*0.068948</f>
        <v>149.34791214256836</v>
      </c>
      <c r="O52">
        <f>'FL6 data'!AB53*0.068948</f>
        <v>144.28568122498675</v>
      </c>
      <c r="P52">
        <f>'FL6 data'!AG53*0.068948</f>
        <v>152.86323361239866</v>
      </c>
      <c r="Q52">
        <f>'FL6 data'!AN53*0.068948</f>
        <v>131.1281008650472</v>
      </c>
      <c r="R52">
        <f>'FL6 data'!AU53*0.068948</f>
        <v>144.37078174473814</v>
      </c>
      <c r="S52">
        <f>'FL6 data'!BB53*0.068948</f>
        <v>148.92710957251643</v>
      </c>
      <c r="T52">
        <f>'FL6 data'!BK55*0.068948</f>
        <v>83.510580040976606</v>
      </c>
      <c r="U52">
        <f t="shared" si="1"/>
        <v>83.510580040976606</v>
      </c>
    </row>
    <row r="53" spans="1:21" x14ac:dyDescent="0.35">
      <c r="A53">
        <v>1423.0502399999971</v>
      </c>
      <c r="B53">
        <v>1</v>
      </c>
      <c r="C53">
        <f>FL6_WD!U52</f>
        <v>479.00674489333505</v>
      </c>
      <c r="D53">
        <f>FL6_WD!V52</f>
        <v>476.67012662556266</v>
      </c>
      <c r="E53">
        <f>FL6_WD!W52</f>
        <v>1709.0217448933352</v>
      </c>
      <c r="F53">
        <f>FL6_WD!X52</f>
        <v>1876.7467448933351</v>
      </c>
      <c r="G53">
        <f>FL6_WD!Y52</f>
        <v>476.67012662556266</v>
      </c>
      <c r="H53">
        <v>1</v>
      </c>
      <c r="I53">
        <f>FL6_WD!Z52</f>
        <v>430.45181728902531</v>
      </c>
      <c r="J53">
        <f>FL6_WD!AA52</f>
        <v>1575.276744893335</v>
      </c>
      <c r="K53">
        <f>'FL6 data'!E54*0.068948</f>
        <v>159.70537540078877</v>
      </c>
      <c r="L53">
        <f>'FL6 data'!K54*0.068948</f>
        <v>149.84351516946452</v>
      </c>
      <c r="M53">
        <f>'FL6 data'!Q54*0.068948</f>
        <v>158.80556990522572</v>
      </c>
      <c r="N53">
        <f>'FL6 data'!W54*0.068948</f>
        <v>149.33661207355317</v>
      </c>
      <c r="O53">
        <f>'FL6 data'!AB54*0.068948</f>
        <v>144.27038113154128</v>
      </c>
      <c r="P53">
        <f>'FL6 data'!AG54*0.068948</f>
        <v>152.84783351834255</v>
      </c>
      <c r="Q53">
        <f>'FL6 data'!AN54*0.068948</f>
        <v>131.11680079603201</v>
      </c>
      <c r="R53">
        <f>'FL6 data'!AU54*0.068948</f>
        <v>144.35538165068206</v>
      </c>
      <c r="S53">
        <f>'FL6 data'!BB54*0.068948</f>
        <v>148.91170947846032</v>
      </c>
      <c r="T53">
        <f>'FL6 data'!BK56*0.068948</f>
        <v>83.498139964998828</v>
      </c>
      <c r="U53">
        <f t="shared" si="1"/>
        <v>83.498139964998828</v>
      </c>
    </row>
    <row r="54" spans="1:21" x14ac:dyDescent="0.35">
      <c r="A54">
        <v>1449.4215359999969</v>
      </c>
      <c r="B54">
        <v>1</v>
      </c>
      <c r="C54">
        <f>FL6_WD!U53</f>
        <v>487.88347201126066</v>
      </c>
      <c r="D54">
        <f>FL6_WD!V53</f>
        <v>485.50355263559601</v>
      </c>
      <c r="E54">
        <f>FL6_WD!W53</f>
        <v>1717.8984720112608</v>
      </c>
      <c r="F54">
        <f>FL6_WD!X53</f>
        <v>1885.6234720112607</v>
      </c>
      <c r="G54">
        <f>FL6_WD!Y53</f>
        <v>485.50355263559601</v>
      </c>
      <c r="H54">
        <v>1</v>
      </c>
      <c r="I54">
        <f>FL6_WD!Z53</f>
        <v>438.42874738494851</v>
      </c>
      <c r="J54">
        <f>FL6_WD!AA53</f>
        <v>1584.1534720112606</v>
      </c>
      <c r="K54">
        <f>'FL6 data'!E55*0.068948</f>
        <v>159.63377496348866</v>
      </c>
      <c r="L54">
        <f>'FL6 data'!K55*0.068948</f>
        <v>149.80091490928316</v>
      </c>
      <c r="M54">
        <f>'FL6 data'!Q55*0.068948</f>
        <v>158.76216964015862</v>
      </c>
      <c r="N54">
        <f>'FL6 data'!W55*0.068948</f>
        <v>149.30311186895062</v>
      </c>
      <c r="O54">
        <f>'FL6 data'!AB55*0.068948</f>
        <v>144.22468085242684</v>
      </c>
      <c r="P54">
        <f>'FL6 data'!AG55*0.068948</f>
        <v>152.80193323800685</v>
      </c>
      <c r="Q54">
        <f>'FL6 data'!AN55*0.068948</f>
        <v>131.08300058959719</v>
      </c>
      <c r="R54">
        <f>'FL6 data'!AU55*0.068948</f>
        <v>144.30958137095629</v>
      </c>
      <c r="S54">
        <f>'FL6 data'!BB55*0.068948</f>
        <v>148.8657091975133</v>
      </c>
      <c r="T54">
        <f>'FL6 data'!BK57*0.068948</f>
        <v>83.462689748486568</v>
      </c>
      <c r="U54">
        <f t="shared" si="1"/>
        <v>83.462689748486568</v>
      </c>
    </row>
    <row r="55" spans="1:21" x14ac:dyDescent="0.35">
      <c r="A55">
        <v>1472.141327999997</v>
      </c>
      <c r="B55">
        <v>1</v>
      </c>
      <c r="C55">
        <f>FL6_WD!U54</f>
        <v>495.53108226750402</v>
      </c>
      <c r="D55">
        <f>FL6_WD!V54</f>
        <v>493.11385747595529</v>
      </c>
      <c r="E55">
        <f>FL6_WD!W54</f>
        <v>1725.5460822675041</v>
      </c>
      <c r="F55">
        <f>FL6_WD!X54</f>
        <v>1893.271082267504</v>
      </c>
      <c r="G55">
        <f>FL6_WD!Y54</f>
        <v>493.11385747595529</v>
      </c>
      <c r="H55">
        <v>1</v>
      </c>
      <c r="I55">
        <f>FL6_WD!Z54</f>
        <v>445.30115109912003</v>
      </c>
      <c r="J55">
        <f>FL6_WD!AA54</f>
        <v>1591.8010822675039</v>
      </c>
      <c r="K55">
        <f>'FL6 data'!E56*0.068948</f>
        <v>159.54557442480419</v>
      </c>
      <c r="L55">
        <f>'FL6 data'!K56*0.068948</f>
        <v>149.73421450191029</v>
      </c>
      <c r="M55">
        <f>'FL6 data'!Q56*0.068948</f>
        <v>158.69006919980464</v>
      </c>
      <c r="N55">
        <f>'FL6 data'!W56*0.068948</f>
        <v>149.24731152814996</v>
      </c>
      <c r="O55">
        <f>'FL6 data'!AB56*0.068948</f>
        <v>144.14878038886471</v>
      </c>
      <c r="P55">
        <f>'FL6 data'!AG56*0.068948</f>
        <v>152.72553277139085</v>
      </c>
      <c r="Q55">
        <f>'FL6 data'!AN56*0.068948</f>
        <v>131.02690024696429</v>
      </c>
      <c r="R55">
        <f>'FL6 data'!AU56*0.068948</f>
        <v>144.23428091105865</v>
      </c>
      <c r="S55">
        <f>'FL6 data'!BB56*0.068948</f>
        <v>148.78920873028667</v>
      </c>
      <c r="T55">
        <f>'FL6 data'!BK58*0.068948</f>
        <v>83.404199391256654</v>
      </c>
      <c r="U55">
        <f t="shared" si="1"/>
        <v>83.404199391256654</v>
      </c>
    </row>
    <row r="56" spans="1:21" x14ac:dyDescent="0.35">
      <c r="A56">
        <v>1494.8573100000001</v>
      </c>
      <c r="B56">
        <v>1</v>
      </c>
      <c r="C56">
        <f>FL6_WD!U55</f>
        <v>503.1774100562385</v>
      </c>
      <c r="D56">
        <f>FL6_WD!V55</f>
        <v>500.72288610474459</v>
      </c>
      <c r="E56">
        <f>FL6_WD!W55</f>
        <v>1733.1924100562387</v>
      </c>
      <c r="F56">
        <f>FL6_WD!X55</f>
        <v>1900.9174100562386</v>
      </c>
      <c r="G56">
        <f>FL6_WD!Y55</f>
        <v>500.72288610474459</v>
      </c>
      <c r="H56">
        <v>1</v>
      </c>
      <c r="I56">
        <f>FL6_WD!Z55</f>
        <v>452.17240234419631</v>
      </c>
      <c r="J56">
        <f>FL6_WD!AA55</f>
        <v>1599.4474100562384</v>
      </c>
      <c r="K56">
        <f>'FL6 data'!E57*0.068948</f>
        <v>159.46677394353023</v>
      </c>
      <c r="L56">
        <f>'FL6 data'!K57*0.068948</f>
        <v>149.67821415988823</v>
      </c>
      <c r="M56">
        <f>'FL6 data'!Q57*0.068948</f>
        <v>158.63026883457371</v>
      </c>
      <c r="N56">
        <f>'FL6 data'!W57*0.068948</f>
        <v>149.20111124598168</v>
      </c>
      <c r="O56">
        <f>'FL6 data'!AB57*0.068948</f>
        <v>144.09188004134558</v>
      </c>
      <c r="P56">
        <f>'FL6 data'!AG57*0.068948</f>
        <v>152.66223238478361</v>
      </c>
      <c r="Q56">
        <f>'FL6 data'!AN57*0.068948</f>
        <v>130.98029996235297</v>
      </c>
      <c r="R56">
        <f>'FL6 data'!AU57*0.068948</f>
        <v>144.17808056781533</v>
      </c>
      <c r="S56">
        <f>'FL6 data'!BB57*0.068948</f>
        <v>148.72580834306879</v>
      </c>
      <c r="T56">
        <f>'FL6 data'!BK59*0.068948</f>
        <v>83.355659094796721</v>
      </c>
      <c r="U56">
        <f t="shared" si="1"/>
        <v>83.355659094796721</v>
      </c>
    </row>
    <row r="57" spans="1:21" x14ac:dyDescent="0.35">
      <c r="A57">
        <v>1517.5694820000001</v>
      </c>
      <c r="B57">
        <v>1</v>
      </c>
      <c r="C57">
        <f>FL6_WD!U56</f>
        <v>510.82245537746167</v>
      </c>
      <c r="D57">
        <f>FL6_WD!V56</f>
        <v>508.33063852196193</v>
      </c>
      <c r="E57">
        <f>FL6_WD!W56</f>
        <v>1740.8374553774618</v>
      </c>
      <c r="F57">
        <f>FL6_WD!X56</f>
        <v>1908.5624553774617</v>
      </c>
      <c r="G57">
        <f>FL6_WD!Y56</f>
        <v>508.33063852196193</v>
      </c>
      <c r="H57">
        <v>1</v>
      </c>
      <c r="I57">
        <f>FL6_WD!Z56</f>
        <v>459.04250112017559</v>
      </c>
      <c r="J57">
        <f>FL6_WD!AA56</f>
        <v>1607.0924553774616</v>
      </c>
      <c r="K57">
        <f>'FL6 data'!E58*0.068948</f>
        <v>159.39747352027743</v>
      </c>
      <c r="L57">
        <f>'FL6 data'!K58*0.068948</f>
        <v>149.63301388382766</v>
      </c>
      <c r="M57">
        <f>'FL6 data'!Q58*0.068948</f>
        <v>158.58286854507645</v>
      </c>
      <c r="N57">
        <f>'FL6 data'!W58*0.068948</f>
        <v>149.16451102244579</v>
      </c>
      <c r="O57">
        <f>'FL6 data'!AB58*0.068948</f>
        <v>144.05417981109142</v>
      </c>
      <c r="P57">
        <f>'FL6 data'!AG58*0.068948</f>
        <v>152.61203207818517</v>
      </c>
      <c r="Q57">
        <f>'FL6 data'!AN58*0.068948</f>
        <v>130.94349973759557</v>
      </c>
      <c r="R57">
        <f>'FL6 data'!AU58*0.068948</f>
        <v>144.1403803375612</v>
      </c>
      <c r="S57">
        <f>'FL6 data'!BB58*0.068948</f>
        <v>148.67550803585902</v>
      </c>
      <c r="T57">
        <f>'FL6 data'!BK60*0.068948</f>
        <v>83.317058859045744</v>
      </c>
      <c r="U57">
        <f t="shared" si="1"/>
        <v>83.317058859045744</v>
      </c>
    </row>
    <row r="58" spans="1:21" x14ac:dyDescent="0.35">
      <c r="A58">
        <v>1540.280892</v>
      </c>
      <c r="B58">
        <v>1</v>
      </c>
      <c r="C58">
        <f>FL6_WD!U57</f>
        <v>518.46724420518285</v>
      </c>
      <c r="D58">
        <f>FL6_WD!V57</f>
        <v>515.93813569686483</v>
      </c>
      <c r="E58">
        <f>FL6_WD!W57</f>
        <v>1748.482244205183</v>
      </c>
      <c r="F58">
        <f>FL6_WD!X57</f>
        <v>1916.2072442051829</v>
      </c>
      <c r="G58">
        <f>FL6_WD!Y57</f>
        <v>515.93813569686483</v>
      </c>
      <c r="H58">
        <v>1</v>
      </c>
      <c r="I58">
        <f>FL6_WD!Z57</f>
        <v>465.91236940233551</v>
      </c>
      <c r="J58">
        <f>FL6_WD!AA57</f>
        <v>1614.7372442051828</v>
      </c>
      <c r="K58">
        <f>'FL6 data'!E59*0.068948</f>
        <v>159.33237312267676</v>
      </c>
      <c r="L58">
        <f>'FL6 data'!K59*0.068948</f>
        <v>149.59251363647235</v>
      </c>
      <c r="M58">
        <f>'FL6 data'!Q59*0.068948</f>
        <v>158.54086828856026</v>
      </c>
      <c r="N58">
        <f>'FL6 data'!W59*0.068948</f>
        <v>149.13211082456152</v>
      </c>
      <c r="O58">
        <f>'FL6 data'!AB59*0.068948</f>
        <v>144.02097960832128</v>
      </c>
      <c r="P58">
        <f>'FL6 data'!AG59*0.068948</f>
        <v>152.56773180762099</v>
      </c>
      <c r="Q58">
        <f>'FL6 data'!AN59*0.068948</f>
        <v>130.91079953787906</v>
      </c>
      <c r="R58">
        <f>'FL6 data'!AU59*0.068948</f>
        <v>144.10708013417971</v>
      </c>
      <c r="S58">
        <f>'FL6 data'!BB59*0.068948</f>
        <v>148.63110776468488</v>
      </c>
      <c r="T58">
        <f>'FL6 data'!BK61*0.068948</f>
        <v>83.282838650045761</v>
      </c>
      <c r="U58">
        <f t="shared" si="1"/>
        <v>83.282838650045761</v>
      </c>
    </row>
    <row r="59" spans="1:21" x14ac:dyDescent="0.35">
      <c r="A59">
        <v>1562.9915400000002</v>
      </c>
      <c r="B59">
        <v>1</v>
      </c>
      <c r="C59">
        <f>FL6_WD!U58</f>
        <v>526.11177653940206</v>
      </c>
      <c r="D59">
        <f>FL6_WD!V58</f>
        <v>523.5453776294537</v>
      </c>
      <c r="E59">
        <f>FL6_WD!W58</f>
        <v>1756.1267765394023</v>
      </c>
      <c r="F59">
        <f>FL6_WD!X58</f>
        <v>1923.8517765394022</v>
      </c>
      <c r="G59">
        <f>FL6_WD!Y58</f>
        <v>523.5453776294537</v>
      </c>
      <c r="H59">
        <v>1</v>
      </c>
      <c r="I59">
        <f>FL6_WD!Z58</f>
        <v>472.78200719067638</v>
      </c>
      <c r="J59">
        <f>FL6_WD!AA58</f>
        <v>1622.3817765394019</v>
      </c>
      <c r="K59">
        <f>'FL6 data'!E60*0.068948</f>
        <v>159.2714727507275</v>
      </c>
      <c r="L59">
        <f>'FL6 data'!K60*0.068948</f>
        <v>149.55671341782227</v>
      </c>
      <c r="M59">
        <f>'FL6 data'!Q60*0.068948</f>
        <v>158.50436806563508</v>
      </c>
      <c r="N59">
        <f>'FL6 data'!W60*0.068948</f>
        <v>149.10391065232892</v>
      </c>
      <c r="O59">
        <f>'FL6 data'!AB60*0.068948</f>
        <v>143.9921794324238</v>
      </c>
      <c r="P59">
        <f>'FL6 data'!AG60*0.068948</f>
        <v>152.52913157187047</v>
      </c>
      <c r="Q59">
        <f>'FL6 data'!AN60*0.068948</f>
        <v>130.8824993650357</v>
      </c>
      <c r="R59">
        <f>'FL6 data'!AU60*0.068948</f>
        <v>144.07807995706168</v>
      </c>
      <c r="S59">
        <f>'FL6 data'!BB60*0.068948</f>
        <v>148.59240752832304</v>
      </c>
      <c r="T59">
        <f>'FL6 data'!BK62*0.068948</f>
        <v>83.253018467918963</v>
      </c>
      <c r="U59">
        <f t="shared" si="1"/>
        <v>83.253018467918963</v>
      </c>
    </row>
    <row r="60" spans="1:21" x14ac:dyDescent="0.35">
      <c r="A60">
        <v>1585.7044740000031</v>
      </c>
      <c r="B60">
        <v>1</v>
      </c>
      <c r="C60">
        <f>FL6_WD!U59</f>
        <v>533.75707835412823</v>
      </c>
      <c r="D60">
        <f>FL6_WD!V59</f>
        <v>531.1533852889861</v>
      </c>
      <c r="E60">
        <f>FL6_WD!W59</f>
        <v>1763.7720783541283</v>
      </c>
      <c r="F60">
        <f>FL6_WD!X59</f>
        <v>1931.4970783541282</v>
      </c>
      <c r="G60">
        <f>FL6_WD!Y59</f>
        <v>531.1533852889861</v>
      </c>
      <c r="H60">
        <v>1</v>
      </c>
      <c r="I60">
        <f>FL6_WD!Z59</f>
        <v>479.65233646047568</v>
      </c>
      <c r="J60">
        <f>FL6_WD!AA59</f>
        <v>1630.0270783541282</v>
      </c>
      <c r="K60">
        <f>'FL6 data'!E61*0.068948</f>
        <v>159.20107232075705</v>
      </c>
      <c r="L60">
        <f>'FL6 data'!K61*0.068948</f>
        <v>149.51011313321146</v>
      </c>
      <c r="M60">
        <f>'FL6 data'!Q61*0.068948</f>
        <v>158.45546776697623</v>
      </c>
      <c r="N60">
        <f>'FL6 data'!W61*0.068948</f>
        <v>149.06611042146397</v>
      </c>
      <c r="O60">
        <f>'FL6 data'!AB61*0.068948</f>
        <v>143.95347919606198</v>
      </c>
      <c r="P60">
        <f>'FL6 data'!AG61*0.068948</f>
        <v>152.47733125549979</v>
      </c>
      <c r="Q60">
        <f>'FL6 data'!AN61*0.068948</f>
        <v>130.84439913233848</v>
      </c>
      <c r="R60">
        <f>'FL6 data'!AU61*0.068948</f>
        <v>144.03927972008918</v>
      </c>
      <c r="S60">
        <f>'FL6 data'!BB61*0.068948</f>
        <v>148.54060721195239</v>
      </c>
      <c r="T60">
        <f>'FL6 data'!BK63*0.068948</f>
        <v>83.213188224655696</v>
      </c>
      <c r="U60">
        <f t="shared" si="1"/>
        <v>83.213188224655696</v>
      </c>
    </row>
    <row r="61" spans="1:21" x14ac:dyDescent="0.35">
      <c r="A61">
        <v>1608.4196940000061</v>
      </c>
      <c r="B61">
        <v>1</v>
      </c>
      <c r="C61">
        <f>FL6_WD!U60</f>
        <v>541.40314964936056</v>
      </c>
      <c r="D61">
        <f>FL6_WD!V60</f>
        <v>538.76215867546114</v>
      </c>
      <c r="E61">
        <f>FL6_WD!W60</f>
        <v>1771.4181496493607</v>
      </c>
      <c r="F61">
        <f>FL6_WD!X60</f>
        <v>1939.1431496493606</v>
      </c>
      <c r="G61">
        <f>FL6_WD!Y60</f>
        <v>538.76215867546114</v>
      </c>
      <c r="H61">
        <v>1</v>
      </c>
      <c r="I61">
        <f>FL6_WD!Z60</f>
        <v>486.52335721173273</v>
      </c>
      <c r="J61">
        <f>FL6_WD!AA60</f>
        <v>1637.6731496493605</v>
      </c>
      <c r="K61">
        <f>'FL6 data'!E62*0.068948</f>
        <v>159.12107183215414</v>
      </c>
      <c r="L61">
        <f>'FL6 data'!K62*0.068948</f>
        <v>149.4528127832491</v>
      </c>
      <c r="M61">
        <f>'FL6 data'!Q62*0.068948</f>
        <v>158.39406739197312</v>
      </c>
      <c r="N61">
        <f>'FL6 data'!W62*0.068948</f>
        <v>149.01861013135587</v>
      </c>
      <c r="O61">
        <f>'FL6 data'!AB62*0.068948</f>
        <v>143.90487889923571</v>
      </c>
      <c r="P61">
        <f>'FL6 data'!AG62*0.068948</f>
        <v>152.41233085850976</v>
      </c>
      <c r="Q61">
        <f>'FL6 data'!AN62*0.068948</f>
        <v>130.79659884039816</v>
      </c>
      <c r="R61">
        <f>'FL6 data'!AU62*0.068948</f>
        <v>143.99047942204098</v>
      </c>
      <c r="S61">
        <f>'FL6 data'!BB62*0.068948</f>
        <v>148.47550681435172</v>
      </c>
      <c r="T61">
        <f>'FL6 data'!BK64*0.068948</f>
        <v>83.163367920378121</v>
      </c>
      <c r="U61">
        <f t="shared" si="1"/>
        <v>83.163367920378121</v>
      </c>
    </row>
    <row r="62" spans="1:21" x14ac:dyDescent="0.35">
      <c r="A62">
        <v>1631.1364380000064</v>
      </c>
      <c r="B62">
        <v>1</v>
      </c>
      <c r="C62">
        <f>FL6_WD!U61</f>
        <v>549.04973393159594</v>
      </c>
      <c r="D62">
        <f>FL6_WD!V61</f>
        <v>546.3714425465638</v>
      </c>
      <c r="E62">
        <f>FL6_WD!W61</f>
        <v>1779.064733931596</v>
      </c>
      <c r="F62">
        <f>FL6_WD!X61</f>
        <v>1946.7897339315959</v>
      </c>
      <c r="G62">
        <f>FL6_WD!Y61</f>
        <v>546.3714425465638</v>
      </c>
      <c r="H62">
        <v>1</v>
      </c>
      <c r="I62">
        <f>FL6_WD!Z61</f>
        <v>493.39483895062739</v>
      </c>
      <c r="J62">
        <f>FL6_WD!AA61</f>
        <v>1645.3197339315959</v>
      </c>
      <c r="K62">
        <f>'FL6 data'!E63*0.068948</f>
        <v>159.03757132217422</v>
      </c>
      <c r="L62">
        <f>'FL6 data'!K63*0.068948</f>
        <v>149.39161240946791</v>
      </c>
      <c r="M62">
        <f>'FL6 data'!Q63*0.068948</f>
        <v>158.32836699070796</v>
      </c>
      <c r="N62">
        <f>'FL6 data'!W63*0.068948</f>
        <v>148.96770982048218</v>
      </c>
      <c r="O62">
        <f>'FL6 data'!AB63*0.068948</f>
        <v>143.85287858164381</v>
      </c>
      <c r="P62">
        <f>'FL6 data'!AG63*0.068948</f>
        <v>152.34263043281445</v>
      </c>
      <c r="Q62">
        <f>'FL6 data'!AN63*0.068948</f>
        <v>130.74539852769217</v>
      </c>
      <c r="R62">
        <f>'FL6 data'!AU63*0.068948</f>
        <v>143.93807910200584</v>
      </c>
      <c r="S62">
        <f>'FL6 data'!BB63*0.068948</f>
        <v>148.40570638804576</v>
      </c>
      <c r="T62">
        <f>'FL6 data'!BK65*0.068948</f>
        <v>83.109937594052326</v>
      </c>
      <c r="U62">
        <f t="shared" si="1"/>
        <v>83.109937594052326</v>
      </c>
    </row>
    <row r="63" spans="1:21" x14ac:dyDescent="0.35">
      <c r="A63">
        <v>1653.8547060000033</v>
      </c>
      <c r="B63">
        <v>1</v>
      </c>
      <c r="C63">
        <f>FL6_WD!U62</f>
        <v>556.69683120083437</v>
      </c>
      <c r="D63">
        <f>FL6_WD!V62</f>
        <v>553.98123690229363</v>
      </c>
      <c r="E63">
        <f>FL6_WD!W62</f>
        <v>1786.7118312008345</v>
      </c>
      <c r="F63">
        <f>FL6_WD!X62</f>
        <v>1954.4368312008344</v>
      </c>
      <c r="G63">
        <f>FL6_WD!Y62</f>
        <v>553.98123690229363</v>
      </c>
      <c r="H63">
        <v>1</v>
      </c>
      <c r="I63">
        <f>FL6_WD!Z62</f>
        <v>500.26678167715943</v>
      </c>
      <c r="J63">
        <f>FL6_WD!AA62</f>
        <v>1652.9668312008343</v>
      </c>
      <c r="K63">
        <f>'FL6 data'!E64*0.068948</f>
        <v>158.95077079203995</v>
      </c>
      <c r="L63">
        <f>'FL6 data'!K64*0.068948</f>
        <v>149.32651201186727</v>
      </c>
      <c r="M63">
        <f>'FL6 data'!Q64*0.068948</f>
        <v>158.25806656134816</v>
      </c>
      <c r="N63">
        <f>'FL6 data'!W64*0.068948</f>
        <v>148.91330948823207</v>
      </c>
      <c r="O63">
        <f>'FL6 data'!AB64*0.068948</f>
        <v>143.79717824145365</v>
      </c>
      <c r="P63">
        <f>'FL6 data'!AG64*0.068948</f>
        <v>152.26822997841316</v>
      </c>
      <c r="Q63">
        <f>'FL6 data'!AN64*0.068948</f>
        <v>130.69059819299906</v>
      </c>
      <c r="R63">
        <f>'FL6 data'!AU64*0.068948</f>
        <v>143.88217876059443</v>
      </c>
      <c r="S63">
        <f>'FL6 data'!BB64*0.068948</f>
        <v>148.33110593242324</v>
      </c>
      <c r="T63">
        <f>'FL6 data'!BK66*0.068948</f>
        <v>83.052907245739419</v>
      </c>
      <c r="U63">
        <f t="shared" si="1"/>
        <v>83.052907245739419</v>
      </c>
    </row>
    <row r="64" spans="1:21" x14ac:dyDescent="0.35">
      <c r="A64">
        <v>1676.576784000003</v>
      </c>
      <c r="B64">
        <v>1</v>
      </c>
      <c r="C64">
        <f>FL6_WD!U63</f>
        <v>564.34521093758372</v>
      </c>
      <c r="D64">
        <f>FL6_WD!V63</f>
        <v>561.59230746959543</v>
      </c>
      <c r="E64">
        <f>FL6_WD!W63</f>
        <v>1794.3602109375838</v>
      </c>
      <c r="F64">
        <f>FL6_WD!X63</f>
        <v>1962.0852109375837</v>
      </c>
      <c r="G64">
        <f>FL6_WD!Y63</f>
        <v>561.59230746959543</v>
      </c>
      <c r="H64">
        <v>1</v>
      </c>
      <c r="I64">
        <f>FL6_WD!Z63</f>
        <v>507.13987687278865</v>
      </c>
      <c r="J64">
        <f>FL6_WD!AA63</f>
        <v>1660.6152109375837</v>
      </c>
      <c r="K64">
        <f>'FL6 data'!E65*0.068948</f>
        <v>158.85537020938096</v>
      </c>
      <c r="L64">
        <f>'FL6 data'!K65*0.068948</f>
        <v>149.25171155502346</v>
      </c>
      <c r="M64">
        <f>'FL6 data'!Q65*0.068948</f>
        <v>158.17686606541625</v>
      </c>
      <c r="N64">
        <f>'FL6 data'!W65*0.068948</f>
        <v>148.85040910406789</v>
      </c>
      <c r="O64">
        <f>'FL6 data'!AB65*0.068948</f>
        <v>143.73277784812811</v>
      </c>
      <c r="P64">
        <f>'FL6 data'!AG65*0.068948</f>
        <v>152.18202945194341</v>
      </c>
      <c r="Q64">
        <f>'FL6 data'!AN65*0.068948</f>
        <v>130.62719780578112</v>
      </c>
      <c r="R64">
        <f>'FL6 data'!AU65*0.068948</f>
        <v>143.81747836543698</v>
      </c>
      <c r="S64">
        <f>'FL6 data'!BB65*0.068948</f>
        <v>148.24480540534285</v>
      </c>
      <c r="T64">
        <f>'FL6 data'!BK67*0.068948</f>
        <v>82.986976843069399</v>
      </c>
      <c r="U64">
        <f t="shared" si="1"/>
        <v>82.986976843069399</v>
      </c>
    </row>
    <row r="65" spans="1:21" x14ac:dyDescent="0.35">
      <c r="A65">
        <v>1699.3026720000032</v>
      </c>
      <c r="B65">
        <v>1</v>
      </c>
      <c r="C65">
        <f>FL6_WD!U64</f>
        <v>571.99487314184341</v>
      </c>
      <c r="D65">
        <f>FL6_WD!V64</f>
        <v>569.20465424846861</v>
      </c>
      <c r="E65">
        <f>FL6_WD!W64</f>
        <v>1802.0098731418434</v>
      </c>
      <c r="F65">
        <f>FL6_WD!X64</f>
        <v>1969.7348731418433</v>
      </c>
      <c r="G65">
        <f>FL6_WD!Y64</f>
        <v>569.20465424846861</v>
      </c>
      <c r="H65">
        <v>1</v>
      </c>
      <c r="I65">
        <f>FL6_WD!Z64</f>
        <v>514.01412453751402</v>
      </c>
      <c r="J65">
        <f>FL6_WD!AA64</f>
        <v>1668.2648731418435</v>
      </c>
      <c r="K65">
        <f>'FL6 data'!E66*0.068948</f>
        <v>158.75146957480777</v>
      </c>
      <c r="L65">
        <f>'FL6 data'!K66*0.068948</f>
        <v>149.16731103954714</v>
      </c>
      <c r="M65">
        <f>'FL6 data'!Q66*0.068948</f>
        <v>158.08456550169029</v>
      </c>
      <c r="N65">
        <f>'FL6 data'!W66*0.068948</f>
        <v>148.77890866737889</v>
      </c>
      <c r="O65">
        <f>'FL6 data'!AB66*0.068948</f>
        <v>143.65957740105648</v>
      </c>
      <c r="P65">
        <f>'FL6 data'!AG66*0.068948</f>
        <v>152.0840288534045</v>
      </c>
      <c r="Q65">
        <f>'FL6 data'!AN66*0.068948</f>
        <v>130.55519736603833</v>
      </c>
      <c r="R65">
        <f>'FL6 data'!AU66*0.068948</f>
        <v>143.74387791592216</v>
      </c>
      <c r="S65">
        <f>'FL6 data'!BB66*0.068948</f>
        <v>148.14670480619327</v>
      </c>
      <c r="T65">
        <f>'FL6 data'!BK68*0.068948</f>
        <v>82.912136385981199</v>
      </c>
      <c r="U65">
        <f t="shared" si="1"/>
        <v>82.912136385981199</v>
      </c>
    </row>
    <row r="66" spans="1:21" x14ac:dyDescent="0.35">
      <c r="A66">
        <v>1722.0293220000033</v>
      </c>
      <c r="B66">
        <v>1</v>
      </c>
      <c r="C66">
        <f>FL6_WD!U65</f>
        <v>579.64479183960498</v>
      </c>
      <c r="D66">
        <f>FL6_WD!V65</f>
        <v>576.81725626965567</v>
      </c>
      <c r="E66">
        <f>FL6_WD!W65</f>
        <v>1809.6597918396051</v>
      </c>
      <c r="F66">
        <f>FL6_WD!X65</f>
        <v>1977.384791839605</v>
      </c>
      <c r="G66">
        <f>FL6_WD!Y65</f>
        <v>576.81725626965567</v>
      </c>
      <c r="H66">
        <v>1</v>
      </c>
      <c r="I66">
        <f>FL6_WD!Z65</f>
        <v>520.88860269605868</v>
      </c>
      <c r="J66">
        <f>FL6_WD!AA65</f>
        <v>1675.914791839605</v>
      </c>
      <c r="K66">
        <f>'FL6 data'!E67*0.068948</f>
        <v>158.64706893718073</v>
      </c>
      <c r="L66">
        <f>'FL6 data'!K67*0.068948</f>
        <v>149.08231052040637</v>
      </c>
      <c r="M66">
        <f>'FL6 data'!Q67*0.068948</f>
        <v>157.99146493307859</v>
      </c>
      <c r="N66">
        <f>'FL6 data'!W67*0.068948</f>
        <v>148.70670822641461</v>
      </c>
      <c r="O66">
        <f>'FL6 data'!AB67*0.068948</f>
        <v>143.58587695093101</v>
      </c>
      <c r="P66">
        <f>'FL6 data'!AG67*0.068948</f>
        <v>151.98532825059044</v>
      </c>
      <c r="Q66">
        <f>'FL6 data'!AN67*0.068948</f>
        <v>130.48259692263102</v>
      </c>
      <c r="R66">
        <f>'FL6 data'!AU67*0.068948</f>
        <v>143.66977746335348</v>
      </c>
      <c r="S66">
        <f>'FL6 data'!BB67*0.068948</f>
        <v>148.04790420276791</v>
      </c>
      <c r="T66">
        <f>'FL6 data'!BK69*0.068948</f>
        <v>82.836695925228497</v>
      </c>
      <c r="U66">
        <f t="shared" si="1"/>
        <v>82.836695925228497</v>
      </c>
    </row>
    <row r="67" spans="1:21" x14ac:dyDescent="0.35">
      <c r="A67">
        <v>1744.7567340000001</v>
      </c>
      <c r="B67">
        <v>1</v>
      </c>
      <c r="C67">
        <f>FL6_WD!U66</f>
        <v>587.29496703086761</v>
      </c>
      <c r="D67">
        <f>FL6_WD!V66</f>
        <v>584.43011353315603</v>
      </c>
      <c r="E67">
        <f>FL6_WD!W66</f>
        <v>1817.3099670308677</v>
      </c>
      <c r="F67">
        <f>FL6_WD!X66</f>
        <v>1985.0349670308676</v>
      </c>
      <c r="G67">
        <f>FL6_WD!Y66</f>
        <v>584.43011353315603</v>
      </c>
      <c r="H67">
        <v>1</v>
      </c>
      <c r="I67">
        <f>FL6_WD!Z66</f>
        <v>527.76331134842167</v>
      </c>
      <c r="J67">
        <f>FL6_WD!AA66</f>
        <v>1683.5649670308676</v>
      </c>
      <c r="K67">
        <f>'FL6 data'!E68*0.068948</f>
        <v>158.54206829588924</v>
      </c>
      <c r="L67">
        <f>'FL6 data'!K68*0.068948</f>
        <v>148.99650999637916</v>
      </c>
      <c r="M67">
        <f>'FL6 data'!Q68*0.068948</f>
        <v>157.89776436080172</v>
      </c>
      <c r="N67">
        <f>'FL6 data'!W68*0.068948</f>
        <v>148.63400778239654</v>
      </c>
      <c r="O67">
        <f>'FL6 data'!AB68*0.068948</f>
        <v>143.51147649652975</v>
      </c>
      <c r="P67">
        <f>'FL6 data'!AG68*0.068948</f>
        <v>151.88572764227999</v>
      </c>
      <c r="Q67">
        <f>'FL6 data'!AN68*0.068948</f>
        <v>130.40939647555919</v>
      </c>
      <c r="R67">
        <f>'FL6 data'!AU68*0.068948</f>
        <v>143.59497700650965</v>
      </c>
      <c r="S67">
        <f>'FL6 data'!BB68*0.068948</f>
        <v>147.94820359384681</v>
      </c>
      <c r="T67">
        <f>'FL6 data'!BK70*0.068948</f>
        <v>82.760635460689102</v>
      </c>
      <c r="U67">
        <f t="shared" si="1"/>
        <v>82.760635460689102</v>
      </c>
    </row>
    <row r="68" spans="1:21" x14ac:dyDescent="0.35">
      <c r="A68">
        <v>1767.4780500000002</v>
      </c>
      <c r="B68">
        <v>1</v>
      </c>
      <c r="C68">
        <f>FL6_WD!U67</f>
        <v>594.94309027411509</v>
      </c>
      <c r="D68">
        <f>FL6_WD!V67</f>
        <v>592.04092885814373</v>
      </c>
      <c r="E68">
        <f>FL6_WD!W67</f>
        <v>1824.9580902741152</v>
      </c>
      <c r="F68">
        <f>FL6_WD!X67</f>
        <v>1992.6830902741151</v>
      </c>
      <c r="G68">
        <f>FL6_WD!Y67</f>
        <v>592.04092885814373</v>
      </c>
      <c r="H68">
        <v>1</v>
      </c>
      <c r="I68">
        <f>FL6_WD!Z67</f>
        <v>534.6361760502316</v>
      </c>
      <c r="J68">
        <f>FL6_WD!AA67</f>
        <v>1691.2130902741151</v>
      </c>
      <c r="K68">
        <f>'FL6 data'!E69*0.068948</f>
        <v>158.44956773094199</v>
      </c>
      <c r="L68">
        <f>'FL6 data'!K69*0.068948</f>
        <v>148.92500955969035</v>
      </c>
      <c r="M68">
        <f>'FL6 data'!Q69*0.068948</f>
        <v>157.82016388685673</v>
      </c>
      <c r="N68">
        <f>'FL6 data'!W69*0.068948</f>
        <v>148.57400741594421</v>
      </c>
      <c r="O68">
        <f>'FL6 data'!AB69*0.068948</f>
        <v>143.4500761215273</v>
      </c>
      <c r="P68">
        <f>'FL6 data'!AG69*0.068948</f>
        <v>151.80362714085101</v>
      </c>
      <c r="Q68">
        <f>'FL6 data'!AN69*0.068948</f>
        <v>130.34899610666386</v>
      </c>
      <c r="R68">
        <f>'FL6 data'!AU69*0.068948</f>
        <v>143.53327662967465</v>
      </c>
      <c r="S68">
        <f>'FL6 data'!BB69*0.068948</f>
        <v>147.86590309119589</v>
      </c>
      <c r="T68">
        <f>'FL6 data'!BK71*0.068948</f>
        <v>82.697745076586003</v>
      </c>
      <c r="U68">
        <f t="shared" si="1"/>
        <v>82.697745076586003</v>
      </c>
    </row>
    <row r="69" spans="1:21" x14ac:dyDescent="0.35">
      <c r="A69">
        <v>1790.1932700000029</v>
      </c>
      <c r="B69">
        <v>1</v>
      </c>
      <c r="C69">
        <f>FL6_WD!U68</f>
        <v>602.5891615693472</v>
      </c>
      <c r="D69">
        <f>FL6_WD!V68</f>
        <v>599.64970224461877</v>
      </c>
      <c r="E69">
        <f>FL6_WD!W68</f>
        <v>1832.6041615693473</v>
      </c>
      <c r="F69">
        <f>FL6_WD!X68</f>
        <v>2000.3291615693472</v>
      </c>
      <c r="G69">
        <f>FL6_WD!Y68</f>
        <v>599.64970224461877</v>
      </c>
      <c r="H69">
        <v>1</v>
      </c>
      <c r="I69">
        <f>FL6_WD!Z68</f>
        <v>541.50719680148859</v>
      </c>
      <c r="J69">
        <f>FL6_WD!AA68</f>
        <v>1698.8591615693472</v>
      </c>
      <c r="K69">
        <f>'FL6 data'!E70*0.068948</f>
        <v>158.36966724294973</v>
      </c>
      <c r="L69">
        <f>'FL6 data'!K70*0.068948</f>
        <v>148.86780921033935</v>
      </c>
      <c r="M69">
        <f>'FL6 data'!Q70*0.068948</f>
        <v>157.75896351307554</v>
      </c>
      <c r="N69">
        <f>'FL6 data'!W70*0.068948</f>
        <v>148.52670712705765</v>
      </c>
      <c r="O69">
        <f>'FL6 data'!AB70*0.068948</f>
        <v>143.40157582531171</v>
      </c>
      <c r="P69">
        <f>'FL6 data'!AG70*0.068948</f>
        <v>151.73882674508224</v>
      </c>
      <c r="Q69">
        <f>'FL6 data'!AN70*0.068948</f>
        <v>130.30139581594503</v>
      </c>
      <c r="R69">
        <f>'FL6 data'!AU70*0.068948</f>
        <v>143.48457633223708</v>
      </c>
      <c r="S69">
        <f>'FL6 data'!BB70*0.068948</f>
        <v>147.80100269481719</v>
      </c>
      <c r="T69">
        <f>'FL6 data'!BK72*0.068948</f>
        <v>82.648024772919186</v>
      </c>
      <c r="U69">
        <f t="shared" ref="U69:U132" si="2">T69</f>
        <v>82.648024772919186</v>
      </c>
    </row>
    <row r="70" spans="1:21" x14ac:dyDescent="0.35">
      <c r="A70">
        <v>1812.9062040000031</v>
      </c>
      <c r="B70">
        <v>1</v>
      </c>
      <c r="C70">
        <f>FL6_WD!U69</f>
        <v>610.23446338407257</v>
      </c>
      <c r="D70">
        <f>FL6_WD!V69</f>
        <v>607.25770990415026</v>
      </c>
      <c r="E70">
        <f>FL6_WD!W69</f>
        <v>1840.2494633840727</v>
      </c>
      <c r="F70">
        <f>FL6_WD!X69</f>
        <v>2007.9744633840726</v>
      </c>
      <c r="G70">
        <f>FL6_WD!Y69</f>
        <v>607.25770990415026</v>
      </c>
      <c r="H70">
        <v>1</v>
      </c>
      <c r="I70">
        <f>FL6_WD!Z69</f>
        <v>548.37752607128698</v>
      </c>
      <c r="J70">
        <f>FL6_WD!AA69</f>
        <v>1706.5044633840726</v>
      </c>
      <c r="K70">
        <f>'FL6 data'!E71*0.068948</f>
        <v>158.29796680503898</v>
      </c>
      <c r="L70">
        <f>'FL6 data'!K71*0.068948</f>
        <v>148.81980891717691</v>
      </c>
      <c r="M70">
        <f>'FL6 data'!Q71*0.068948</f>
        <v>157.70846320464523</v>
      </c>
      <c r="N70">
        <f>'FL6 data'!W71*0.068948</f>
        <v>148.48760688825288</v>
      </c>
      <c r="O70">
        <f>'FL6 data'!AB71*0.068948</f>
        <v>143.36167558162086</v>
      </c>
      <c r="P70">
        <f>'FL6 data'!AG71*0.068948</f>
        <v>151.68522641771813</v>
      </c>
      <c r="Q70">
        <f>'FL6 data'!AN71*0.068948</f>
        <v>130.26199557530799</v>
      </c>
      <c r="R70">
        <f>'FL6 data'!AU71*0.068948</f>
        <v>143.44437608671433</v>
      </c>
      <c r="S70">
        <f>'FL6 data'!BB71*0.068948</f>
        <v>147.74740236745308</v>
      </c>
      <c r="T70">
        <f>'FL6 data'!BK73*0.068948</f>
        <v>82.606914521838277</v>
      </c>
      <c r="U70">
        <f t="shared" si="2"/>
        <v>82.606914521838277</v>
      </c>
    </row>
    <row r="71" spans="1:21" x14ac:dyDescent="0.35">
      <c r="A71">
        <v>1835.6168520000031</v>
      </c>
      <c r="B71">
        <v>1</v>
      </c>
      <c r="C71">
        <f>FL6_WD!U70</f>
        <v>617.87899571829166</v>
      </c>
      <c r="D71">
        <f>FL6_WD!V70</f>
        <v>614.86495183673912</v>
      </c>
      <c r="E71">
        <f>FL6_WD!W70</f>
        <v>1847.8939957182918</v>
      </c>
      <c r="F71">
        <f>FL6_WD!X70</f>
        <v>2015.6189957182917</v>
      </c>
      <c r="G71">
        <f>FL6_WD!Y70</f>
        <v>614.86495183673912</v>
      </c>
      <c r="H71">
        <v>1</v>
      </c>
      <c r="I71">
        <f>FL6_WD!Z70</f>
        <v>555.24716385962779</v>
      </c>
      <c r="J71">
        <f>FL6_WD!AA70</f>
        <v>1714.1489957182916</v>
      </c>
      <c r="K71">
        <f>'FL6 data'!E72*0.068948</f>
        <v>158.23446641721051</v>
      </c>
      <c r="L71">
        <f>'FL6 data'!K72*0.068948</f>
        <v>148.78110868081572</v>
      </c>
      <c r="M71">
        <f>'FL6 data'!Q72*0.068948</f>
        <v>157.66856296095438</v>
      </c>
      <c r="N71">
        <f>'FL6 data'!W72*0.068948</f>
        <v>148.4568067001407</v>
      </c>
      <c r="O71">
        <f>'FL6 data'!AB72*0.068948</f>
        <v>143.33017538923357</v>
      </c>
      <c r="P71">
        <f>'FL6 data'!AG72*0.068948</f>
        <v>151.64602617830312</v>
      </c>
      <c r="Q71">
        <f>'FL6 data'!AN72*0.068948</f>
        <v>130.23109538658505</v>
      </c>
      <c r="R71">
        <f>'FL6 data'!AU72*0.068948</f>
        <v>143.41277589371569</v>
      </c>
      <c r="S71">
        <f>'FL6 data'!BB72*0.068948</f>
        <v>147.70990213842018</v>
      </c>
      <c r="T71">
        <f>'FL6 data'!BK74*0.068948</f>
        <v>82.574394323221114</v>
      </c>
      <c r="U71">
        <f t="shared" si="2"/>
        <v>82.574394323221114</v>
      </c>
    </row>
    <row r="72" spans="1:21" x14ac:dyDescent="0.35">
      <c r="A72">
        <v>1858.3290240000031</v>
      </c>
      <c r="B72">
        <v>1</v>
      </c>
      <c r="C72">
        <f>FL6_WD!U71</f>
        <v>625.52404103951494</v>
      </c>
      <c r="D72">
        <f>FL6_WD!V71</f>
        <v>622.47270425395629</v>
      </c>
      <c r="E72">
        <f>FL6_WD!W71</f>
        <v>1855.539041039515</v>
      </c>
      <c r="F72">
        <f>FL6_WD!X71</f>
        <v>2023.264041039515</v>
      </c>
      <c r="G72">
        <f>FL6_WD!Y71</f>
        <v>622.47270425395629</v>
      </c>
      <c r="H72">
        <v>1</v>
      </c>
      <c r="I72">
        <f>FL6_WD!Z71</f>
        <v>562.11726263560706</v>
      </c>
      <c r="J72">
        <f>FL6_WD!AA71</f>
        <v>1721.7940410395149</v>
      </c>
      <c r="K72">
        <f>'FL6 data'!E73*0.068948</f>
        <v>158.16566599701156</v>
      </c>
      <c r="L72">
        <f>'FL6 data'!K73*0.068948</f>
        <v>148.73640840780831</v>
      </c>
      <c r="M72">
        <f>'FL6 data'!Q73*0.068948</f>
        <v>157.62166267451028</v>
      </c>
      <c r="N72">
        <f>'FL6 data'!W73*0.068948</f>
        <v>148.42070647965855</v>
      </c>
      <c r="O72">
        <f>'FL6 data'!AB73*0.068948</f>
        <v>143.29317516325452</v>
      </c>
      <c r="P72">
        <f>'FL6 data'!AG73*0.068948</f>
        <v>151.60562593155842</v>
      </c>
      <c r="Q72">
        <f>'FL6 data'!AN73*0.068948</f>
        <v>130.19469516427066</v>
      </c>
      <c r="R72">
        <f>'FL6 data'!AU73*0.068948</f>
        <v>143.3755756665154</v>
      </c>
      <c r="S72">
        <f>'FL6 data'!BB73*0.068948</f>
        <v>147.67100190083707</v>
      </c>
      <c r="T72">
        <f>'FL6 data'!BK75*0.068948</f>
        <v>82.536264090340666</v>
      </c>
      <c r="U72">
        <f t="shared" si="2"/>
        <v>82.536264090340666</v>
      </c>
    </row>
    <row r="73" spans="1:21" x14ac:dyDescent="0.35">
      <c r="A73">
        <v>1881.0427200000031</v>
      </c>
      <c r="B73">
        <v>1</v>
      </c>
      <c r="C73">
        <f>FL6_WD!U72</f>
        <v>633.16959934774218</v>
      </c>
      <c r="D73">
        <f>FL6_WD!V72</f>
        <v>630.080967155802</v>
      </c>
      <c r="E73">
        <f>FL6_WD!W72</f>
        <v>1863.1845993477423</v>
      </c>
      <c r="F73">
        <f>FL6_WD!X72</f>
        <v>2030.9095993477422</v>
      </c>
      <c r="G73">
        <f>FL6_WD!Y72</f>
        <v>630.080967155802</v>
      </c>
      <c r="H73">
        <v>1</v>
      </c>
      <c r="I73">
        <f>FL6_WD!Z72</f>
        <v>568.98782239922468</v>
      </c>
      <c r="J73">
        <f>FL6_WD!AA72</f>
        <v>1729.4395993477422</v>
      </c>
      <c r="K73">
        <f>'FL6 data'!E74*0.068948</f>
        <v>158.09146554383224</v>
      </c>
      <c r="L73">
        <f>'FL6 data'!K74*0.068948</f>
        <v>148.68550809693474</v>
      </c>
      <c r="M73">
        <f>'FL6 data'!Q74*0.068948</f>
        <v>157.56786234592491</v>
      </c>
      <c r="N73">
        <f>'FL6 data'!W74*0.068948</f>
        <v>148.37910622558496</v>
      </c>
      <c r="O73">
        <f>'FL6 data'!AB74*0.068948</f>
        <v>143.25057490307316</v>
      </c>
      <c r="P73">
        <f>'FL6 data'!AG74*0.068948</f>
        <v>151.56252566832319</v>
      </c>
      <c r="Q73">
        <f>'FL6 data'!AN74*0.068948</f>
        <v>130.1527949083648</v>
      </c>
      <c r="R73">
        <f>'FL6 data'!AU74*0.068948</f>
        <v>143.33277540511278</v>
      </c>
      <c r="S73">
        <f>'FL6 data'!BB74*0.068948</f>
        <v>147.62770163638058</v>
      </c>
      <c r="T73">
        <f>'FL6 data'!BK76*0.068948</f>
        <v>82.492523823196933</v>
      </c>
      <c r="U73">
        <f t="shared" si="2"/>
        <v>82.492523823196933</v>
      </c>
    </row>
    <row r="74" spans="1:21" x14ac:dyDescent="0.35">
      <c r="A74">
        <v>1903.7579400000031</v>
      </c>
      <c r="B74">
        <v>1</v>
      </c>
      <c r="C74">
        <f>FL6_WD!U73</f>
        <v>640.81567064297349</v>
      </c>
      <c r="D74">
        <f>FL6_WD!V73</f>
        <v>637.68974054227601</v>
      </c>
      <c r="E74">
        <f>FL6_WD!W73</f>
        <v>1870.8306706429735</v>
      </c>
      <c r="F74">
        <f>FL6_WD!X73</f>
        <v>2038.5556706429734</v>
      </c>
      <c r="G74">
        <f>FL6_WD!Y73</f>
        <v>637.68974054227601</v>
      </c>
      <c r="H74">
        <v>1</v>
      </c>
      <c r="I74">
        <f>FL6_WD!Z73</f>
        <v>575.85884315048088</v>
      </c>
      <c r="J74">
        <f>FL6_WD!AA73</f>
        <v>1737.0856706429736</v>
      </c>
      <c r="K74">
        <f>'FL6 data'!E75*0.068948</f>
        <v>158.0123650607257</v>
      </c>
      <c r="L74">
        <f>'FL6 data'!K75*0.068948</f>
        <v>148.62910775246948</v>
      </c>
      <c r="M74">
        <f>'FL6 data'!Q75*0.068948</f>
        <v>157.50766197825143</v>
      </c>
      <c r="N74">
        <f>'FL6 data'!W75*0.068948</f>
        <v>148.33250594097365</v>
      </c>
      <c r="O74">
        <f>'FL6 data'!AB75*0.068948</f>
        <v>143.20297461235461</v>
      </c>
      <c r="P74">
        <f>'FL6 data'!AG75*0.068948</f>
        <v>151.51422537332954</v>
      </c>
      <c r="Q74">
        <f>'FL6 data'!AN75*0.068948</f>
        <v>130.10589462192124</v>
      </c>
      <c r="R74">
        <f>'FL6 data'!AU75*0.068948</f>
        <v>143.28487511256165</v>
      </c>
      <c r="S74">
        <f>'FL6 data'!BB75*0.068948</f>
        <v>147.5793013407756</v>
      </c>
      <c r="T74">
        <f>'FL6 data'!BK77*0.068948</f>
        <v>82.443603524416147</v>
      </c>
      <c r="U74">
        <f t="shared" si="2"/>
        <v>82.443603524416147</v>
      </c>
    </row>
    <row r="75" spans="1:21" x14ac:dyDescent="0.35">
      <c r="A75">
        <v>1926.4746840000032</v>
      </c>
      <c r="B75">
        <v>1</v>
      </c>
      <c r="C75">
        <f>FL6_WD!U74</f>
        <v>648.46225492520887</v>
      </c>
      <c r="D75">
        <f>FL6_WD!V74</f>
        <v>645.29902441337856</v>
      </c>
      <c r="E75">
        <f>FL6_WD!W74</f>
        <v>1878.4772549252089</v>
      </c>
      <c r="F75">
        <f>FL6_WD!X74</f>
        <v>2046.2022549252088</v>
      </c>
      <c r="G75">
        <f>FL6_WD!Y74</f>
        <v>645.29902441337856</v>
      </c>
      <c r="H75">
        <v>1</v>
      </c>
      <c r="I75">
        <f>FL6_WD!Z74</f>
        <v>582.73032488937554</v>
      </c>
      <c r="J75">
        <f>FL6_WD!AA74</f>
        <v>1744.732254925209</v>
      </c>
      <c r="K75">
        <f>'FL6 data'!E76*0.068948</f>
        <v>157.92826454708199</v>
      </c>
      <c r="L75">
        <f>'FL6 data'!K76*0.068948</f>
        <v>148.56710737380186</v>
      </c>
      <c r="M75">
        <f>'FL6 data'!Q76*0.068948</f>
        <v>157.44096157087856</v>
      </c>
      <c r="N75">
        <f>'FL6 data'!W76*0.068948</f>
        <v>148.28090562582466</v>
      </c>
      <c r="O75">
        <f>'FL6 data'!AB76*0.068948</f>
        <v>143.15017428987628</v>
      </c>
      <c r="P75">
        <f>'FL6 data'!AG76*0.068948</f>
        <v>151.46062504596546</v>
      </c>
      <c r="Q75">
        <f>'FL6 data'!AN76*0.068948</f>
        <v>130.05399430493998</v>
      </c>
      <c r="R75">
        <f>'FL6 data'!AU76*0.068948</f>
        <v>143.23187478886203</v>
      </c>
      <c r="S75">
        <f>'FL6 data'!BB76*0.068948</f>
        <v>147.52560101280088</v>
      </c>
      <c r="T75">
        <f>'FL6 data'!BK78*0.068948</f>
        <v>82.389493193937227</v>
      </c>
      <c r="U75">
        <f t="shared" si="2"/>
        <v>82.389493193937227</v>
      </c>
    </row>
    <row r="76" spans="1:21" x14ac:dyDescent="0.35">
      <c r="A76">
        <v>1949.189904000003</v>
      </c>
      <c r="B76">
        <v>1</v>
      </c>
      <c r="C76">
        <f>FL6_WD!U75</f>
        <v>656.10832622044018</v>
      </c>
      <c r="D76">
        <f>FL6_WD!V75</f>
        <v>652.90779779985257</v>
      </c>
      <c r="E76">
        <f>FL6_WD!W75</f>
        <v>1886.1233262204403</v>
      </c>
      <c r="F76">
        <f>FL6_WD!X75</f>
        <v>2053.84832622044</v>
      </c>
      <c r="G76">
        <f>FL6_WD!Y75</f>
        <v>652.90779779985257</v>
      </c>
      <c r="H76">
        <v>1</v>
      </c>
      <c r="I76">
        <f>FL6_WD!Z75</f>
        <v>589.60134564063151</v>
      </c>
      <c r="J76">
        <f>FL6_WD!AA75</f>
        <v>1752.3783262204402</v>
      </c>
      <c r="K76">
        <f>'FL6 data'!E77*0.068948</f>
        <v>157.84896406275419</v>
      </c>
      <c r="L76">
        <f>'FL6 data'!K77*0.068948</f>
        <v>148.51060702872599</v>
      </c>
      <c r="M76">
        <f>'FL6 data'!Q77*0.068948</f>
        <v>157.38056120198314</v>
      </c>
      <c r="N76">
        <f>'FL6 data'!W77*0.068948</f>
        <v>148.23420534060261</v>
      </c>
      <c r="O76">
        <f>'FL6 data'!AB77*0.068948</f>
        <v>143.10237399793579</v>
      </c>
      <c r="P76">
        <f>'FL6 data'!AG77*0.068948</f>
        <v>151.41212474974984</v>
      </c>
      <c r="Q76">
        <f>'FL6 data'!AN77*0.068948</f>
        <v>130.00699401788566</v>
      </c>
      <c r="R76">
        <f>'FL6 data'!AU77*0.068948</f>
        <v>143.18387449570028</v>
      </c>
      <c r="S76">
        <f>'FL6 data'!BB77*0.068948</f>
        <v>147.47710071658526</v>
      </c>
      <c r="T76">
        <f>'FL6 data'!BK79*0.068948</f>
        <v>82.340442894362454</v>
      </c>
      <c r="U76">
        <f t="shared" si="2"/>
        <v>82.340442894362454</v>
      </c>
    </row>
    <row r="77" spans="1:21" x14ac:dyDescent="0.35">
      <c r="A77">
        <v>1971.9036000000031</v>
      </c>
      <c r="B77">
        <v>1</v>
      </c>
      <c r="C77">
        <f>FL6_WD!U76</f>
        <v>663.7538845286673</v>
      </c>
      <c r="D77">
        <f>FL6_WD!V76</f>
        <v>660.51606070169828</v>
      </c>
      <c r="E77">
        <f>FL6_WD!W76</f>
        <v>1893.7688845286675</v>
      </c>
      <c r="F77">
        <f>FL6_WD!X76</f>
        <v>2061.4938845286674</v>
      </c>
      <c r="G77">
        <f>FL6_WD!Y76</f>
        <v>660.51606070169828</v>
      </c>
      <c r="H77">
        <v>1</v>
      </c>
      <c r="I77">
        <f>FL6_WD!Z76</f>
        <v>596.47190540424924</v>
      </c>
      <c r="J77">
        <f>FL6_WD!AA76</f>
        <v>1760.0238845286672</v>
      </c>
      <c r="K77">
        <f>'FL6 data'!E78*0.068948</f>
        <v>157.77456360835291</v>
      </c>
      <c r="L77">
        <f>'FL6 data'!K78*0.068948</f>
        <v>148.45950671663115</v>
      </c>
      <c r="M77">
        <f>'FL6 data'!Q78*0.068948</f>
        <v>157.32646087156519</v>
      </c>
      <c r="N77">
        <f>'FL6 data'!W78*0.068948</f>
        <v>148.19240508530748</v>
      </c>
      <c r="O77">
        <f>'FL6 data'!AB78*0.068948</f>
        <v>143.05957373653314</v>
      </c>
      <c r="P77">
        <f>'FL6 data'!AG78*0.068948</f>
        <v>151.36872448468273</v>
      </c>
      <c r="Q77">
        <f>'FL6 data'!AN78*0.068948</f>
        <v>129.96489376075829</v>
      </c>
      <c r="R77">
        <f>'FL6 data'!AU78*0.068948</f>
        <v>143.14087423307637</v>
      </c>
      <c r="S77">
        <f>'FL6 data'!BB78*0.068948</f>
        <v>147.43360045090751</v>
      </c>
      <c r="T77">
        <f>'FL6 data'!BK80*0.068948</f>
        <v>82.296452625691842</v>
      </c>
      <c r="U77">
        <f t="shared" si="2"/>
        <v>82.296452625691842</v>
      </c>
    </row>
    <row r="78" spans="1:21" x14ac:dyDescent="0.35">
      <c r="A78">
        <v>1994.6150100000032</v>
      </c>
      <c r="B78">
        <v>1</v>
      </c>
      <c r="C78">
        <f>FL6_WD!U77</f>
        <v>671.39867335638849</v>
      </c>
      <c r="D78">
        <f>FL6_WD!V77</f>
        <v>668.12355787660124</v>
      </c>
      <c r="E78">
        <f>FL6_WD!W77</f>
        <v>1901.4136733563887</v>
      </c>
      <c r="F78">
        <f>FL6_WD!X77</f>
        <v>2069.1386733563886</v>
      </c>
      <c r="G78">
        <f>FL6_WD!Y77</f>
        <v>668.12355787660124</v>
      </c>
      <c r="H78">
        <v>1</v>
      </c>
      <c r="I78">
        <f>FL6_WD!Z77</f>
        <v>603.34177368640928</v>
      </c>
      <c r="J78">
        <f>FL6_WD!AA77</f>
        <v>1767.6686733563884</v>
      </c>
      <c r="K78">
        <f>'FL6 data'!E79*0.068948</f>
        <v>157.70926320953095</v>
      </c>
      <c r="L78">
        <f>'FL6 data'!K79*0.068948</f>
        <v>148.41860646683259</v>
      </c>
      <c r="M78">
        <f>'FL6 data'!Q79*0.068948</f>
        <v>157.28416061321641</v>
      </c>
      <c r="N78">
        <f>'FL6 data'!W79*0.068948</f>
        <v>148.15980488620173</v>
      </c>
      <c r="O78">
        <f>'FL6 data'!AB79*0.068948</f>
        <v>143.02617353254172</v>
      </c>
      <c r="P78">
        <f>'FL6 data'!AG79*0.068948</f>
        <v>151.3349242782474</v>
      </c>
      <c r="Q78">
        <f>'FL6 data'!AN79*0.068948</f>
        <v>129.93209356043101</v>
      </c>
      <c r="R78">
        <f>'FL6 data'!AU79*0.068948</f>
        <v>143.10727402786301</v>
      </c>
      <c r="S78">
        <f>'FL6 data'!BB79*0.068948</f>
        <v>147.39970024386153</v>
      </c>
      <c r="T78">
        <f>'FL6 data'!BK81*0.068948</f>
        <v>82.262032415470358</v>
      </c>
      <c r="U78">
        <f t="shared" si="2"/>
        <v>82.262032415470358</v>
      </c>
    </row>
    <row r="79" spans="1:21" x14ac:dyDescent="0.35">
      <c r="A79">
        <v>2017.3241340000031</v>
      </c>
      <c r="B79">
        <v>1</v>
      </c>
      <c r="C79">
        <f>FL6_WD!U78</f>
        <v>679.04269270360362</v>
      </c>
      <c r="D79">
        <f>FL6_WD!V78</f>
        <v>675.73028932456168</v>
      </c>
      <c r="E79">
        <f>FL6_WD!W78</f>
        <v>1909.0576927036036</v>
      </c>
      <c r="F79">
        <f>FL6_WD!X78</f>
        <v>2076.7826927036035</v>
      </c>
      <c r="G79">
        <f>FL6_WD!Y78</f>
        <v>675.73028932456168</v>
      </c>
      <c r="H79">
        <v>1</v>
      </c>
      <c r="I79">
        <f>FL6_WD!Z78</f>
        <v>610.21095048711163</v>
      </c>
      <c r="J79">
        <f>FL6_WD!AA78</f>
        <v>1775.3126927036037</v>
      </c>
      <c r="K79">
        <f>'FL6 data'!E80*0.068948</f>
        <v>157.65306286628697</v>
      </c>
      <c r="L79">
        <f>'FL6 data'!K80*0.068948</f>
        <v>148.38810628055299</v>
      </c>
      <c r="M79">
        <f>'FL6 data'!Q80*0.068948</f>
        <v>157.25386042815808</v>
      </c>
      <c r="N79">
        <f>'FL6 data'!W80*0.068948</f>
        <v>148.13640474328534</v>
      </c>
      <c r="O79">
        <f>'FL6 data'!AB80*0.068948</f>
        <v>143.00227338657149</v>
      </c>
      <c r="P79">
        <f>'FL6 data'!AG80*0.068948</f>
        <v>151.31062412983462</v>
      </c>
      <c r="Q79">
        <f>'FL6 data'!AN80*0.068948</f>
        <v>129.90849341629311</v>
      </c>
      <c r="R79">
        <f>'FL6 data'!AU80*0.068948</f>
        <v>143.08327388128211</v>
      </c>
      <c r="S79">
        <f>'FL6 data'!BB80*0.068948</f>
        <v>147.37530009483746</v>
      </c>
      <c r="T79">
        <f>'FL6 data'!BK82*0.068948</f>
        <v>82.23720226382018</v>
      </c>
      <c r="U79">
        <f t="shared" si="2"/>
        <v>82.23720226382018</v>
      </c>
    </row>
    <row r="80" spans="1:21" x14ac:dyDescent="0.35">
      <c r="A80">
        <v>2047.7286960000033</v>
      </c>
      <c r="B80">
        <v>1</v>
      </c>
      <c r="C80">
        <f>FL6_WD!U79</f>
        <v>689.27703992772399</v>
      </c>
      <c r="D80">
        <f>FL6_WD!V79</f>
        <v>685.91471290368634</v>
      </c>
      <c r="E80">
        <f>FL6_WD!W79</f>
        <v>1919.2920399277241</v>
      </c>
      <c r="F80">
        <f>FL6_WD!X79</f>
        <v>2087.017039927724</v>
      </c>
      <c r="G80">
        <f>FL6_WD!Y79</f>
        <v>685.91471290368634</v>
      </c>
      <c r="H80">
        <v>1</v>
      </c>
      <c r="I80">
        <f>FL6_WD!Z79</f>
        <v>619.40788436822106</v>
      </c>
      <c r="J80">
        <f>FL6_WD!AA79</f>
        <v>1785.547039927724</v>
      </c>
      <c r="K80">
        <f>'FL6 data'!E81*0.068948</f>
        <v>157.59606251815788</v>
      </c>
      <c r="L80">
        <f>'FL6 data'!K81*0.068948</f>
        <v>148.3672061529052</v>
      </c>
      <c r="M80">
        <f>'FL6 data'!Q81*0.068948</f>
        <v>157.2368603243298</v>
      </c>
      <c r="N80">
        <f>'FL6 data'!W81*0.068948</f>
        <v>148.12340466388733</v>
      </c>
      <c r="O80">
        <f>'FL6 data'!AB81*0.068948</f>
        <v>142.98877330411949</v>
      </c>
      <c r="P80">
        <f>'FL6 data'!AG81*0.068948</f>
        <v>151.29682404555001</v>
      </c>
      <c r="Q80">
        <f>'FL6 data'!AN81*0.068948</f>
        <v>129.89539333628434</v>
      </c>
      <c r="R80">
        <f>'FL6 data'!AU81*0.068948</f>
        <v>143.0696737982195</v>
      </c>
      <c r="S80">
        <f>'FL6 data'!BB81*0.068948</f>
        <v>147.36150001055356</v>
      </c>
      <c r="T80">
        <f>'FL6 data'!BK83*0.068948</f>
        <v>82.223592180696571</v>
      </c>
      <c r="U80">
        <f t="shared" si="2"/>
        <v>82.223592180696571</v>
      </c>
    </row>
    <row r="81" spans="1:21" x14ac:dyDescent="0.35">
      <c r="A81">
        <v>2085.8286960000032</v>
      </c>
      <c r="B81">
        <v>1</v>
      </c>
      <c r="C81">
        <f>FL6_WD!U80</f>
        <v>702.10171502874925</v>
      </c>
      <c r="D81">
        <f>FL6_WD!V80</f>
        <v>698.67682861397486</v>
      </c>
      <c r="E81">
        <f>FL6_WD!W80</f>
        <v>1932.1167150287492</v>
      </c>
      <c r="F81">
        <f>FL6_WD!X80</f>
        <v>2099.8417150287491</v>
      </c>
      <c r="G81">
        <f>FL6_WD!Y80</f>
        <v>698.67682861397486</v>
      </c>
      <c r="H81">
        <v>1</v>
      </c>
      <c r="I81">
        <f>FL6_WD!Z80</f>
        <v>630.93257532973746</v>
      </c>
      <c r="J81">
        <f>FL6_WD!AA80</f>
        <v>1798.3717150287493</v>
      </c>
      <c r="K81">
        <f>'FL6 data'!E82*0.068948</f>
        <v>157.53806216392042</v>
      </c>
      <c r="L81">
        <f>'FL6 data'!K82*0.068948</f>
        <v>148.35590608388983</v>
      </c>
      <c r="M81">
        <f>'FL6 data'!Q82*0.068948</f>
        <v>157.2330603011209</v>
      </c>
      <c r="N81">
        <f>'FL6 data'!W82*0.068948</f>
        <v>148.12080464800772</v>
      </c>
      <c r="O81">
        <f>'FL6 data'!AB82*0.068948</f>
        <v>142.98607328762893</v>
      </c>
      <c r="P81">
        <f>'FL6 data'!AG82*0.068948</f>
        <v>151.2942240296708</v>
      </c>
      <c r="Q81">
        <f>'FL6 data'!AN82*0.068948</f>
        <v>129.89279332040476</v>
      </c>
      <c r="R81">
        <f>'FL6 data'!AU82*0.068948</f>
        <v>143.06697378172896</v>
      </c>
      <c r="S81">
        <f>'FL6 data'!BB82*0.068948</f>
        <v>147.35879999406302</v>
      </c>
      <c r="T81">
        <f>'FL6 data'!BK84*0.068948</f>
        <v>82.220182159869864</v>
      </c>
      <c r="U81">
        <f t="shared" si="2"/>
        <v>82.220182159869864</v>
      </c>
    </row>
    <row r="82" spans="1:21" x14ac:dyDescent="0.35">
      <c r="A82">
        <v>2116.2431640000032</v>
      </c>
      <c r="B82">
        <v>1</v>
      </c>
      <c r="C82">
        <f>FL6_WD!U81</f>
        <v>712.33939666839569</v>
      </c>
      <c r="D82">
        <f>FL6_WD!V81</f>
        <v>708.86457034318403</v>
      </c>
      <c r="E82">
        <f>FL6_WD!W81</f>
        <v>1942.3543966683958</v>
      </c>
      <c r="F82">
        <f>FL6_WD!X81</f>
        <v>2110.0793966683959</v>
      </c>
      <c r="G82">
        <f>FL6_WD!Y81</f>
        <v>708.86457034318403</v>
      </c>
      <c r="H82">
        <v>1</v>
      </c>
      <c r="I82">
        <f>FL6_WD!Z81</f>
        <v>640.13250563049689</v>
      </c>
      <c r="J82">
        <f>FL6_WD!AA81</f>
        <v>1808.6093966683957</v>
      </c>
      <c r="K82">
        <f>'FL6 data'!E83*0.068948</f>
        <v>157.45566166065885</v>
      </c>
      <c r="L82">
        <f>'FL6 data'!K83*0.068948</f>
        <v>148.30640578156724</v>
      </c>
      <c r="M82">
        <f>'FL6 data'!Q83*0.068948</f>
        <v>157.1830599957444</v>
      </c>
      <c r="N82">
        <f>'FL6 data'!W83*0.068948</f>
        <v>148.08220441225674</v>
      </c>
      <c r="O82">
        <f>'FL6 data'!AB83*0.068948</f>
        <v>142.94657304638133</v>
      </c>
      <c r="P82">
        <f>'FL6 data'!AG83*0.068948</f>
        <v>151.25412378475872</v>
      </c>
      <c r="Q82">
        <f>'FL6 data'!AN83*0.068948</f>
        <v>129.85399308343227</v>
      </c>
      <c r="R82">
        <f>'FL6 data'!AU83*0.068948</f>
        <v>143.02727353926008</v>
      </c>
      <c r="S82">
        <f>'FL6 data'!BB83*0.068948</f>
        <v>147.31869974915091</v>
      </c>
      <c r="T82">
        <f>'FL6 data'!BK85*0.068948</f>
        <v>82.203332056957834</v>
      </c>
      <c r="U82">
        <f t="shared" si="2"/>
        <v>82.203332056957834</v>
      </c>
    </row>
    <row r="83" spans="1:21" x14ac:dyDescent="0.35">
      <c r="A83">
        <v>2138.9721000000031</v>
      </c>
      <c r="B83">
        <v>1</v>
      </c>
      <c r="C83">
        <f>FL6_WD!U82</f>
        <v>719.99008484666331</v>
      </c>
      <c r="D83">
        <f>FL6_WD!V82</f>
        <v>716.47793809131383</v>
      </c>
      <c r="E83">
        <f>FL6_WD!W82</f>
        <v>1950.0050848466635</v>
      </c>
      <c r="F83">
        <f>FL6_WD!X82</f>
        <v>2117.7300848466634</v>
      </c>
      <c r="G83">
        <f>FL6_WD!Y82</f>
        <v>716.47793809131383</v>
      </c>
      <c r="H83">
        <v>1</v>
      </c>
      <c r="I83">
        <f>FL6_WD!Z82</f>
        <v>647.00767527049913</v>
      </c>
      <c r="J83">
        <f>FL6_WD!AA82</f>
        <v>1816.2600848466632</v>
      </c>
      <c r="K83">
        <f>'FL6 data'!E84*0.068948</f>
        <v>157.3486610071526</v>
      </c>
      <c r="L83">
        <f>'FL6 data'!K84*0.068948</f>
        <v>148.21830524349269</v>
      </c>
      <c r="M83">
        <f>'FL6 data'!Q84*0.068948</f>
        <v>157.08675940758832</v>
      </c>
      <c r="N83">
        <f>'FL6 data'!W84*0.068948</f>
        <v>148.00760395663434</v>
      </c>
      <c r="O83">
        <f>'FL6 data'!AB84*0.068948</f>
        <v>142.87027258037597</v>
      </c>
      <c r="P83">
        <f>'FL6 data'!AG84*0.068948</f>
        <v>151.17662331142438</v>
      </c>
      <c r="Q83">
        <f>'FL6 data'!AN84*0.068948</f>
        <v>129.77889262475611</v>
      </c>
      <c r="R83">
        <f>'FL6 data'!AU84*0.068948</f>
        <v>142.95057307081149</v>
      </c>
      <c r="S83">
        <f>'FL6 data'!BB84*0.068948</f>
        <v>147.24109927520593</v>
      </c>
      <c r="T83">
        <f>'FL6 data'!BK86*0.068948</f>
        <v>82.195032006265265</v>
      </c>
      <c r="U83">
        <f t="shared" si="2"/>
        <v>82.195032006265265</v>
      </c>
    </row>
    <row r="84" spans="1:21" x14ac:dyDescent="0.35">
      <c r="A84">
        <v>2169.3865680000031</v>
      </c>
      <c r="B84">
        <v>1</v>
      </c>
      <c r="C84">
        <f>FL6_WD!U83</f>
        <v>730.22776648630975</v>
      </c>
      <c r="D84">
        <f>FL6_WD!V83</f>
        <v>726.665679820523</v>
      </c>
      <c r="E84">
        <f>FL6_WD!W83</f>
        <v>1960.2427664863098</v>
      </c>
      <c r="F84">
        <f>FL6_WD!X83</f>
        <v>2127.9677664863098</v>
      </c>
      <c r="G84">
        <f>FL6_WD!Y83</f>
        <v>726.665679820523</v>
      </c>
      <c r="H84">
        <v>1</v>
      </c>
      <c r="I84">
        <f>FL6_WD!Z83</f>
        <v>656.20760557125857</v>
      </c>
      <c r="J84">
        <f>FL6_WD!AA83</f>
        <v>1826.4977664863097</v>
      </c>
      <c r="K84">
        <f>'FL6 data'!E85*0.068948</f>
        <v>157.35006101570286</v>
      </c>
      <c r="L84">
        <f>'FL6 data'!K85*0.068948</f>
        <v>148.2572054810758</v>
      </c>
      <c r="M84">
        <f>'FL6 data'!Q85*0.068948</f>
        <v>157.12665965127917</v>
      </c>
      <c r="N84">
        <f>'FL6 data'!W85*0.068948</f>
        <v>148.05350423697035</v>
      </c>
      <c r="O84">
        <f>'FL6 data'!AB85*0.068948</f>
        <v>142.91727286743071</v>
      </c>
      <c r="P84">
        <f>'FL6 data'!AG85*0.068948</f>
        <v>151.22262359237072</v>
      </c>
      <c r="Q84">
        <f>'FL6 data'!AN85*0.068948</f>
        <v>129.82519290753515</v>
      </c>
      <c r="R84">
        <f>'FL6 data'!AU85*0.068948</f>
        <v>142.99777335908749</v>
      </c>
      <c r="S84">
        <f>'FL6 data'!BB85*0.068948</f>
        <v>147.28739955798486</v>
      </c>
      <c r="T84">
        <f>'FL6 data'!BK87*0.068948</f>
        <v>82.241422289593984</v>
      </c>
      <c r="U84">
        <f t="shared" si="2"/>
        <v>82.241422289593984</v>
      </c>
    </row>
    <row r="85" spans="1:21" x14ac:dyDescent="0.35">
      <c r="A85">
        <v>2207.486568000003</v>
      </c>
      <c r="B85">
        <v>1</v>
      </c>
      <c r="C85">
        <f>FL6_WD!U84</f>
        <v>743.05244158733512</v>
      </c>
      <c r="D85">
        <f>FL6_WD!V84</f>
        <v>739.42779553081152</v>
      </c>
      <c r="E85">
        <f>FL6_WD!W84</f>
        <v>1973.0674415873352</v>
      </c>
      <c r="F85">
        <f>FL6_WD!X84</f>
        <v>2140.7924415873349</v>
      </c>
      <c r="G85">
        <f>FL6_WD!Y84</f>
        <v>739.42779553081152</v>
      </c>
      <c r="H85">
        <v>1</v>
      </c>
      <c r="I85">
        <f>FL6_WD!Z84</f>
        <v>667.73229653277508</v>
      </c>
      <c r="J85">
        <f>FL6_WD!AA84</f>
        <v>1839.3224415873351</v>
      </c>
      <c r="K85">
        <f>'FL6 data'!E86*0.068948</f>
        <v>157.45946168386774</v>
      </c>
      <c r="L85">
        <f>'FL6 data'!K86*0.068948</f>
        <v>148.42070647965863</v>
      </c>
      <c r="M85">
        <f>'FL6 data'!Q86*0.068948</f>
        <v>157.29986070910442</v>
      </c>
      <c r="N85">
        <f>'FL6 data'!W86*0.068948</f>
        <v>148.21990525326481</v>
      </c>
      <c r="O85">
        <f>'FL6 data'!AB86*0.068948</f>
        <v>143.0879739099874</v>
      </c>
      <c r="P85">
        <f>'FL6 data'!AG86*0.068948</f>
        <v>151.41342475768946</v>
      </c>
      <c r="Q85">
        <f>'FL6 data'!AN86*0.068948</f>
        <v>129.9925939299371</v>
      </c>
      <c r="R85">
        <f>'FL6 data'!AU86*0.068948</f>
        <v>143.16937440714125</v>
      </c>
      <c r="S85">
        <f>'FL6 data'!BB86*0.068948</f>
        <v>147.47880072696807</v>
      </c>
      <c r="T85">
        <f>'FL6 data'!BK88*0.068948</f>
        <v>82.373233094628645</v>
      </c>
      <c r="U85">
        <f t="shared" si="2"/>
        <v>82.373233094628645</v>
      </c>
    </row>
    <row r="86" spans="1:21" x14ac:dyDescent="0.35">
      <c r="A86">
        <v>2237.9056080000032</v>
      </c>
      <c r="B86">
        <v>1</v>
      </c>
      <c r="C86">
        <f>FL6_WD!U85</f>
        <v>753.29166218799378</v>
      </c>
      <c r="D86">
        <f>FL6_WD!V85</f>
        <v>749.61706871390606</v>
      </c>
      <c r="E86">
        <f>FL6_WD!W85</f>
        <v>1983.3066621879939</v>
      </c>
      <c r="F86">
        <f>FL6_WD!X85</f>
        <v>2151.0316621879938</v>
      </c>
      <c r="G86">
        <f>FL6_WD!Y85</f>
        <v>749.61706871390606</v>
      </c>
      <c r="H86">
        <v>1</v>
      </c>
      <c r="I86">
        <f>FL6_WD!Z85</f>
        <v>676.93360979644979</v>
      </c>
      <c r="J86">
        <f>FL6_WD!AA85</f>
        <v>1849.5616621879938</v>
      </c>
      <c r="K86">
        <f>'FL6 data'!E87*0.068948</f>
        <v>157.45266164233641</v>
      </c>
      <c r="L86">
        <f>'FL6 data'!K87*0.068948</f>
        <v>148.4485066494484</v>
      </c>
      <c r="M86">
        <f>'FL6 data'!Q87*0.068948</f>
        <v>157.32776087950481</v>
      </c>
      <c r="N86">
        <f>'FL6 data'!W87*0.068948</f>
        <v>148.257605483519</v>
      </c>
      <c r="O86">
        <f>'FL6 data'!AB87*0.068948</f>
        <v>143.11307406328663</v>
      </c>
      <c r="P86">
        <f>'FL6 data'!AG87*0.068948</f>
        <v>151.46412506734174</v>
      </c>
      <c r="Q86">
        <f>'FL6 data'!AN87*0.068948</f>
        <v>130.03059416202356</v>
      </c>
      <c r="R86">
        <f>'FL6 data'!AU87*0.068948</f>
        <v>143.19537456593687</v>
      </c>
      <c r="S86">
        <f>'FL6 data'!BB87*0.068948</f>
        <v>147.53380106288245</v>
      </c>
      <c r="T86">
        <f>'FL6 data'!BK89*0.068948</f>
        <v>82.411363327509093</v>
      </c>
      <c r="U86">
        <f t="shared" si="2"/>
        <v>82.411363327509093</v>
      </c>
    </row>
    <row r="87" spans="1:21" x14ac:dyDescent="0.35">
      <c r="A87">
        <v>2260.6436880000033</v>
      </c>
      <c r="B87">
        <v>1</v>
      </c>
      <c r="C87">
        <f>FL6_WD!U86</f>
        <v>760.94542828828571</v>
      </c>
      <c r="D87">
        <f>FL6_WD!V86</f>
        <v>757.2334993698064</v>
      </c>
      <c r="E87">
        <f>FL6_WD!W86</f>
        <v>1990.9604282882858</v>
      </c>
      <c r="F87">
        <f>FL6_WD!X86</f>
        <v>2158.6854282882859</v>
      </c>
      <c r="G87">
        <f>FL6_WD!Y86</f>
        <v>757.2334993698064</v>
      </c>
      <c r="H87">
        <v>1</v>
      </c>
      <c r="I87">
        <f>FL6_WD!Z86</f>
        <v>683.81154536228303</v>
      </c>
      <c r="J87">
        <f>FL6_WD!AA86</f>
        <v>1857.2154282882857</v>
      </c>
      <c r="K87">
        <f>'FL6 data'!E88*0.068948</f>
        <v>157.32946088988763</v>
      </c>
      <c r="L87">
        <f>'FL6 data'!K88*0.068948</f>
        <v>148.34210599960593</v>
      </c>
      <c r="M87">
        <f>'FL6 data'!Q88*0.068948</f>
        <v>157.21056016370159</v>
      </c>
      <c r="N87">
        <f>'FL6 data'!W88*0.068948</f>
        <v>148.16660492773298</v>
      </c>
      <c r="O87">
        <f>'FL6 data'!AB88*0.068948</f>
        <v>143.00957343115667</v>
      </c>
      <c r="P87">
        <f>'FL6 data'!AG88*0.068948</f>
        <v>151.36212444437265</v>
      </c>
      <c r="Q87">
        <f>'FL6 data'!AN88*0.068948</f>
        <v>129.93899360257305</v>
      </c>
      <c r="R87">
        <f>'FL6 data'!AU88*0.068948</f>
        <v>143.09177393319627</v>
      </c>
      <c r="S87">
        <f>'FL6 data'!BB88*0.068948</f>
        <v>147.43090043441697</v>
      </c>
      <c r="T87">
        <f>'FL6 data'!BK90*0.068948</f>
        <v>82.316212746376792</v>
      </c>
      <c r="U87">
        <f t="shared" si="2"/>
        <v>82.316212746376792</v>
      </c>
    </row>
    <row r="88" spans="1:21" x14ac:dyDescent="0.35">
      <c r="A88">
        <v>2287.0241280000032</v>
      </c>
      <c r="B88">
        <v>1</v>
      </c>
      <c r="C88">
        <f>FL6_WD!U87</f>
        <v>769.82523332823564</v>
      </c>
      <c r="D88">
        <f>FL6_WD!V87</f>
        <v>766.06998828761016</v>
      </c>
      <c r="E88">
        <f>FL6_WD!W87</f>
        <v>1999.8402333282356</v>
      </c>
      <c r="F88">
        <f>FL6_WD!X87</f>
        <v>2167.5652333282355</v>
      </c>
      <c r="G88">
        <f>FL6_WD!Y87</f>
        <v>766.06998828761016</v>
      </c>
      <c r="H88">
        <v>1</v>
      </c>
      <c r="I88">
        <f>FL6_WD!Z87</f>
        <v>691.79124138403699</v>
      </c>
      <c r="J88">
        <f>FL6_WD!AA87</f>
        <v>1866.0952333282357</v>
      </c>
      <c r="K88">
        <f>'FL6 data'!E89*0.068948</f>
        <v>157.24266035975339</v>
      </c>
      <c r="L88">
        <f>'FL6 data'!K89*0.068948</f>
        <v>148.28150562948929</v>
      </c>
      <c r="M88">
        <f>'FL6 data'!Q89*0.068948</f>
        <v>157.14725977709435</v>
      </c>
      <c r="N88">
        <f>'FL6 data'!W89*0.068948</f>
        <v>148.1176046284636</v>
      </c>
      <c r="O88">
        <f>'FL6 data'!AB89*0.068948</f>
        <v>142.95837311845054</v>
      </c>
      <c r="P88">
        <f>'FL6 data'!AG89*0.068948</f>
        <v>151.31252414143873</v>
      </c>
      <c r="Q88">
        <f>'FL6 data'!AN89*0.068948</f>
        <v>129.88959330086064</v>
      </c>
      <c r="R88">
        <f>'FL6 data'!AU89*0.068948</f>
        <v>143.04027361865752</v>
      </c>
      <c r="S88">
        <f>'FL6 data'!BB89*0.068948</f>
        <v>147.38140013209363</v>
      </c>
      <c r="T88">
        <f>'FL6 data'!BK91*0.068948</f>
        <v>82.265632437457484</v>
      </c>
      <c r="U88">
        <f t="shared" si="2"/>
        <v>82.265632437457484</v>
      </c>
    </row>
    <row r="89" spans="1:21" x14ac:dyDescent="0.35">
      <c r="A89">
        <v>2317.0469280000029</v>
      </c>
      <c r="B89">
        <v>1</v>
      </c>
      <c r="C89">
        <f>FL6_WD!U88</f>
        <v>779.93107730784345</v>
      </c>
      <c r="D89">
        <f>FL6_WD!V88</f>
        <v>776.12653546731735</v>
      </c>
      <c r="E89">
        <f>FL6_WD!W88</f>
        <v>2009.9460773078436</v>
      </c>
      <c r="F89">
        <f>FL6_WD!X88</f>
        <v>2177.6710773078435</v>
      </c>
      <c r="G89">
        <f>FL6_WD!Y88</f>
        <v>776.12653546731735</v>
      </c>
      <c r="H89">
        <v>1</v>
      </c>
      <c r="I89">
        <f>FL6_WD!Z88</f>
        <v>700.8726978617118</v>
      </c>
      <c r="J89">
        <f>FL6_WD!AA88</f>
        <v>1876.2010773078434</v>
      </c>
      <c r="K89">
        <f>'FL6 data'!E90*0.068948</f>
        <v>157.1919600501011</v>
      </c>
      <c r="L89">
        <f>'FL6 data'!K90*0.068948</f>
        <v>148.2674055433728</v>
      </c>
      <c r="M89">
        <f>'FL6 data'!Q90*0.068948</f>
        <v>157.13825972212635</v>
      </c>
      <c r="N89">
        <f>'FL6 data'!W90*0.068948</f>
        <v>148.1105045851001</v>
      </c>
      <c r="O89">
        <f>'FL6 data'!AB90*0.068948</f>
        <v>142.95107307386533</v>
      </c>
      <c r="P89">
        <f>'FL6 data'!AG90*0.068948</f>
        <v>151.30522409685352</v>
      </c>
      <c r="Q89">
        <f>'FL6 data'!AN90*0.068948</f>
        <v>129.88249325749712</v>
      </c>
      <c r="R89">
        <f>'FL6 data'!AU90*0.068948</f>
        <v>143.03307357468367</v>
      </c>
      <c r="S89">
        <f>'FL6 data'!BB90*0.068948</f>
        <v>147.37400008689784</v>
      </c>
      <c r="T89">
        <f>'FL6 data'!BK92*0.068948</f>
        <v>82.262892420722849</v>
      </c>
      <c r="U89">
        <f t="shared" si="2"/>
        <v>82.262892420722849</v>
      </c>
    </row>
  </sheetData>
  <pageMargins left="0.7" right="0.7" top="0.75" bottom="0.75" header="0.3" footer="0.3"/>
  <pageSetup orientation="portrait" horizontalDpi="200" verticalDpi="200" r:id="rId1"/>
  <headerFooter>
    <oddHeader>&amp;L&amp;"Calibri"&amp;10&amp;K0000FFTechnipFMC | Internal&amp;1#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BC8A-324D-4DCB-8544-7B27F8E79FF0}">
  <dimension ref="A1:AE397"/>
  <sheetViews>
    <sheetView workbookViewId="0">
      <selection activeCell="P405" sqref="P405"/>
    </sheetView>
  </sheetViews>
  <sheetFormatPr defaultRowHeight="14.5" x14ac:dyDescent="0.35"/>
  <sheetData>
    <row r="1" spans="1:31" x14ac:dyDescent="0.3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M1" t="s">
        <v>52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77</v>
      </c>
      <c r="W1" t="s">
        <v>185</v>
      </c>
      <c r="X1" t="s">
        <v>78</v>
      </c>
      <c r="Y1" t="s">
        <v>79</v>
      </c>
      <c r="Z1" t="s">
        <v>65</v>
      </c>
      <c r="AA1" t="s">
        <v>80</v>
      </c>
    </row>
    <row r="2" spans="1:31" x14ac:dyDescent="0.35">
      <c r="A2">
        <v>0</v>
      </c>
      <c r="B2">
        <v>-3956.68</v>
      </c>
      <c r="C2">
        <f>A2*0.3048</f>
        <v>0</v>
      </c>
      <c r="D2">
        <f>B2*0.3048</f>
        <v>-1205.9960639999999</v>
      </c>
      <c r="E2">
        <f>D2*-1*1025*9.81/10^5</f>
        <v>121.26591922536001</v>
      </c>
      <c r="F2">
        <f>1020*D2*-1*9.81/10^5</f>
        <v>120.674378155968</v>
      </c>
      <c r="G2">
        <f>1397.74+E2</f>
        <v>1519.00591922536</v>
      </c>
      <c r="H2">
        <f>F2</f>
        <v>120.674378155968</v>
      </c>
      <c r="I2">
        <v>1</v>
      </c>
      <c r="J2">
        <f>921.1*D2*-1*9.81/10^5</f>
        <v>108.97369580339425</v>
      </c>
      <c r="K2">
        <f>1096.27+E2</f>
        <v>1217.53591922536</v>
      </c>
      <c r="M2" t="s">
        <v>53</v>
      </c>
      <c r="N2" t="s">
        <v>69</v>
      </c>
      <c r="O2" t="s">
        <v>69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76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76</v>
      </c>
      <c r="AC2" t="s">
        <v>186</v>
      </c>
      <c r="AD2">
        <v>1096.27</v>
      </c>
      <c r="AE2" t="s">
        <v>189</v>
      </c>
    </row>
    <row r="3" spans="1:31" x14ac:dyDescent="0.35">
      <c r="A3">
        <v>3</v>
      </c>
      <c r="B3">
        <v>-3956.68</v>
      </c>
      <c r="C3">
        <f>A3*0.3048</f>
        <v>0.9144000000000001</v>
      </c>
      <c r="D3">
        <f t="shared" ref="D3:D66" si="0">B3*0.3048</f>
        <v>-1205.9960639999999</v>
      </c>
      <c r="E3">
        <f t="shared" ref="E3:E66" si="1">D3*-1*1025*9.81/10^5</f>
        <v>121.26591922536001</v>
      </c>
      <c r="F3">
        <f t="shared" ref="F3:F66" si="2">1020*D3*-1*9.81/10^5</f>
        <v>120.674378155968</v>
      </c>
      <c r="G3">
        <f t="shared" ref="G3:G66" si="3">1397.74+E3</f>
        <v>1519.00591922536</v>
      </c>
      <c r="H3">
        <f t="shared" ref="H3:H66" si="4">F3</f>
        <v>120.674378155968</v>
      </c>
      <c r="I3">
        <v>1</v>
      </c>
      <c r="J3">
        <f t="shared" ref="J3:J66" si="5">921.1*D3*-1*9.81/10^5</f>
        <v>108.97369580339425</v>
      </c>
      <c r="K3">
        <f t="shared" ref="K3:K66" si="6">1096.27+E3</f>
        <v>1217.53591922536</v>
      </c>
      <c r="M3">
        <v>0</v>
      </c>
      <c r="N3">
        <f>MATCH($M3,$C$2:$C$14395,1)</f>
        <v>1</v>
      </c>
      <c r="O3">
        <f>N3+1</f>
        <v>2</v>
      </c>
      <c r="P3" cm="1">
        <f t="array" ref="P3">INDEX($C$2:$C$14395,$N3,0)</f>
        <v>0</v>
      </c>
      <c r="Q3" cm="1">
        <f t="array" ref="Q3">INDEX($C$2:$C$14395,$O3,0)</f>
        <v>0.9144000000000001</v>
      </c>
      <c r="R3" cm="1">
        <f t="array" ref="R3">INDEX($D$2:$D$14395,$N3,0)</f>
        <v>-1205.9960639999999</v>
      </c>
      <c r="S3" cm="1">
        <f t="array" ref="S3">INDEX($D$2:$D$14395,$O3,0)</f>
        <v>-1205.9960639999999</v>
      </c>
      <c r="T3">
        <f>FORECAST(M3,R3:S3,P3:Q3)</f>
        <v>-1205.9960639999999</v>
      </c>
      <c r="U3">
        <f>1025*T3*-1*9.81/10^5</f>
        <v>121.26591922536001</v>
      </c>
      <c r="V3">
        <f>1020*T3*-1*9.81/10^5</f>
        <v>120.674378155968</v>
      </c>
      <c r="W3">
        <f>1230.015+U3</f>
        <v>1351.2809192253601</v>
      </c>
      <c r="X3">
        <f>1397.74+U3</f>
        <v>1519.00591922536</v>
      </c>
      <c r="Y3">
        <f>V3</f>
        <v>120.674378155968</v>
      </c>
      <c r="Z3">
        <f>921.1*T3*-1*9.81/10^5</f>
        <v>108.97369580339425</v>
      </c>
      <c r="AA3">
        <f>1096.27+U3</f>
        <v>1217.53591922536</v>
      </c>
      <c r="AC3" t="s">
        <v>187</v>
      </c>
      <c r="AD3">
        <f>AD2*1.25*1.02</f>
        <v>1397.7442500000002</v>
      </c>
      <c r="AE3" t="s">
        <v>189</v>
      </c>
    </row>
    <row r="4" spans="1:31" x14ac:dyDescent="0.35">
      <c r="A4">
        <v>6</v>
      </c>
      <c r="B4">
        <v>-3956.69</v>
      </c>
      <c r="C4">
        <f t="shared" ref="C4:C67" si="7">A4*0.3048</f>
        <v>1.8288000000000002</v>
      </c>
      <c r="D4">
        <f t="shared" si="0"/>
        <v>-1205.999112</v>
      </c>
      <c r="E4">
        <f t="shared" si="1"/>
        <v>121.26622570938001</v>
      </c>
      <c r="F4">
        <f t="shared" si="2"/>
        <v>120.67468314494401</v>
      </c>
      <c r="G4">
        <f t="shared" si="3"/>
        <v>1519.00622570938</v>
      </c>
      <c r="H4">
        <f t="shared" si="4"/>
        <v>120.67468314494401</v>
      </c>
      <c r="I4">
        <v>1</v>
      </c>
      <c r="J4">
        <f t="shared" si="5"/>
        <v>108.97397122039992</v>
      </c>
      <c r="K4">
        <f t="shared" si="6"/>
        <v>1217.53622570938</v>
      </c>
      <c r="M4">
        <v>14.795924163033481</v>
      </c>
      <c r="N4">
        <f t="shared" ref="N4:N67" si="8">MATCH($M4,$C$2:$C$14395,1)</f>
        <v>17</v>
      </c>
      <c r="O4">
        <f t="shared" ref="O4:O67" si="9">N4+1</f>
        <v>18</v>
      </c>
      <c r="P4" cm="1">
        <f t="array" ref="P4">INDEX($C$2:$C$14395,$N4,0)</f>
        <v>14.630400000000002</v>
      </c>
      <c r="Q4" cm="1">
        <f t="array" ref="Q4">INDEX($C$2:$C$14395,$O4,0)</f>
        <v>15.5448</v>
      </c>
      <c r="R4" cm="1">
        <f t="array" ref="R4">INDEX($D$2:$D$14395,$N4,0)</f>
        <v>-1206.0082560000001</v>
      </c>
      <c r="S4" cm="1">
        <f t="array" ref="S4">INDEX($D$2:$D$14395,$O4,0)</f>
        <v>-1206.005208</v>
      </c>
      <c r="T4">
        <f t="shared" ref="T4:T67" si="10">FORECAST(M4,R4:S4,P4:Q4)</f>
        <v>-1206.0077042527901</v>
      </c>
      <c r="U4">
        <f t="shared" ref="U4:U67" si="11">1025*T4*-1*9.81/10^5</f>
        <v>121.26708968187869</v>
      </c>
      <c r="V4">
        <f t="shared" ref="V4:V67" si="12">1020*T4*-1*9.81/10^5</f>
        <v>120.67554290294269</v>
      </c>
      <c r="W4">
        <f t="shared" ref="W4:W67" si="13">1230.015+U4</f>
        <v>1351.2820896818787</v>
      </c>
      <c r="X4">
        <f t="shared" ref="X4:X67" si="14">1397.74+U4</f>
        <v>1519.0070896818786</v>
      </c>
      <c r="Y4">
        <f t="shared" ref="Y4:Y67" si="15">V4</f>
        <v>120.67554290294269</v>
      </c>
      <c r="Z4">
        <f t="shared" ref="Z4:Z67" si="16">921.1*T4*-1*9.81/10^5</f>
        <v>108.97474761558871</v>
      </c>
      <c r="AA4">
        <f t="shared" ref="AA4:AA67" si="17">1096.27+U4</f>
        <v>1217.5370896818786</v>
      </c>
      <c r="AC4" t="s">
        <v>188</v>
      </c>
      <c r="AD4">
        <f>AD2*1.1*1.02</f>
        <v>1230.0149400000003</v>
      </c>
      <c r="AE4" t="s">
        <v>189</v>
      </c>
    </row>
    <row r="5" spans="1:31" x14ac:dyDescent="0.35">
      <c r="A5">
        <v>9</v>
      </c>
      <c r="B5">
        <v>-3956.7</v>
      </c>
      <c r="C5">
        <f t="shared" si="7"/>
        <v>2.7432000000000003</v>
      </c>
      <c r="D5">
        <f t="shared" si="0"/>
        <v>-1206.00216</v>
      </c>
      <c r="E5">
        <f t="shared" si="1"/>
        <v>121.2665321934</v>
      </c>
      <c r="F5">
        <f t="shared" si="2"/>
        <v>120.67498813392002</v>
      </c>
      <c r="G5">
        <f t="shared" si="3"/>
        <v>1519.0065321934001</v>
      </c>
      <c r="H5">
        <f t="shared" si="4"/>
        <v>120.67498813392002</v>
      </c>
      <c r="I5">
        <v>1</v>
      </c>
      <c r="J5">
        <f t="shared" si="5"/>
        <v>108.97424663740563</v>
      </c>
      <c r="K5">
        <f t="shared" si="6"/>
        <v>1217.5365321934</v>
      </c>
      <c r="M5">
        <v>44.387772489100534</v>
      </c>
      <c r="N5">
        <f t="shared" si="8"/>
        <v>49</v>
      </c>
      <c r="O5">
        <f t="shared" si="9"/>
        <v>50</v>
      </c>
      <c r="P5" cm="1">
        <f t="array" ref="P5">INDEX($C$2:$C$14395,$N5,0)</f>
        <v>43.891200000000005</v>
      </c>
      <c r="Q5" cm="1">
        <f t="array" ref="Q5">INDEX($C$2:$C$14395,$O5,0)</f>
        <v>44.805600000000005</v>
      </c>
      <c r="R5" cm="1">
        <f t="array" ref="R5">INDEX($D$2:$D$14395,$N5,0)</f>
        <v>-1205.843664</v>
      </c>
      <c r="S5" cm="1">
        <f t="array" ref="S5">INDEX($D$2:$D$14395,$O5,0)</f>
        <v>-1205.843664</v>
      </c>
      <c r="T5">
        <f t="shared" si="10"/>
        <v>-1205.843664</v>
      </c>
      <c r="U5">
        <f t="shared" si="11"/>
        <v>121.25059502436001</v>
      </c>
      <c r="V5">
        <f t="shared" si="12"/>
        <v>120.65912870716801</v>
      </c>
      <c r="W5">
        <f t="shared" si="13"/>
        <v>1351.2655950243602</v>
      </c>
      <c r="X5">
        <f t="shared" si="14"/>
        <v>1518.9905950243601</v>
      </c>
      <c r="Y5">
        <f t="shared" si="15"/>
        <v>120.65912870716801</v>
      </c>
      <c r="Z5">
        <f t="shared" si="16"/>
        <v>108.95992495311023</v>
      </c>
      <c r="AA5">
        <f t="shared" si="17"/>
        <v>1217.5205950243601</v>
      </c>
    </row>
    <row r="6" spans="1:31" x14ac:dyDescent="0.35">
      <c r="A6">
        <v>12</v>
      </c>
      <c r="B6">
        <v>-3956.72</v>
      </c>
      <c r="C6">
        <f t="shared" si="7"/>
        <v>3.6576000000000004</v>
      </c>
      <c r="D6">
        <f t="shared" si="0"/>
        <v>-1206.0082560000001</v>
      </c>
      <c r="E6">
        <f t="shared" si="1"/>
        <v>121.26714516144001</v>
      </c>
      <c r="F6">
        <f t="shared" si="2"/>
        <v>120.67559811187202</v>
      </c>
      <c r="G6">
        <f t="shared" si="3"/>
        <v>1519.0071451614401</v>
      </c>
      <c r="H6">
        <f t="shared" si="4"/>
        <v>120.67559811187202</v>
      </c>
      <c r="I6">
        <v>1</v>
      </c>
      <c r="J6">
        <f t="shared" si="5"/>
        <v>108.97479747141696</v>
      </c>
      <c r="K6">
        <f t="shared" si="6"/>
        <v>1217.5371451614401</v>
      </c>
      <c r="M6">
        <v>67.691848326067031</v>
      </c>
      <c r="N6">
        <f t="shared" si="8"/>
        <v>75</v>
      </c>
      <c r="O6">
        <f t="shared" si="9"/>
        <v>76</v>
      </c>
      <c r="P6" cm="1">
        <f t="array" ref="P6">INDEX($C$2:$C$14395,$N6,0)</f>
        <v>67.665599999999998</v>
      </c>
      <c r="Q6" cm="1">
        <f t="array" ref="Q6">INDEX($C$2:$C$14395,$O6,0)</f>
        <v>68.58</v>
      </c>
      <c r="R6" cm="1">
        <f t="array" ref="R6">INDEX($D$2:$D$14395,$N6,0)</f>
        <v>-1205.907672</v>
      </c>
      <c r="S6" cm="1">
        <f t="array" ref="S6">INDEX($D$2:$D$14395,$O6,0)</f>
        <v>-1205.9168160000002</v>
      </c>
      <c r="T6">
        <f t="shared" si="10"/>
        <v>-1205.9079344832608</v>
      </c>
      <c r="U6">
        <f t="shared" si="11"/>
        <v>121.2570575821281</v>
      </c>
      <c r="V6">
        <f t="shared" si="12"/>
        <v>120.66555974026404</v>
      </c>
      <c r="W6">
        <f t="shared" si="13"/>
        <v>1351.2720575821281</v>
      </c>
      <c r="X6">
        <f t="shared" si="14"/>
        <v>1518.997057582128</v>
      </c>
      <c r="Y6">
        <f t="shared" si="15"/>
        <v>120.66555974026404</v>
      </c>
      <c r="Z6">
        <f t="shared" si="16"/>
        <v>108.96573242819333</v>
      </c>
      <c r="AA6">
        <f t="shared" si="17"/>
        <v>1217.527057582128</v>
      </c>
    </row>
    <row r="7" spans="1:31" x14ac:dyDescent="0.35">
      <c r="A7">
        <v>15</v>
      </c>
      <c r="B7">
        <v>-3956.73</v>
      </c>
      <c r="C7">
        <f t="shared" si="7"/>
        <v>4.5720000000000001</v>
      </c>
      <c r="D7">
        <f t="shared" si="0"/>
        <v>-1206.0113040000001</v>
      </c>
      <c r="E7">
        <f t="shared" si="1"/>
        <v>121.26745164546001</v>
      </c>
      <c r="F7">
        <f t="shared" si="2"/>
        <v>120.67590310084803</v>
      </c>
      <c r="G7">
        <f t="shared" si="3"/>
        <v>1519.0074516454599</v>
      </c>
      <c r="H7">
        <f t="shared" si="4"/>
        <v>120.67590310084803</v>
      </c>
      <c r="I7">
        <v>1</v>
      </c>
      <c r="J7">
        <f t="shared" si="5"/>
        <v>108.97507288842264</v>
      </c>
      <c r="K7">
        <f t="shared" si="6"/>
        <v>1217.5374516454599</v>
      </c>
      <c r="M7">
        <v>82.580988000000005</v>
      </c>
      <c r="N7">
        <f t="shared" si="8"/>
        <v>91</v>
      </c>
      <c r="O7">
        <f t="shared" si="9"/>
        <v>92</v>
      </c>
      <c r="P7" cm="1">
        <f t="array" ref="P7">INDEX($C$2:$C$14395,$N7,0)</f>
        <v>82.296000000000006</v>
      </c>
      <c r="Q7" cm="1">
        <f t="array" ref="Q7">INDEX($C$2:$C$14395,$O7,0)</f>
        <v>83.210400000000007</v>
      </c>
      <c r="R7" cm="1">
        <f t="array" ref="R7">INDEX($D$2:$D$14395,$N7,0)</f>
        <v>-1205.959488</v>
      </c>
      <c r="S7" cm="1">
        <f t="array" ref="S7">INDEX($D$2:$D$14395,$O7,0)</f>
        <v>-1205.9686320000001</v>
      </c>
      <c r="T7">
        <f t="shared" si="10"/>
        <v>-1205.96233788</v>
      </c>
      <c r="U7">
        <f t="shared" si="11"/>
        <v>121.26252797967869</v>
      </c>
      <c r="V7">
        <f t="shared" si="12"/>
        <v>120.67100345294857</v>
      </c>
      <c r="W7">
        <f t="shared" si="13"/>
        <v>1351.2775279796788</v>
      </c>
      <c r="X7">
        <f t="shared" si="14"/>
        <v>1519.0025279796787</v>
      </c>
      <c r="Y7">
        <f t="shared" si="15"/>
        <v>120.67100345294857</v>
      </c>
      <c r="Z7">
        <f t="shared" si="16"/>
        <v>108.97064831422638</v>
      </c>
      <c r="AA7">
        <f t="shared" si="17"/>
        <v>1217.5325279796787</v>
      </c>
    </row>
    <row r="8" spans="1:31" x14ac:dyDescent="0.35">
      <c r="A8">
        <v>18</v>
      </c>
      <c r="B8">
        <v>-3956.75</v>
      </c>
      <c r="C8">
        <f t="shared" si="7"/>
        <v>5.4864000000000006</v>
      </c>
      <c r="D8">
        <f t="shared" si="0"/>
        <v>-1206.0174</v>
      </c>
      <c r="E8">
        <f t="shared" si="1"/>
        <v>121.2680646135</v>
      </c>
      <c r="F8">
        <f t="shared" si="2"/>
        <v>120.6765130788</v>
      </c>
      <c r="G8">
        <f t="shared" si="3"/>
        <v>1519.0080646135</v>
      </c>
      <c r="H8">
        <f t="shared" si="4"/>
        <v>120.6765130788</v>
      </c>
      <c r="I8">
        <v>1</v>
      </c>
      <c r="J8">
        <f t="shared" si="5"/>
        <v>108.97562372243401</v>
      </c>
      <c r="K8">
        <f t="shared" si="6"/>
        <v>1217.5380646135</v>
      </c>
      <c r="M8">
        <v>95.342964000000009</v>
      </c>
      <c r="N8">
        <f t="shared" si="8"/>
        <v>105</v>
      </c>
      <c r="O8">
        <f t="shared" si="9"/>
        <v>106</v>
      </c>
      <c r="P8" cm="1">
        <f t="array" ref="P8">INDEX($C$2:$C$14395,$N8,0)</f>
        <v>95.0976</v>
      </c>
      <c r="Q8" cm="1">
        <f t="array" ref="Q8">INDEX($C$2:$C$14395,$O8,0)</f>
        <v>96.012</v>
      </c>
      <c r="R8" cm="1">
        <f t="array" ref="R8">INDEX($D$2:$D$14395,$N8,0)</f>
        <v>-1206.0905519999999</v>
      </c>
      <c r="S8" cm="1">
        <f t="array" ref="S8">INDEX($D$2:$D$14395,$O8,0)</f>
        <v>-1206.1088400000001</v>
      </c>
      <c r="T8">
        <f t="shared" si="10"/>
        <v>-1206.0954592799999</v>
      </c>
      <c r="U8">
        <f t="shared" si="11"/>
        <v>121.2759136692522</v>
      </c>
      <c r="V8">
        <f t="shared" si="12"/>
        <v>120.68432384647535</v>
      </c>
      <c r="W8">
        <f t="shared" si="13"/>
        <v>1351.2909136692524</v>
      </c>
      <c r="X8">
        <f t="shared" si="14"/>
        <v>1519.0159136692523</v>
      </c>
      <c r="Y8">
        <f t="shared" si="15"/>
        <v>120.68432384647535</v>
      </c>
      <c r="Z8">
        <f t="shared" si="16"/>
        <v>108.98267715194946</v>
      </c>
      <c r="AA8">
        <f t="shared" si="17"/>
        <v>1217.5459136692523</v>
      </c>
    </row>
    <row r="9" spans="1:31" x14ac:dyDescent="0.35">
      <c r="A9">
        <v>21</v>
      </c>
      <c r="B9">
        <v>-3956.76</v>
      </c>
      <c r="C9">
        <f t="shared" si="7"/>
        <v>6.4008000000000003</v>
      </c>
      <c r="D9">
        <f t="shared" si="0"/>
        <v>-1206.0204480000002</v>
      </c>
      <c r="E9">
        <f t="shared" si="1"/>
        <v>121.26837109752002</v>
      </c>
      <c r="F9">
        <f t="shared" si="2"/>
        <v>120.67681806777603</v>
      </c>
      <c r="G9">
        <f t="shared" si="3"/>
        <v>1519.00837109752</v>
      </c>
      <c r="H9">
        <f t="shared" si="4"/>
        <v>120.67681806777603</v>
      </c>
      <c r="I9">
        <v>1</v>
      </c>
      <c r="J9">
        <f t="shared" si="5"/>
        <v>108.9758991394397</v>
      </c>
      <c r="K9">
        <f t="shared" si="6"/>
        <v>1217.53837109752</v>
      </c>
      <c r="M9">
        <v>114.449352</v>
      </c>
      <c r="N9">
        <f t="shared" si="8"/>
        <v>126</v>
      </c>
      <c r="O9">
        <f t="shared" si="9"/>
        <v>127</v>
      </c>
      <c r="P9" cm="1">
        <f t="array" ref="P9">INDEX($C$2:$C$14395,$N9,0)</f>
        <v>114.30000000000001</v>
      </c>
      <c r="Q9" cm="1">
        <f t="array" ref="Q9">INDEX($C$2:$C$14395,$O9,0)</f>
        <v>115.21440000000001</v>
      </c>
      <c r="R9" cm="1">
        <f t="array" ref="R9">INDEX($D$2:$D$14395,$N9,0)</f>
        <v>-1206.300864</v>
      </c>
      <c r="S9" cm="1">
        <f t="array" ref="S9">INDEX($D$2:$D$14395,$O9,0)</f>
        <v>-1206.3039120000001</v>
      </c>
      <c r="T9">
        <f t="shared" si="10"/>
        <v>-1206.30136184</v>
      </c>
      <c r="U9">
        <f t="shared" si="11"/>
        <v>121.2966176864166</v>
      </c>
      <c r="V9">
        <f t="shared" si="12"/>
        <v>120.7049268684341</v>
      </c>
      <c r="W9">
        <f t="shared" si="13"/>
        <v>1351.3116176864166</v>
      </c>
      <c r="X9">
        <f t="shared" si="14"/>
        <v>1519.0366176864165</v>
      </c>
      <c r="Y9">
        <f t="shared" si="15"/>
        <v>120.7049268684341</v>
      </c>
      <c r="Z9">
        <f t="shared" si="16"/>
        <v>109.00128248873985</v>
      </c>
      <c r="AA9">
        <f t="shared" si="17"/>
        <v>1217.5666176864165</v>
      </c>
    </row>
    <row r="10" spans="1:31" x14ac:dyDescent="0.35">
      <c r="A10">
        <v>24</v>
      </c>
      <c r="B10">
        <v>-3956.74</v>
      </c>
      <c r="C10">
        <f t="shared" si="7"/>
        <v>7.3152000000000008</v>
      </c>
      <c r="D10">
        <f t="shared" si="0"/>
        <v>-1206.0143519999999</v>
      </c>
      <c r="E10">
        <f t="shared" si="1"/>
        <v>121.26775812948001</v>
      </c>
      <c r="F10">
        <f t="shared" si="2"/>
        <v>120.67620808982399</v>
      </c>
      <c r="G10">
        <f t="shared" si="3"/>
        <v>1519.00775812948</v>
      </c>
      <c r="H10">
        <f t="shared" si="4"/>
        <v>120.67620808982399</v>
      </c>
      <c r="I10">
        <v>1</v>
      </c>
      <c r="J10">
        <f t="shared" si="5"/>
        <v>108.97534830542833</v>
      </c>
      <c r="K10">
        <f t="shared" si="6"/>
        <v>1217.5377581294799</v>
      </c>
      <c r="M10">
        <v>152.549352</v>
      </c>
      <c r="N10">
        <f t="shared" si="8"/>
        <v>167</v>
      </c>
      <c r="O10">
        <f t="shared" si="9"/>
        <v>168</v>
      </c>
      <c r="P10" cm="1">
        <f t="array" ref="P10">INDEX($C$2:$C$14395,$N10,0)</f>
        <v>151.79040000000001</v>
      </c>
      <c r="Q10" cm="1">
        <f t="array" ref="Q10">INDEX($C$2:$C$14395,$O10,0)</f>
        <v>152.70480000000001</v>
      </c>
      <c r="R10" cm="1">
        <f t="array" ref="R10">INDEX($D$2:$D$14395,$N10,0)</f>
        <v>-1206.2703840000001</v>
      </c>
      <c r="S10" cm="1">
        <f t="array" ref="S10">INDEX($D$2:$D$14395,$O10,0)</f>
        <v>-1206.2886720000001</v>
      </c>
      <c r="T10">
        <f t="shared" si="10"/>
        <v>-1206.2855630400002</v>
      </c>
      <c r="U10">
        <f t="shared" si="11"/>
        <v>121.29502907757963</v>
      </c>
      <c r="V10">
        <f t="shared" si="12"/>
        <v>120.70334600890851</v>
      </c>
      <c r="W10">
        <f t="shared" si="13"/>
        <v>1351.3100290775797</v>
      </c>
      <c r="X10">
        <f t="shared" si="14"/>
        <v>1519.0350290775796</v>
      </c>
      <c r="Y10">
        <f t="shared" si="15"/>
        <v>120.70334600890851</v>
      </c>
      <c r="Z10">
        <f t="shared" si="16"/>
        <v>108.99985491059375</v>
      </c>
      <c r="AA10">
        <f t="shared" si="17"/>
        <v>1217.5650290775795</v>
      </c>
    </row>
    <row r="11" spans="1:31" x14ac:dyDescent="0.35">
      <c r="A11">
        <v>27</v>
      </c>
      <c r="B11">
        <v>-3956.73</v>
      </c>
      <c r="C11">
        <f t="shared" si="7"/>
        <v>8.2295999999999996</v>
      </c>
      <c r="D11">
        <f t="shared" si="0"/>
        <v>-1206.0113040000001</v>
      </c>
      <c r="E11">
        <f t="shared" si="1"/>
        <v>121.26745164546001</v>
      </c>
      <c r="F11">
        <f t="shared" si="2"/>
        <v>120.67590310084803</v>
      </c>
      <c r="G11">
        <f t="shared" si="3"/>
        <v>1519.0074516454599</v>
      </c>
      <c r="H11">
        <f t="shared" si="4"/>
        <v>120.67590310084803</v>
      </c>
      <c r="I11">
        <v>1</v>
      </c>
      <c r="J11">
        <f t="shared" si="5"/>
        <v>108.97507288842264</v>
      </c>
      <c r="K11">
        <f t="shared" si="6"/>
        <v>1217.5374516454599</v>
      </c>
      <c r="M11">
        <v>196.97395200000003</v>
      </c>
      <c r="N11">
        <f t="shared" si="8"/>
        <v>216</v>
      </c>
      <c r="O11">
        <f t="shared" si="9"/>
        <v>217</v>
      </c>
      <c r="P11" cm="1">
        <f t="array" ref="P11">INDEX($C$2:$C$14395,$N11,0)</f>
        <v>196.596</v>
      </c>
      <c r="Q11" cm="1">
        <f t="array" ref="Q11">INDEX($C$2:$C$14395,$O11,0)</f>
        <v>197.5104</v>
      </c>
      <c r="R11" cm="1">
        <f t="array" ref="R11">INDEX($D$2:$D$14395,$N11,0)</f>
        <v>-1207.047624</v>
      </c>
      <c r="S11" cm="1">
        <f t="array" ref="S11">INDEX($D$2:$D$14395,$O11,0)</f>
        <v>-1207.0598160000002</v>
      </c>
      <c r="T11">
        <f t="shared" si="10"/>
        <v>-1207.05266336</v>
      </c>
      <c r="U11">
        <f t="shared" si="11"/>
        <v>121.37216293250641</v>
      </c>
      <c r="V11">
        <f t="shared" si="12"/>
        <v>120.7801036011283</v>
      </c>
      <c r="W11">
        <f t="shared" si="13"/>
        <v>1351.3871629325065</v>
      </c>
      <c r="X11">
        <f t="shared" si="14"/>
        <v>1519.1121629325064</v>
      </c>
      <c r="Y11">
        <f t="shared" si="15"/>
        <v>120.7801036011283</v>
      </c>
      <c r="Z11">
        <f t="shared" si="16"/>
        <v>109.06917002646992</v>
      </c>
      <c r="AA11">
        <f t="shared" si="17"/>
        <v>1217.6421629325064</v>
      </c>
    </row>
    <row r="12" spans="1:31" x14ac:dyDescent="0.35">
      <c r="A12">
        <v>30</v>
      </c>
      <c r="B12">
        <v>-3956.71</v>
      </c>
      <c r="C12">
        <f t="shared" si="7"/>
        <v>9.1440000000000001</v>
      </c>
      <c r="D12">
        <f t="shared" si="0"/>
        <v>-1206.005208</v>
      </c>
      <c r="E12">
        <f t="shared" si="1"/>
        <v>121.26683867742003</v>
      </c>
      <c r="F12">
        <f t="shared" si="2"/>
        <v>120.67529312289601</v>
      </c>
      <c r="G12">
        <f t="shared" si="3"/>
        <v>1519.0068386774201</v>
      </c>
      <c r="H12">
        <f t="shared" si="4"/>
        <v>120.67529312289601</v>
      </c>
      <c r="I12">
        <v>1</v>
      </c>
      <c r="J12">
        <f t="shared" si="5"/>
        <v>108.97452205441131</v>
      </c>
      <c r="K12">
        <f t="shared" si="6"/>
        <v>1217.5368386774201</v>
      </c>
      <c r="M12">
        <v>235.07395200000002</v>
      </c>
      <c r="N12">
        <f t="shared" si="8"/>
        <v>258</v>
      </c>
      <c r="O12">
        <f t="shared" si="9"/>
        <v>259</v>
      </c>
      <c r="P12" cm="1">
        <f t="array" ref="P12">INDEX($C$2:$C$14395,$N12,0)</f>
        <v>235.0008</v>
      </c>
      <c r="Q12" cm="1">
        <f t="array" ref="Q12">INDEX($C$2:$C$14395,$O12,0)</f>
        <v>235.9152</v>
      </c>
      <c r="R12" cm="1">
        <f t="array" ref="R12">INDEX($D$2:$D$14395,$N12,0)</f>
        <v>-1207.773048</v>
      </c>
      <c r="S12" cm="1">
        <f t="array" ref="S12">INDEX($D$2:$D$14395,$O12,0)</f>
        <v>-1207.788288</v>
      </c>
      <c r="T12">
        <f t="shared" si="10"/>
        <v>-1207.7742671999999</v>
      </c>
      <c r="U12">
        <f t="shared" si="11"/>
        <v>121.444722002628</v>
      </c>
      <c r="V12">
        <f t="shared" si="12"/>
        <v>120.85230872456641</v>
      </c>
      <c r="W12">
        <f t="shared" si="13"/>
        <v>1351.459722002628</v>
      </c>
      <c r="X12">
        <f t="shared" si="14"/>
        <v>1519.184722002628</v>
      </c>
      <c r="Y12">
        <f t="shared" si="15"/>
        <v>120.85230872456641</v>
      </c>
      <c r="Z12">
        <f t="shared" si="16"/>
        <v>109.13437408450795</v>
      </c>
      <c r="AA12">
        <f t="shared" si="17"/>
        <v>1217.7147220026279</v>
      </c>
    </row>
    <row r="13" spans="1:31" x14ac:dyDescent="0.35">
      <c r="A13">
        <v>33</v>
      </c>
      <c r="B13">
        <v>-3956.7</v>
      </c>
      <c r="C13">
        <f t="shared" si="7"/>
        <v>10.058400000000001</v>
      </c>
      <c r="D13">
        <f t="shared" si="0"/>
        <v>-1206.00216</v>
      </c>
      <c r="E13">
        <f t="shared" si="1"/>
        <v>121.2665321934</v>
      </c>
      <c r="F13">
        <f t="shared" si="2"/>
        <v>120.67498813392002</v>
      </c>
      <c r="G13">
        <f t="shared" si="3"/>
        <v>1519.0065321934001</v>
      </c>
      <c r="H13">
        <f t="shared" si="4"/>
        <v>120.67498813392002</v>
      </c>
      <c r="I13">
        <v>1</v>
      </c>
      <c r="J13">
        <f t="shared" si="5"/>
        <v>108.97424663740563</v>
      </c>
      <c r="K13">
        <f t="shared" si="6"/>
        <v>1217.5365321934</v>
      </c>
      <c r="M13">
        <v>273.17395200000004</v>
      </c>
      <c r="N13">
        <f t="shared" si="8"/>
        <v>299</v>
      </c>
      <c r="O13">
        <f t="shared" si="9"/>
        <v>300</v>
      </c>
      <c r="P13" cm="1">
        <f t="array" ref="P13">INDEX($C$2:$C$14395,$N13,0)</f>
        <v>272.49119999999999</v>
      </c>
      <c r="Q13" cm="1">
        <f t="array" ref="Q13">INDEX($C$2:$C$14395,$O13,0)</f>
        <v>273.40559999999999</v>
      </c>
      <c r="R13" cm="1">
        <f t="array" ref="R13">INDEX($D$2:$D$14395,$N13,0)</f>
        <v>-1208.2698720000001</v>
      </c>
      <c r="S13" cm="1">
        <f t="array" ref="S13">INDEX($D$2:$D$14395,$O13,0)</f>
        <v>-1208.2790160000002</v>
      </c>
      <c r="T13">
        <f t="shared" si="10"/>
        <v>-1208.2766995200002</v>
      </c>
      <c r="U13">
        <f t="shared" si="11"/>
        <v>121.49524282848483</v>
      </c>
      <c r="V13">
        <f t="shared" si="12"/>
        <v>120.90258310737026</v>
      </c>
      <c r="W13">
        <f t="shared" si="13"/>
        <v>1351.5102428284849</v>
      </c>
      <c r="X13">
        <f t="shared" si="14"/>
        <v>1519.2352428284848</v>
      </c>
      <c r="Y13">
        <f t="shared" si="15"/>
        <v>120.90258310737026</v>
      </c>
      <c r="Z13">
        <f t="shared" si="16"/>
        <v>109.17977382372426</v>
      </c>
      <c r="AA13">
        <f t="shared" si="17"/>
        <v>1217.7652428284848</v>
      </c>
    </row>
    <row r="14" spans="1:31" x14ac:dyDescent="0.35">
      <c r="A14">
        <v>36</v>
      </c>
      <c r="B14">
        <v>-3956.69</v>
      </c>
      <c r="C14">
        <f t="shared" si="7"/>
        <v>10.972800000000001</v>
      </c>
      <c r="D14">
        <f t="shared" si="0"/>
        <v>-1205.999112</v>
      </c>
      <c r="E14">
        <f t="shared" si="1"/>
        <v>121.26622570938001</v>
      </c>
      <c r="F14">
        <f t="shared" si="2"/>
        <v>120.67468314494401</v>
      </c>
      <c r="G14">
        <f t="shared" si="3"/>
        <v>1519.00622570938</v>
      </c>
      <c r="H14">
        <f t="shared" si="4"/>
        <v>120.67468314494401</v>
      </c>
      <c r="I14">
        <v>1</v>
      </c>
      <c r="J14">
        <f t="shared" si="5"/>
        <v>108.97397122039992</v>
      </c>
      <c r="K14">
        <f t="shared" si="6"/>
        <v>1217.53622570938</v>
      </c>
      <c r="M14">
        <v>311.27395200000001</v>
      </c>
      <c r="N14">
        <f t="shared" si="8"/>
        <v>341</v>
      </c>
      <c r="O14">
        <f t="shared" si="9"/>
        <v>342</v>
      </c>
      <c r="P14" cm="1">
        <f t="array" ref="P14">INDEX($C$2:$C$14395,$N14,0)</f>
        <v>310.89600000000002</v>
      </c>
      <c r="Q14" cm="1">
        <f t="array" ref="Q14">INDEX($C$2:$C$14395,$O14,0)</f>
        <v>311.81040000000002</v>
      </c>
      <c r="R14" cm="1">
        <f t="array" ref="R14">INDEX($D$2:$D$14395,$N14,0)</f>
        <v>-1208.5929599999999</v>
      </c>
      <c r="S14" cm="1">
        <f t="array" ref="S14">INDEX($D$2:$D$14395,$O14,0)</f>
        <v>-1208.599056</v>
      </c>
      <c r="T14">
        <f t="shared" si="10"/>
        <v>-1208.5954796799999</v>
      </c>
      <c r="U14">
        <f t="shared" si="11"/>
        <v>121.52729697052321</v>
      </c>
      <c r="V14">
        <f t="shared" si="12"/>
        <v>120.93448088774016</v>
      </c>
      <c r="W14">
        <f t="shared" si="13"/>
        <v>1351.5422969705232</v>
      </c>
      <c r="X14">
        <f t="shared" si="14"/>
        <v>1519.2672969705231</v>
      </c>
      <c r="Y14">
        <f t="shared" si="15"/>
        <v>120.93448088774016</v>
      </c>
      <c r="Z14">
        <f t="shared" si="16"/>
        <v>109.20857877029164</v>
      </c>
      <c r="AA14">
        <f t="shared" si="17"/>
        <v>1217.7972969705231</v>
      </c>
    </row>
    <row r="15" spans="1:31" x14ac:dyDescent="0.35">
      <c r="A15">
        <v>39</v>
      </c>
      <c r="B15">
        <v>-3956.69</v>
      </c>
      <c r="C15">
        <f t="shared" si="7"/>
        <v>11.8872</v>
      </c>
      <c r="D15">
        <f t="shared" si="0"/>
        <v>-1205.999112</v>
      </c>
      <c r="E15">
        <f t="shared" si="1"/>
        <v>121.26622570938001</v>
      </c>
      <c r="F15">
        <f t="shared" si="2"/>
        <v>120.67468314494401</v>
      </c>
      <c r="G15">
        <f t="shared" si="3"/>
        <v>1519.00622570938</v>
      </c>
      <c r="H15">
        <f t="shared" si="4"/>
        <v>120.67468314494401</v>
      </c>
      <c r="I15">
        <v>1</v>
      </c>
      <c r="J15">
        <f t="shared" si="5"/>
        <v>108.97397122039992</v>
      </c>
      <c r="K15">
        <f t="shared" si="6"/>
        <v>1217.53622570938</v>
      </c>
      <c r="M15">
        <v>349.37395200000003</v>
      </c>
      <c r="N15">
        <f t="shared" si="8"/>
        <v>383</v>
      </c>
      <c r="O15">
        <f t="shared" si="9"/>
        <v>384</v>
      </c>
      <c r="P15" cm="1">
        <f t="array" ref="P15">INDEX($C$2:$C$14395,$N15,0)</f>
        <v>349.30080000000004</v>
      </c>
      <c r="Q15" cm="1">
        <f t="array" ref="Q15">INDEX($C$2:$C$14395,$O15,0)</f>
        <v>350.21520000000004</v>
      </c>
      <c r="R15" cm="1">
        <f t="array" ref="R15">INDEX($D$2:$D$14395,$N15,0)</f>
        <v>-1209.0013920000001</v>
      </c>
      <c r="S15" cm="1">
        <f t="array" ref="S15">INDEX($D$2:$D$14395,$O15,0)</f>
        <v>-1209.007488</v>
      </c>
      <c r="T15">
        <f t="shared" si="10"/>
        <v>-1209.0018796800002</v>
      </c>
      <c r="U15">
        <f t="shared" si="11"/>
        <v>121.56816150652323</v>
      </c>
      <c r="V15">
        <f t="shared" si="12"/>
        <v>120.97514608454017</v>
      </c>
      <c r="W15">
        <f t="shared" si="13"/>
        <v>1351.5831615065233</v>
      </c>
      <c r="X15">
        <f t="shared" si="14"/>
        <v>1519.3081615065232</v>
      </c>
      <c r="Y15">
        <f t="shared" si="15"/>
        <v>120.97514608454017</v>
      </c>
      <c r="Z15">
        <f t="shared" si="16"/>
        <v>109.24530103771565</v>
      </c>
      <c r="AA15">
        <f t="shared" si="17"/>
        <v>1217.8381615065232</v>
      </c>
    </row>
    <row r="16" spans="1:31" x14ac:dyDescent="0.35">
      <c r="A16">
        <v>42</v>
      </c>
      <c r="B16">
        <v>-3956.7</v>
      </c>
      <c r="C16">
        <f t="shared" si="7"/>
        <v>12.801600000000001</v>
      </c>
      <c r="D16">
        <f t="shared" si="0"/>
        <v>-1206.00216</v>
      </c>
      <c r="E16">
        <f t="shared" si="1"/>
        <v>121.2665321934</v>
      </c>
      <c r="F16">
        <f t="shared" si="2"/>
        <v>120.67498813392002</v>
      </c>
      <c r="G16">
        <f t="shared" si="3"/>
        <v>1519.0065321934001</v>
      </c>
      <c r="H16">
        <f t="shared" si="4"/>
        <v>120.67498813392002</v>
      </c>
      <c r="I16">
        <v>1</v>
      </c>
      <c r="J16">
        <f t="shared" si="5"/>
        <v>108.97424663740563</v>
      </c>
      <c r="K16">
        <f t="shared" si="6"/>
        <v>1217.5365321934</v>
      </c>
      <c r="M16">
        <v>387.473952</v>
      </c>
      <c r="N16">
        <f t="shared" si="8"/>
        <v>396</v>
      </c>
      <c r="O16">
        <f t="shared" si="9"/>
        <v>397</v>
      </c>
      <c r="P16" cm="1">
        <f t="array" ref="P16">INDEX($C$2:$C$14395,$N16,0)</f>
        <v>361.18800000000005</v>
      </c>
      <c r="Q16" cm="1">
        <f t="array" ref="Q16">INDEX($C$2:$C$14395,$O16,0)</f>
        <v>0</v>
      </c>
      <c r="R16" cm="1">
        <f t="array" ref="R16">INDEX($D$2:$D$14395,$N16,0)</f>
        <v>-1209.0989280000001</v>
      </c>
      <c r="S16" cm="1">
        <f t="array" ref="S16">INDEX($D$2:$D$14395,$O16,0)</f>
        <v>0</v>
      </c>
      <c r="T16">
        <f t="shared" si="10"/>
        <v>-1297.0927605322531</v>
      </c>
      <c r="U16">
        <f t="shared" si="11"/>
        <v>130.42591980341936</v>
      </c>
      <c r="V16">
        <f t="shared" si="12"/>
        <v>129.78969580437831</v>
      </c>
      <c r="W16">
        <f t="shared" si="13"/>
        <v>1360.4409198034195</v>
      </c>
      <c r="X16">
        <f t="shared" si="14"/>
        <v>1528.1659198034195</v>
      </c>
      <c r="Y16">
        <f t="shared" si="15"/>
        <v>129.78969580437831</v>
      </c>
      <c r="Z16">
        <f t="shared" si="16"/>
        <v>117.20518510334595</v>
      </c>
      <c r="AA16">
        <f t="shared" si="17"/>
        <v>1226.6959198034194</v>
      </c>
    </row>
    <row r="17" spans="1:27" x14ac:dyDescent="0.35">
      <c r="A17">
        <v>45</v>
      </c>
      <c r="B17">
        <v>-3956.71</v>
      </c>
      <c r="C17">
        <f t="shared" si="7"/>
        <v>13.716000000000001</v>
      </c>
      <c r="D17">
        <f t="shared" si="0"/>
        <v>-1206.005208</v>
      </c>
      <c r="E17">
        <f t="shared" si="1"/>
        <v>121.26683867742003</v>
      </c>
      <c r="F17">
        <f t="shared" si="2"/>
        <v>120.67529312289601</v>
      </c>
      <c r="G17">
        <f t="shared" si="3"/>
        <v>1519.0068386774201</v>
      </c>
      <c r="H17">
        <f t="shared" si="4"/>
        <v>120.67529312289601</v>
      </c>
      <c r="I17">
        <v>1</v>
      </c>
      <c r="J17">
        <f t="shared" si="5"/>
        <v>108.97452205441131</v>
      </c>
      <c r="K17">
        <f t="shared" si="6"/>
        <v>1217.5368386774201</v>
      </c>
      <c r="M17">
        <v>425.57395200000002</v>
      </c>
      <c r="N17">
        <f t="shared" si="8"/>
        <v>396</v>
      </c>
      <c r="O17">
        <f t="shared" si="9"/>
        <v>397</v>
      </c>
      <c r="P17" cm="1">
        <f t="array" ref="P17">INDEX($C$2:$C$14395,$N17,0)</f>
        <v>361.18800000000005</v>
      </c>
      <c r="Q17" cm="1">
        <f t="array" ref="Q17">INDEX($C$2:$C$14395,$O17,0)</f>
        <v>0</v>
      </c>
      <c r="R17" cm="1">
        <f t="array" ref="R17">INDEX($D$2:$D$14395,$N17,0)</f>
        <v>-1209.0989280000001</v>
      </c>
      <c r="S17" cm="1">
        <f t="array" ref="S17">INDEX($D$2:$D$14395,$O17,0)</f>
        <v>0</v>
      </c>
      <c r="T17">
        <f t="shared" si="10"/>
        <v>-1424.6348415449115</v>
      </c>
      <c r="U17">
        <f t="shared" si="11"/>
        <v>143.25059490444474</v>
      </c>
      <c r="V17">
        <f t="shared" si="12"/>
        <v>142.55181151466695</v>
      </c>
      <c r="W17">
        <f t="shared" si="13"/>
        <v>1373.2655949044449</v>
      </c>
      <c r="X17">
        <f t="shared" si="14"/>
        <v>1540.9905949044448</v>
      </c>
      <c r="Y17">
        <f t="shared" si="15"/>
        <v>142.55181151466695</v>
      </c>
      <c r="Z17">
        <f t="shared" si="16"/>
        <v>128.72987606486248</v>
      </c>
      <c r="AA17">
        <f t="shared" si="17"/>
        <v>1239.5205949044448</v>
      </c>
    </row>
    <row r="18" spans="1:27" x14ac:dyDescent="0.35">
      <c r="A18">
        <v>48</v>
      </c>
      <c r="B18">
        <v>-3956.72</v>
      </c>
      <c r="C18">
        <f t="shared" si="7"/>
        <v>14.630400000000002</v>
      </c>
      <c r="D18">
        <f t="shared" si="0"/>
        <v>-1206.0082560000001</v>
      </c>
      <c r="E18">
        <f t="shared" si="1"/>
        <v>121.26714516144001</v>
      </c>
      <c r="F18">
        <f t="shared" si="2"/>
        <v>120.67559811187202</v>
      </c>
      <c r="G18">
        <f t="shared" si="3"/>
        <v>1519.0071451614401</v>
      </c>
      <c r="H18">
        <f t="shared" si="4"/>
        <v>120.67559811187202</v>
      </c>
      <c r="I18">
        <v>1</v>
      </c>
      <c r="J18">
        <f t="shared" si="5"/>
        <v>108.97479747141696</v>
      </c>
      <c r="K18">
        <f t="shared" si="6"/>
        <v>1217.5371451614401</v>
      </c>
      <c r="M18">
        <v>463.67395200000004</v>
      </c>
      <c r="N18">
        <f t="shared" si="8"/>
        <v>396</v>
      </c>
      <c r="O18">
        <f t="shared" si="9"/>
        <v>397</v>
      </c>
      <c r="P18" cm="1">
        <f t="array" ref="P18">INDEX($C$2:$C$14395,$N18,0)</f>
        <v>361.18800000000005</v>
      </c>
      <c r="Q18" cm="1">
        <f t="array" ref="Q18">INDEX($C$2:$C$14395,$O18,0)</f>
        <v>0</v>
      </c>
      <c r="R18" cm="1">
        <f t="array" ref="R18">INDEX($D$2:$D$14395,$N18,0)</f>
        <v>-1209.0989280000001</v>
      </c>
      <c r="S18" cm="1">
        <f t="array" ref="S18">INDEX($D$2:$D$14395,$O18,0)</f>
        <v>0</v>
      </c>
      <c r="T18">
        <f t="shared" si="10"/>
        <v>-1552.1769225575697</v>
      </c>
      <c r="U18">
        <f t="shared" si="11"/>
        <v>156.07527000547006</v>
      </c>
      <c r="V18">
        <f t="shared" si="12"/>
        <v>155.31392722495553</v>
      </c>
      <c r="W18">
        <f t="shared" si="13"/>
        <v>1386.0902700054701</v>
      </c>
      <c r="X18">
        <f t="shared" si="14"/>
        <v>1553.81527000547</v>
      </c>
      <c r="Y18">
        <f t="shared" si="15"/>
        <v>155.31392722495553</v>
      </c>
      <c r="Z18">
        <f t="shared" si="16"/>
        <v>140.25456702637899</v>
      </c>
      <c r="AA18">
        <f t="shared" si="17"/>
        <v>1252.34527000547</v>
      </c>
    </row>
    <row r="19" spans="1:27" x14ac:dyDescent="0.35">
      <c r="A19">
        <v>51</v>
      </c>
      <c r="B19">
        <v>-3956.71</v>
      </c>
      <c r="C19">
        <f t="shared" si="7"/>
        <v>15.5448</v>
      </c>
      <c r="D19">
        <f t="shared" si="0"/>
        <v>-1206.005208</v>
      </c>
      <c r="E19">
        <f t="shared" si="1"/>
        <v>121.26683867742003</v>
      </c>
      <c r="F19">
        <f t="shared" si="2"/>
        <v>120.67529312289601</v>
      </c>
      <c r="G19">
        <f t="shared" si="3"/>
        <v>1519.0068386774201</v>
      </c>
      <c r="H19">
        <f t="shared" si="4"/>
        <v>120.67529312289601</v>
      </c>
      <c r="I19">
        <v>1</v>
      </c>
      <c r="J19">
        <f t="shared" si="5"/>
        <v>108.97452205441131</v>
      </c>
      <c r="K19">
        <f t="shared" si="6"/>
        <v>1217.5368386774201</v>
      </c>
      <c r="M19">
        <v>497.73535200000003</v>
      </c>
      <c r="N19">
        <f t="shared" si="8"/>
        <v>396</v>
      </c>
      <c r="O19">
        <f t="shared" si="9"/>
        <v>397</v>
      </c>
      <c r="P19" cm="1">
        <f t="array" ref="P19">INDEX($C$2:$C$14395,$N19,0)</f>
        <v>361.18800000000005</v>
      </c>
      <c r="Q19" cm="1">
        <f t="array" ref="Q19">INDEX($C$2:$C$14395,$O19,0)</f>
        <v>0</v>
      </c>
      <c r="R19" cm="1">
        <f t="array" ref="R19">INDEX($D$2:$D$14395,$N19,0)</f>
        <v>-1209.0989280000001</v>
      </c>
      <c r="S19" cm="1">
        <f t="array" ref="S19">INDEX($D$2:$D$14395,$O19,0)</f>
        <v>0</v>
      </c>
      <c r="T19">
        <f t="shared" si="10"/>
        <v>-1666.1995429828862</v>
      </c>
      <c r="U19">
        <f t="shared" si="11"/>
        <v>167.54052954578668</v>
      </c>
      <c r="V19">
        <f t="shared" si="12"/>
        <v>166.72325866995354</v>
      </c>
      <c r="W19">
        <f t="shared" si="13"/>
        <v>1397.5555295457868</v>
      </c>
      <c r="X19">
        <f t="shared" si="14"/>
        <v>1565.2805295457867</v>
      </c>
      <c r="Y19">
        <f t="shared" si="15"/>
        <v>166.72325866995354</v>
      </c>
      <c r="Z19">
        <f t="shared" si="16"/>
        <v>150.55764074597474</v>
      </c>
      <c r="AA19">
        <f t="shared" si="17"/>
        <v>1263.8105295457867</v>
      </c>
    </row>
    <row r="20" spans="1:27" x14ac:dyDescent="0.35">
      <c r="A20">
        <v>54</v>
      </c>
      <c r="B20">
        <v>-3956.69</v>
      </c>
      <c r="C20">
        <f t="shared" si="7"/>
        <v>16.459199999999999</v>
      </c>
      <c r="D20">
        <f t="shared" si="0"/>
        <v>-1205.999112</v>
      </c>
      <c r="E20">
        <f t="shared" si="1"/>
        <v>121.26622570938001</v>
      </c>
      <c r="F20">
        <f t="shared" si="2"/>
        <v>120.67468314494401</v>
      </c>
      <c r="G20">
        <f t="shared" si="3"/>
        <v>1519.00622570938</v>
      </c>
      <c r="H20">
        <f t="shared" si="4"/>
        <v>120.67468314494401</v>
      </c>
      <c r="I20">
        <v>1</v>
      </c>
      <c r="J20">
        <f t="shared" si="5"/>
        <v>108.97397122039992</v>
      </c>
      <c r="K20">
        <f t="shared" si="6"/>
        <v>1217.53622570938</v>
      </c>
      <c r="M20">
        <v>527.758152</v>
      </c>
      <c r="N20">
        <f t="shared" si="8"/>
        <v>396</v>
      </c>
      <c r="O20">
        <f t="shared" si="9"/>
        <v>397</v>
      </c>
      <c r="P20" cm="1">
        <f t="array" ref="P20">INDEX($C$2:$C$14395,$N20,0)</f>
        <v>361.18800000000005</v>
      </c>
      <c r="Q20" cm="1">
        <f t="array" ref="Q20">INDEX($C$2:$C$14395,$O20,0)</f>
        <v>0</v>
      </c>
      <c r="R20" cm="1">
        <f t="array" ref="R20">INDEX($D$2:$D$14395,$N20,0)</f>
        <v>-1209.0989280000001</v>
      </c>
      <c r="S20" cm="1">
        <f t="array" ref="S20">INDEX($D$2:$D$14395,$O20,0)</f>
        <v>0</v>
      </c>
      <c r="T20">
        <f t="shared" si="10"/>
        <v>-1766.7027028208606</v>
      </c>
      <c r="U20">
        <f t="shared" si="11"/>
        <v>177.64637352539458</v>
      </c>
      <c r="V20">
        <f t="shared" si="12"/>
        <v>176.77980584966096</v>
      </c>
      <c r="W20">
        <f t="shared" si="13"/>
        <v>1407.6613735253948</v>
      </c>
      <c r="X20">
        <f t="shared" si="14"/>
        <v>1575.3863735253947</v>
      </c>
      <c r="Y20">
        <f t="shared" si="15"/>
        <v>176.77980584966096</v>
      </c>
      <c r="Z20">
        <f t="shared" si="16"/>
        <v>159.63909722364974</v>
      </c>
      <c r="AA20">
        <f t="shared" si="17"/>
        <v>1273.9163735253946</v>
      </c>
    </row>
    <row r="21" spans="1:27" x14ac:dyDescent="0.35">
      <c r="A21">
        <v>57</v>
      </c>
      <c r="B21">
        <v>-3956.67</v>
      </c>
      <c r="C21">
        <f t="shared" si="7"/>
        <v>17.3736</v>
      </c>
      <c r="D21">
        <f t="shared" si="0"/>
        <v>-1205.9930160000001</v>
      </c>
      <c r="E21">
        <f t="shared" si="1"/>
        <v>121.26561274134001</v>
      </c>
      <c r="F21">
        <f t="shared" si="2"/>
        <v>120.67407316699202</v>
      </c>
      <c r="G21">
        <f t="shared" si="3"/>
        <v>1519.00561274134</v>
      </c>
      <c r="H21">
        <f t="shared" si="4"/>
        <v>120.67407316699202</v>
      </c>
      <c r="I21">
        <v>1</v>
      </c>
      <c r="J21">
        <f t="shared" si="5"/>
        <v>108.97342038638858</v>
      </c>
      <c r="K21">
        <f t="shared" si="6"/>
        <v>1217.5356127413399</v>
      </c>
      <c r="M21">
        <v>554.12563799999998</v>
      </c>
      <c r="N21">
        <f t="shared" si="8"/>
        <v>396</v>
      </c>
      <c r="O21">
        <f t="shared" si="9"/>
        <v>397</v>
      </c>
      <c r="P21" cm="1">
        <f t="array" ref="P21">INDEX($C$2:$C$14395,$N21,0)</f>
        <v>361.18800000000005</v>
      </c>
      <c r="Q21" cm="1">
        <f t="array" ref="Q21">INDEX($C$2:$C$14395,$O21,0)</f>
        <v>0</v>
      </c>
      <c r="R21" cm="1">
        <f t="array" ref="R21">INDEX($D$2:$D$14395,$N21,0)</f>
        <v>-1209.0989280000001</v>
      </c>
      <c r="S21" cm="1">
        <f t="array" ref="S21">INDEX($D$2:$D$14395,$O21,0)</f>
        <v>0</v>
      </c>
      <c r="T21">
        <f t="shared" si="10"/>
        <v>-1854.969475406481</v>
      </c>
      <c r="U21">
        <f t="shared" si="11"/>
        <v>186.52181817581021</v>
      </c>
      <c r="V21">
        <f t="shared" si="12"/>
        <v>185.61195564812331</v>
      </c>
      <c r="W21">
        <f t="shared" si="13"/>
        <v>1416.5368181758104</v>
      </c>
      <c r="X21">
        <f t="shared" si="14"/>
        <v>1584.2618181758103</v>
      </c>
      <c r="Y21">
        <f t="shared" si="15"/>
        <v>185.61195564812331</v>
      </c>
      <c r="Z21">
        <f t="shared" si="16"/>
        <v>167.61487485047687</v>
      </c>
      <c r="AA21">
        <f t="shared" si="17"/>
        <v>1282.7918181758102</v>
      </c>
    </row>
    <row r="22" spans="1:27" x14ac:dyDescent="0.35">
      <c r="A22">
        <v>60</v>
      </c>
      <c r="B22">
        <v>-3956.66</v>
      </c>
      <c r="C22">
        <f t="shared" si="7"/>
        <v>18.288</v>
      </c>
      <c r="D22">
        <f t="shared" si="0"/>
        <v>-1205.9899680000001</v>
      </c>
      <c r="E22">
        <f t="shared" si="1"/>
        <v>121.26530625732001</v>
      </c>
      <c r="F22">
        <f t="shared" si="2"/>
        <v>120.67376817801602</v>
      </c>
      <c r="G22">
        <f t="shared" si="3"/>
        <v>1519.0053062573199</v>
      </c>
      <c r="H22">
        <f t="shared" si="4"/>
        <v>120.67376817801602</v>
      </c>
      <c r="I22">
        <v>1</v>
      </c>
      <c r="J22">
        <f t="shared" si="5"/>
        <v>108.9731449693829</v>
      </c>
      <c r="K22">
        <f t="shared" si="6"/>
        <v>1217.5353062573199</v>
      </c>
      <c r="M22">
        <v>576.83780999999999</v>
      </c>
      <c r="N22">
        <f t="shared" si="8"/>
        <v>396</v>
      </c>
      <c r="O22">
        <f t="shared" si="9"/>
        <v>397</v>
      </c>
      <c r="P22" cm="1">
        <f t="array" ref="P22">INDEX($C$2:$C$14395,$N22,0)</f>
        <v>361.18800000000005</v>
      </c>
      <c r="Q22" cm="1">
        <f t="array" ref="Q22">INDEX($C$2:$C$14395,$O22,0)</f>
        <v>0</v>
      </c>
      <c r="R22" cm="1">
        <f t="array" ref="R22">INDEX($D$2:$D$14395,$N22,0)</f>
        <v>-1209.0989280000001</v>
      </c>
      <c r="S22" cm="1">
        <f t="array" ref="S22">INDEX($D$2:$D$14395,$O22,0)</f>
        <v>0</v>
      </c>
      <c r="T22">
        <f t="shared" si="10"/>
        <v>-1930.9998607397467</v>
      </c>
      <c r="U22">
        <f t="shared" si="11"/>
        <v>194.1668634970334</v>
      </c>
      <c r="V22">
        <f t="shared" si="12"/>
        <v>193.21970806534057</v>
      </c>
      <c r="W22">
        <f t="shared" si="13"/>
        <v>1424.1818634970334</v>
      </c>
      <c r="X22">
        <f t="shared" si="14"/>
        <v>1591.9068634970333</v>
      </c>
      <c r="Y22">
        <f t="shared" si="15"/>
        <v>193.21970806534057</v>
      </c>
      <c r="Z22">
        <f t="shared" si="16"/>
        <v>174.48497362645608</v>
      </c>
      <c r="AA22">
        <f t="shared" si="17"/>
        <v>1290.4368634970333</v>
      </c>
    </row>
    <row r="23" spans="1:27" x14ac:dyDescent="0.35">
      <c r="A23">
        <v>63</v>
      </c>
      <c r="B23">
        <v>-3956.65</v>
      </c>
      <c r="C23">
        <f t="shared" si="7"/>
        <v>19.202400000000001</v>
      </c>
      <c r="D23">
        <f t="shared" si="0"/>
        <v>-1205.9869200000001</v>
      </c>
      <c r="E23">
        <f t="shared" si="1"/>
        <v>121.2649997733</v>
      </c>
      <c r="F23">
        <f t="shared" si="2"/>
        <v>120.67346318904001</v>
      </c>
      <c r="G23">
        <f t="shared" si="3"/>
        <v>1519.0049997732999</v>
      </c>
      <c r="H23">
        <f t="shared" si="4"/>
        <v>120.67346318904001</v>
      </c>
      <c r="I23">
        <v>1</v>
      </c>
      <c r="J23">
        <f t="shared" si="5"/>
        <v>108.9728695523772</v>
      </c>
      <c r="K23">
        <f t="shared" si="6"/>
        <v>1217.5349997732999</v>
      </c>
      <c r="M23">
        <v>599.55074400000001</v>
      </c>
      <c r="N23">
        <f t="shared" si="8"/>
        <v>396</v>
      </c>
      <c r="O23">
        <f t="shared" si="9"/>
        <v>397</v>
      </c>
      <c r="P23" cm="1">
        <f t="array" ref="P23">INDEX($C$2:$C$14395,$N23,0)</f>
        <v>361.18800000000005</v>
      </c>
      <c r="Q23" cm="1">
        <f t="array" ref="Q23">INDEX($C$2:$C$14395,$O23,0)</f>
        <v>0</v>
      </c>
      <c r="R23" cm="1">
        <f t="array" ref="R23">INDEX($D$2:$D$14395,$N23,0)</f>
        <v>-1209.0989280000001</v>
      </c>
      <c r="S23" cm="1">
        <f t="array" ref="S23">INDEX($D$2:$D$14395,$O23,0)</f>
        <v>0</v>
      </c>
      <c r="T23">
        <f t="shared" si="10"/>
        <v>-2007.0327969146329</v>
      </c>
      <c r="U23">
        <f t="shared" si="11"/>
        <v>201.81216531175863</v>
      </c>
      <c r="V23">
        <f t="shared" si="12"/>
        <v>200.82771572487201</v>
      </c>
      <c r="W23">
        <f t="shared" si="13"/>
        <v>1431.8271653117588</v>
      </c>
      <c r="X23">
        <f t="shared" si="14"/>
        <v>1599.5521653117587</v>
      </c>
      <c r="Y23">
        <f t="shared" si="15"/>
        <v>200.82771572487201</v>
      </c>
      <c r="Z23">
        <f t="shared" si="16"/>
        <v>181.3553028962545</v>
      </c>
      <c r="AA23">
        <f t="shared" si="17"/>
        <v>1298.0821653117587</v>
      </c>
    </row>
    <row r="24" spans="1:27" x14ac:dyDescent="0.35">
      <c r="A24">
        <v>66</v>
      </c>
      <c r="B24">
        <v>-3956.63</v>
      </c>
      <c r="C24">
        <f t="shared" si="7"/>
        <v>20.116800000000001</v>
      </c>
      <c r="D24">
        <f t="shared" si="0"/>
        <v>-1205.980824</v>
      </c>
      <c r="E24">
        <f t="shared" si="1"/>
        <v>121.26438680525999</v>
      </c>
      <c r="F24">
        <f t="shared" si="2"/>
        <v>120.672853211088</v>
      </c>
      <c r="G24">
        <f t="shared" si="3"/>
        <v>1519.0043868052601</v>
      </c>
      <c r="H24">
        <f t="shared" si="4"/>
        <v>120.672853211088</v>
      </c>
      <c r="I24">
        <v>1</v>
      </c>
      <c r="J24">
        <f t="shared" si="5"/>
        <v>108.97231871836586</v>
      </c>
      <c r="K24">
        <f t="shared" si="6"/>
        <v>1217.5343868052601</v>
      </c>
      <c r="M24">
        <v>622.26444000000004</v>
      </c>
      <c r="N24">
        <f t="shared" si="8"/>
        <v>396</v>
      </c>
      <c r="O24">
        <f t="shared" si="9"/>
        <v>397</v>
      </c>
      <c r="P24" cm="1">
        <f t="array" ref="P24">INDEX($C$2:$C$14395,$N24,0)</f>
        <v>361.18800000000005</v>
      </c>
      <c r="Q24" cm="1">
        <f t="array" ref="Q24">INDEX($C$2:$C$14395,$O24,0)</f>
        <v>0</v>
      </c>
      <c r="R24" cm="1">
        <f t="array" ref="R24">INDEX($D$2:$D$14395,$N24,0)</f>
        <v>-1209.0989280000001</v>
      </c>
      <c r="S24" cm="1">
        <f t="array" ref="S24">INDEX($D$2:$D$14395,$O24,0)</f>
        <v>0</v>
      </c>
      <c r="T24">
        <f t="shared" si="10"/>
        <v>-2083.0682839311394</v>
      </c>
      <c r="U24">
        <f t="shared" si="11"/>
        <v>209.45772361998593</v>
      </c>
      <c r="V24">
        <f t="shared" si="12"/>
        <v>208.43597862671771</v>
      </c>
      <c r="W24">
        <f t="shared" si="13"/>
        <v>1439.472723619986</v>
      </c>
      <c r="X24">
        <f t="shared" si="14"/>
        <v>1607.1977236199859</v>
      </c>
      <c r="Y24">
        <f t="shared" si="15"/>
        <v>208.43597862671771</v>
      </c>
      <c r="Z24">
        <f t="shared" si="16"/>
        <v>188.22586265987221</v>
      </c>
      <c r="AA24">
        <f t="shared" si="17"/>
        <v>1305.7277236199859</v>
      </c>
    </row>
    <row r="25" spans="1:27" x14ac:dyDescent="0.35">
      <c r="A25">
        <v>69</v>
      </c>
      <c r="B25">
        <v>-3956.62</v>
      </c>
      <c r="C25">
        <f t="shared" si="7"/>
        <v>21.031200000000002</v>
      </c>
      <c r="D25">
        <f t="shared" si="0"/>
        <v>-1205.9777759999999</v>
      </c>
      <c r="E25">
        <f t="shared" si="1"/>
        <v>121.26408032124</v>
      </c>
      <c r="F25">
        <f t="shared" si="2"/>
        <v>120.672548222112</v>
      </c>
      <c r="G25">
        <f t="shared" si="3"/>
        <v>1519.0040803212401</v>
      </c>
      <c r="H25">
        <f t="shared" si="4"/>
        <v>120.672548222112</v>
      </c>
      <c r="I25">
        <v>1</v>
      </c>
      <c r="J25">
        <f t="shared" si="5"/>
        <v>108.97204330136017</v>
      </c>
      <c r="K25">
        <f t="shared" si="6"/>
        <v>1217.53408032124</v>
      </c>
      <c r="M25">
        <v>644.97813600000006</v>
      </c>
      <c r="N25">
        <f t="shared" si="8"/>
        <v>396</v>
      </c>
      <c r="O25">
        <f t="shared" si="9"/>
        <v>397</v>
      </c>
      <c r="P25" cm="1">
        <f t="array" ref="P25">INDEX($C$2:$C$14395,$N25,0)</f>
        <v>361.18800000000005</v>
      </c>
      <c r="Q25" cm="1">
        <f t="array" ref="Q25">INDEX($C$2:$C$14395,$O25,0)</f>
        <v>0</v>
      </c>
      <c r="R25" cm="1">
        <f t="array" ref="R25">INDEX($D$2:$D$14395,$N25,0)</f>
        <v>-1209.0989280000001</v>
      </c>
      <c r="S25" cm="1">
        <f t="array" ref="S25">INDEX($D$2:$D$14395,$O25,0)</f>
        <v>0</v>
      </c>
      <c r="T25">
        <f t="shared" si="10"/>
        <v>-2159.1037709476459</v>
      </c>
      <c r="U25">
        <f t="shared" si="11"/>
        <v>217.10328192821316</v>
      </c>
      <c r="V25">
        <f t="shared" si="12"/>
        <v>216.04424152856336</v>
      </c>
      <c r="W25">
        <f t="shared" si="13"/>
        <v>1447.1182819282133</v>
      </c>
      <c r="X25">
        <f t="shared" si="14"/>
        <v>1614.8432819282132</v>
      </c>
      <c r="Y25">
        <f t="shared" si="15"/>
        <v>216.04424152856336</v>
      </c>
      <c r="Z25">
        <f t="shared" si="16"/>
        <v>195.09642242348991</v>
      </c>
      <c r="AA25">
        <f t="shared" si="17"/>
        <v>1313.3732819282131</v>
      </c>
    </row>
    <row r="26" spans="1:27" x14ac:dyDescent="0.35">
      <c r="A26">
        <v>72</v>
      </c>
      <c r="B26">
        <v>-3956.63</v>
      </c>
      <c r="C26">
        <f t="shared" si="7"/>
        <v>21.945600000000002</v>
      </c>
      <c r="D26">
        <f t="shared" si="0"/>
        <v>-1205.980824</v>
      </c>
      <c r="E26">
        <f t="shared" si="1"/>
        <v>121.26438680525999</v>
      </c>
      <c r="F26">
        <f t="shared" si="2"/>
        <v>120.672853211088</v>
      </c>
      <c r="G26">
        <f t="shared" si="3"/>
        <v>1519.0043868052601</v>
      </c>
      <c r="H26">
        <f t="shared" si="4"/>
        <v>120.672853211088</v>
      </c>
      <c r="I26">
        <v>1</v>
      </c>
      <c r="J26">
        <f t="shared" si="5"/>
        <v>108.97231871836586</v>
      </c>
      <c r="K26">
        <f t="shared" si="6"/>
        <v>1217.5343868052601</v>
      </c>
      <c r="M26">
        <v>667.69183200000009</v>
      </c>
      <c r="N26">
        <f t="shared" si="8"/>
        <v>396</v>
      </c>
      <c r="O26">
        <f t="shared" si="9"/>
        <v>397</v>
      </c>
      <c r="P26" cm="1">
        <f t="array" ref="P26">INDEX($C$2:$C$14395,$N26,0)</f>
        <v>361.18800000000005</v>
      </c>
      <c r="Q26" cm="1">
        <f t="array" ref="Q26">INDEX($C$2:$C$14395,$O26,0)</f>
        <v>0</v>
      </c>
      <c r="R26" cm="1">
        <f t="array" ref="R26">INDEX($D$2:$D$14395,$N26,0)</f>
        <v>-1209.0989280000001</v>
      </c>
      <c r="S26" cm="1">
        <f t="array" ref="S26">INDEX($D$2:$D$14395,$O26,0)</f>
        <v>0</v>
      </c>
      <c r="T26">
        <f t="shared" si="10"/>
        <v>-2235.139257964152</v>
      </c>
      <c r="U26">
        <f t="shared" si="11"/>
        <v>224.7488402364404</v>
      </c>
      <c r="V26">
        <f t="shared" si="12"/>
        <v>223.65250443040901</v>
      </c>
      <c r="W26">
        <f t="shared" si="13"/>
        <v>1454.7638402364405</v>
      </c>
      <c r="X26">
        <f t="shared" si="14"/>
        <v>1622.4888402364404</v>
      </c>
      <c r="Y26">
        <f t="shared" si="15"/>
        <v>223.65250443040901</v>
      </c>
      <c r="Z26">
        <f t="shared" si="16"/>
        <v>201.96698218710759</v>
      </c>
      <c r="AA26">
        <f t="shared" si="17"/>
        <v>1321.0188402364404</v>
      </c>
    </row>
    <row r="27" spans="1:27" x14ac:dyDescent="0.35">
      <c r="A27">
        <v>75</v>
      </c>
      <c r="B27">
        <v>-3956.62</v>
      </c>
      <c r="C27">
        <f t="shared" si="7"/>
        <v>22.86</v>
      </c>
      <c r="D27">
        <f t="shared" si="0"/>
        <v>-1205.9777759999999</v>
      </c>
      <c r="E27">
        <f t="shared" si="1"/>
        <v>121.26408032124</v>
      </c>
      <c r="F27">
        <f t="shared" si="2"/>
        <v>120.672548222112</v>
      </c>
      <c r="G27">
        <f t="shared" si="3"/>
        <v>1519.0040803212401</v>
      </c>
      <c r="H27">
        <f t="shared" si="4"/>
        <v>120.672548222112</v>
      </c>
      <c r="I27">
        <v>1</v>
      </c>
      <c r="J27">
        <f t="shared" si="5"/>
        <v>108.97204330136017</v>
      </c>
      <c r="K27">
        <f t="shared" si="6"/>
        <v>1217.53408032124</v>
      </c>
      <c r="M27">
        <v>690.40857600000004</v>
      </c>
      <c r="N27">
        <f t="shared" si="8"/>
        <v>396</v>
      </c>
      <c r="O27">
        <f t="shared" si="9"/>
        <v>397</v>
      </c>
      <c r="P27" cm="1">
        <f t="array" ref="P27">INDEX($C$2:$C$14395,$N27,0)</f>
        <v>361.18800000000005</v>
      </c>
      <c r="Q27" cm="1">
        <f t="array" ref="Q27">INDEX($C$2:$C$14395,$O27,0)</f>
        <v>0</v>
      </c>
      <c r="R27" cm="1">
        <f t="array" ref="R27">INDEX($D$2:$D$14395,$N27,0)</f>
        <v>-1209.0989280000001</v>
      </c>
      <c r="S27" cm="1">
        <f t="array" ref="S27">INDEX($D$2:$D$14395,$O27,0)</f>
        <v>0</v>
      </c>
      <c r="T27">
        <f t="shared" si="10"/>
        <v>-2311.1849483471392</v>
      </c>
      <c r="U27">
        <f t="shared" si="11"/>
        <v>232.39542451867572</v>
      </c>
      <c r="V27">
        <f t="shared" si="12"/>
        <v>231.26178830151144</v>
      </c>
      <c r="W27">
        <f t="shared" si="13"/>
        <v>1462.4104245186759</v>
      </c>
      <c r="X27">
        <f t="shared" si="14"/>
        <v>1630.1354245186758</v>
      </c>
      <c r="Y27">
        <f t="shared" si="15"/>
        <v>231.26178830151144</v>
      </c>
      <c r="Z27">
        <f t="shared" si="16"/>
        <v>208.83846392600216</v>
      </c>
      <c r="AA27">
        <f t="shared" si="17"/>
        <v>1328.6654245186758</v>
      </c>
    </row>
    <row r="28" spans="1:27" x14ac:dyDescent="0.35">
      <c r="A28">
        <v>78</v>
      </c>
      <c r="B28">
        <v>-3956.6</v>
      </c>
      <c r="C28">
        <f t="shared" si="7"/>
        <v>23.7744</v>
      </c>
      <c r="D28">
        <f t="shared" si="0"/>
        <v>-1205.9716800000001</v>
      </c>
      <c r="E28">
        <f t="shared" si="1"/>
        <v>121.26346735320001</v>
      </c>
      <c r="F28">
        <f t="shared" si="2"/>
        <v>120.67193824416</v>
      </c>
      <c r="G28">
        <f t="shared" si="3"/>
        <v>1519.0034673532</v>
      </c>
      <c r="H28">
        <f t="shared" si="4"/>
        <v>120.67193824416</v>
      </c>
      <c r="I28">
        <v>1</v>
      </c>
      <c r="J28">
        <f t="shared" si="5"/>
        <v>108.97149246734882</v>
      </c>
      <c r="K28">
        <f t="shared" si="6"/>
        <v>1217.5334673532</v>
      </c>
      <c r="M28">
        <v>713.12836800000002</v>
      </c>
      <c r="N28">
        <f t="shared" si="8"/>
        <v>396</v>
      </c>
      <c r="O28">
        <f t="shared" si="9"/>
        <v>397</v>
      </c>
      <c r="P28" cm="1">
        <f t="array" ref="P28">INDEX($C$2:$C$14395,$N28,0)</f>
        <v>361.18800000000005</v>
      </c>
      <c r="Q28" cm="1">
        <f t="array" ref="Q28">INDEX($C$2:$C$14395,$O28,0)</f>
        <v>0</v>
      </c>
      <c r="R28" cm="1">
        <f t="array" ref="R28">INDEX($D$2:$D$14395,$N28,0)</f>
        <v>-1209.0989280000001</v>
      </c>
      <c r="S28" cm="1">
        <f t="array" ref="S28">INDEX($D$2:$D$14395,$O28,0)</f>
        <v>0</v>
      </c>
      <c r="T28">
        <f t="shared" si="10"/>
        <v>-2387.2408420966076</v>
      </c>
      <c r="U28">
        <f t="shared" si="11"/>
        <v>240.04303477491916</v>
      </c>
      <c r="V28">
        <f t="shared" si="12"/>
        <v>238.87209314187075</v>
      </c>
      <c r="W28">
        <f t="shared" si="13"/>
        <v>1470.0580347749192</v>
      </c>
      <c r="X28">
        <f t="shared" si="14"/>
        <v>1637.7830347749191</v>
      </c>
      <c r="Y28">
        <f t="shared" si="15"/>
        <v>238.87209314187075</v>
      </c>
      <c r="Z28">
        <f t="shared" si="16"/>
        <v>215.71086764017369</v>
      </c>
      <c r="AA28">
        <f t="shared" si="17"/>
        <v>1336.3130347749191</v>
      </c>
    </row>
    <row r="29" spans="1:27" x14ac:dyDescent="0.35">
      <c r="A29">
        <v>81</v>
      </c>
      <c r="B29">
        <v>-3956.58</v>
      </c>
      <c r="C29">
        <f t="shared" si="7"/>
        <v>24.688800000000001</v>
      </c>
      <c r="D29">
        <f t="shared" si="0"/>
        <v>-1205.965584</v>
      </c>
      <c r="E29">
        <f t="shared" si="1"/>
        <v>121.26285438516003</v>
      </c>
      <c r="F29">
        <f t="shared" si="2"/>
        <v>120.67132826620801</v>
      </c>
      <c r="G29">
        <f t="shared" si="3"/>
        <v>1519.0028543851599</v>
      </c>
      <c r="H29">
        <f t="shared" si="4"/>
        <v>120.67132826620801</v>
      </c>
      <c r="I29">
        <v>1</v>
      </c>
      <c r="J29">
        <f t="shared" si="5"/>
        <v>108.97094163333746</v>
      </c>
      <c r="K29">
        <f t="shared" si="6"/>
        <v>1217.5328543851599</v>
      </c>
      <c r="M29">
        <v>735.84358800000007</v>
      </c>
      <c r="N29">
        <f t="shared" si="8"/>
        <v>396</v>
      </c>
      <c r="O29">
        <f t="shared" si="9"/>
        <v>397</v>
      </c>
      <c r="P29" cm="1">
        <f t="array" ref="P29">INDEX($C$2:$C$14395,$N29,0)</f>
        <v>361.18800000000005</v>
      </c>
      <c r="Q29" cm="1">
        <f t="array" ref="Q29">INDEX($C$2:$C$14395,$O29,0)</f>
        <v>0</v>
      </c>
      <c r="R29" cm="1">
        <f t="array" ref="R29">INDEX($D$2:$D$14395,$N29,0)</f>
        <v>-1209.0989280000001</v>
      </c>
      <c r="S29" cm="1">
        <f t="array" ref="S29">INDEX($D$2:$D$14395,$O29,0)</f>
        <v>0</v>
      </c>
      <c r="T29">
        <f t="shared" si="10"/>
        <v>-2463.2814307963545</v>
      </c>
      <c r="U29">
        <f t="shared" si="11"/>
        <v>247.68910607015044</v>
      </c>
      <c r="V29">
        <f t="shared" si="12"/>
        <v>246.48086652834482</v>
      </c>
      <c r="W29">
        <f t="shared" si="13"/>
        <v>1477.7041060701506</v>
      </c>
      <c r="X29">
        <f t="shared" si="14"/>
        <v>1645.4291060701505</v>
      </c>
      <c r="Y29">
        <f t="shared" si="15"/>
        <v>246.48086652834482</v>
      </c>
      <c r="Z29">
        <f t="shared" si="16"/>
        <v>222.58188839142986</v>
      </c>
      <c r="AA29">
        <f t="shared" si="17"/>
        <v>1343.9591060701505</v>
      </c>
    </row>
    <row r="30" spans="1:27" x14ac:dyDescent="0.35">
      <c r="A30">
        <v>84</v>
      </c>
      <c r="B30">
        <v>-3956.56</v>
      </c>
      <c r="C30">
        <f t="shared" si="7"/>
        <v>25.603200000000001</v>
      </c>
      <c r="D30">
        <f t="shared" si="0"/>
        <v>-1205.959488</v>
      </c>
      <c r="E30">
        <f t="shared" si="1"/>
        <v>121.26224141712001</v>
      </c>
      <c r="F30">
        <f t="shared" si="2"/>
        <v>120.67071828825598</v>
      </c>
      <c r="G30">
        <f t="shared" si="3"/>
        <v>1519.0022414171201</v>
      </c>
      <c r="H30">
        <f t="shared" si="4"/>
        <v>120.67071828825598</v>
      </c>
      <c r="I30">
        <v>1</v>
      </c>
      <c r="J30">
        <f t="shared" si="5"/>
        <v>108.97039079932608</v>
      </c>
      <c r="K30">
        <f t="shared" si="6"/>
        <v>1217.5322414171201</v>
      </c>
      <c r="M30">
        <v>758.55423600000006</v>
      </c>
      <c r="N30">
        <f t="shared" si="8"/>
        <v>396</v>
      </c>
      <c r="O30">
        <f t="shared" si="9"/>
        <v>397</v>
      </c>
      <c r="P30" cm="1">
        <f t="array" ref="P30">INDEX($C$2:$C$14395,$N30,0)</f>
        <v>361.18800000000005</v>
      </c>
      <c r="Q30" cm="1">
        <f t="array" ref="Q30">INDEX($C$2:$C$14395,$O30,0)</f>
        <v>0</v>
      </c>
      <c r="R30" cm="1">
        <f t="array" ref="R30">INDEX($D$2:$D$14395,$N30,0)</f>
        <v>-1209.0989280000001</v>
      </c>
      <c r="S30" cm="1">
        <f t="array" ref="S30">INDEX($D$2:$D$14395,$O30,0)</f>
        <v>0</v>
      </c>
      <c r="T30">
        <f t="shared" si="10"/>
        <v>-2539.3067144463798</v>
      </c>
      <c r="U30">
        <f t="shared" si="11"/>
        <v>255.33363840436962</v>
      </c>
      <c r="V30">
        <f t="shared" si="12"/>
        <v>254.08810846093368</v>
      </c>
      <c r="W30">
        <f t="shared" si="13"/>
        <v>1485.3486384043697</v>
      </c>
      <c r="X30">
        <f t="shared" si="14"/>
        <v>1653.0736384043696</v>
      </c>
      <c r="Y30">
        <f t="shared" si="15"/>
        <v>254.08810846093368</v>
      </c>
      <c r="Z30">
        <f t="shared" si="16"/>
        <v>229.45152617977061</v>
      </c>
      <c r="AA30">
        <f t="shared" si="17"/>
        <v>1351.6036384043696</v>
      </c>
    </row>
    <row r="31" spans="1:27" x14ac:dyDescent="0.35">
      <c r="A31">
        <v>87</v>
      </c>
      <c r="B31">
        <v>-3956.56</v>
      </c>
      <c r="C31">
        <f t="shared" si="7"/>
        <v>26.517600000000002</v>
      </c>
      <c r="D31">
        <f t="shared" si="0"/>
        <v>-1205.959488</v>
      </c>
      <c r="E31">
        <f t="shared" si="1"/>
        <v>121.26224141712001</v>
      </c>
      <c r="F31">
        <f t="shared" si="2"/>
        <v>120.67071828825598</v>
      </c>
      <c r="G31">
        <f t="shared" si="3"/>
        <v>1519.0022414171201</v>
      </c>
      <c r="H31">
        <f t="shared" si="4"/>
        <v>120.67071828825598</v>
      </c>
      <c r="I31">
        <v>1</v>
      </c>
      <c r="J31">
        <f t="shared" si="5"/>
        <v>108.97039079932608</v>
      </c>
      <c r="K31">
        <f t="shared" si="6"/>
        <v>1217.5322414171201</v>
      </c>
      <c r="M31">
        <v>781.26640800000007</v>
      </c>
      <c r="N31">
        <f t="shared" si="8"/>
        <v>396</v>
      </c>
      <c r="O31">
        <f t="shared" si="9"/>
        <v>397</v>
      </c>
      <c r="P31" cm="1">
        <f t="array" ref="P31">INDEX($C$2:$C$14395,$N31,0)</f>
        <v>361.18800000000005</v>
      </c>
      <c r="Q31" cm="1">
        <f t="array" ref="Q31">INDEX($C$2:$C$14395,$O31,0)</f>
        <v>0</v>
      </c>
      <c r="R31" cm="1">
        <f t="array" ref="R31">INDEX($D$2:$D$14395,$N31,0)</f>
        <v>-1209.0989280000001</v>
      </c>
      <c r="S31" cm="1">
        <f t="array" ref="S31">INDEX($D$2:$D$14395,$O31,0)</f>
        <v>0</v>
      </c>
      <c r="T31">
        <f t="shared" si="10"/>
        <v>-2615.337099779646</v>
      </c>
      <c r="U31">
        <f t="shared" si="11"/>
        <v>262.97868372559293</v>
      </c>
      <c r="V31">
        <f t="shared" si="12"/>
        <v>261.69586087815094</v>
      </c>
      <c r="W31">
        <f t="shared" si="13"/>
        <v>1492.993683725593</v>
      </c>
      <c r="X31">
        <f t="shared" si="14"/>
        <v>1660.7186837255929</v>
      </c>
      <c r="Y31">
        <f t="shared" si="15"/>
        <v>261.69586087815094</v>
      </c>
      <c r="Z31">
        <f t="shared" si="16"/>
        <v>236.32162495574988</v>
      </c>
      <c r="AA31">
        <f t="shared" si="17"/>
        <v>1359.2486837255929</v>
      </c>
    </row>
    <row r="32" spans="1:27" x14ac:dyDescent="0.35">
      <c r="A32">
        <v>90</v>
      </c>
      <c r="B32">
        <v>-3956.56</v>
      </c>
      <c r="C32">
        <f t="shared" si="7"/>
        <v>27.432000000000002</v>
      </c>
      <c r="D32">
        <f t="shared" si="0"/>
        <v>-1205.959488</v>
      </c>
      <c r="E32">
        <f t="shared" si="1"/>
        <v>121.26224141712001</v>
      </c>
      <c r="F32">
        <f t="shared" si="2"/>
        <v>120.67071828825598</v>
      </c>
      <c r="G32">
        <f t="shared" si="3"/>
        <v>1519.0022414171201</v>
      </c>
      <c r="H32">
        <f t="shared" si="4"/>
        <v>120.67071828825598</v>
      </c>
      <c r="I32">
        <v>1</v>
      </c>
      <c r="J32">
        <f t="shared" si="5"/>
        <v>108.97039079932608</v>
      </c>
      <c r="K32">
        <f t="shared" si="6"/>
        <v>1217.5322414171201</v>
      </c>
      <c r="M32">
        <v>803.9801040000001</v>
      </c>
      <c r="N32">
        <f t="shared" si="8"/>
        <v>396</v>
      </c>
      <c r="O32">
        <f t="shared" si="9"/>
        <v>397</v>
      </c>
      <c r="P32" cm="1">
        <f t="array" ref="P32">INDEX($C$2:$C$14395,$N32,0)</f>
        <v>361.18800000000005</v>
      </c>
      <c r="Q32" cm="1">
        <f t="array" ref="Q32">INDEX($C$2:$C$14395,$O32,0)</f>
        <v>0</v>
      </c>
      <c r="R32" cm="1">
        <f t="array" ref="R32">INDEX($D$2:$D$14395,$N32,0)</f>
        <v>-1209.0989280000001</v>
      </c>
      <c r="S32" cm="1">
        <f t="array" ref="S32">INDEX($D$2:$D$14395,$O32,0)</f>
        <v>0</v>
      </c>
      <c r="T32">
        <f t="shared" si="10"/>
        <v>-2691.3725867961521</v>
      </c>
      <c r="U32">
        <f t="shared" si="11"/>
        <v>270.62424203382005</v>
      </c>
      <c r="V32">
        <f t="shared" si="12"/>
        <v>269.30412377999659</v>
      </c>
      <c r="W32">
        <f t="shared" si="13"/>
        <v>1500.6392420338202</v>
      </c>
      <c r="X32">
        <f t="shared" si="14"/>
        <v>1668.3642420338201</v>
      </c>
      <c r="Y32">
        <f t="shared" si="15"/>
        <v>269.30412377999659</v>
      </c>
      <c r="Z32">
        <f t="shared" si="16"/>
        <v>243.1921847193675</v>
      </c>
      <c r="AA32">
        <f t="shared" si="17"/>
        <v>1366.8942420338201</v>
      </c>
    </row>
    <row r="33" spans="1:27" x14ac:dyDescent="0.35">
      <c r="A33">
        <v>93</v>
      </c>
      <c r="B33">
        <v>-3956.59</v>
      </c>
      <c r="C33">
        <f t="shared" si="7"/>
        <v>28.346400000000003</v>
      </c>
      <c r="D33">
        <f t="shared" si="0"/>
        <v>-1205.9686320000001</v>
      </c>
      <c r="E33">
        <f t="shared" si="1"/>
        <v>121.26316086918003</v>
      </c>
      <c r="F33">
        <f t="shared" si="2"/>
        <v>120.67163325518403</v>
      </c>
      <c r="G33">
        <f t="shared" si="3"/>
        <v>1519.00316086918</v>
      </c>
      <c r="H33">
        <f t="shared" si="4"/>
        <v>120.67163325518403</v>
      </c>
      <c r="I33">
        <v>1</v>
      </c>
      <c r="J33">
        <f t="shared" si="5"/>
        <v>108.97121705034314</v>
      </c>
      <c r="K33">
        <f t="shared" si="6"/>
        <v>1217.5331608691799</v>
      </c>
      <c r="M33">
        <v>826.69151399999998</v>
      </c>
      <c r="N33">
        <f t="shared" si="8"/>
        <v>396</v>
      </c>
      <c r="O33">
        <f t="shared" si="9"/>
        <v>397</v>
      </c>
      <c r="P33" cm="1">
        <f t="array" ref="P33">INDEX($C$2:$C$14395,$N33,0)</f>
        <v>361.18800000000005</v>
      </c>
      <c r="Q33" cm="1">
        <f t="array" ref="Q33">INDEX($C$2:$C$14395,$O33,0)</f>
        <v>0</v>
      </c>
      <c r="R33" cm="1">
        <f t="array" ref="R33">INDEX($D$2:$D$14395,$N33,0)</f>
        <v>-1209.0989280000001</v>
      </c>
      <c r="S33" cm="1">
        <f t="array" ref="S33">INDEX($D$2:$D$14395,$O33,0)</f>
        <v>0</v>
      </c>
      <c r="T33">
        <f t="shared" si="10"/>
        <v>-2767.4004212877976</v>
      </c>
      <c r="U33">
        <f t="shared" si="11"/>
        <v>278.2690308615413</v>
      </c>
      <c r="V33">
        <f t="shared" si="12"/>
        <v>276.91162095489966</v>
      </c>
      <c r="W33">
        <f t="shared" si="13"/>
        <v>1508.2840308615414</v>
      </c>
      <c r="X33">
        <f t="shared" si="14"/>
        <v>1676.0090308615413</v>
      </c>
      <c r="Y33">
        <f t="shared" si="15"/>
        <v>276.91162095489966</v>
      </c>
      <c r="Z33">
        <f t="shared" si="16"/>
        <v>250.06205300152749</v>
      </c>
      <c r="AA33">
        <f t="shared" si="17"/>
        <v>1374.5390308615413</v>
      </c>
    </row>
    <row r="34" spans="1:27" x14ac:dyDescent="0.35">
      <c r="A34">
        <v>96</v>
      </c>
      <c r="B34">
        <v>-3956.62</v>
      </c>
      <c r="C34">
        <f t="shared" si="7"/>
        <v>29.260800000000003</v>
      </c>
      <c r="D34">
        <f t="shared" si="0"/>
        <v>-1205.9777759999999</v>
      </c>
      <c r="E34">
        <f t="shared" si="1"/>
        <v>121.26408032124</v>
      </c>
      <c r="F34">
        <f t="shared" si="2"/>
        <v>120.672548222112</v>
      </c>
      <c r="G34">
        <f t="shared" si="3"/>
        <v>1519.0040803212401</v>
      </c>
      <c r="H34">
        <f t="shared" si="4"/>
        <v>120.672548222112</v>
      </c>
      <c r="I34">
        <v>1</v>
      </c>
      <c r="J34">
        <f t="shared" si="5"/>
        <v>108.97204330136017</v>
      </c>
      <c r="K34">
        <f t="shared" si="6"/>
        <v>1217.53408032124</v>
      </c>
      <c r="M34">
        <v>849.40063800000007</v>
      </c>
      <c r="N34">
        <f t="shared" si="8"/>
        <v>396</v>
      </c>
      <c r="O34">
        <f t="shared" si="9"/>
        <v>397</v>
      </c>
      <c r="P34" cm="1">
        <f t="array" ref="P34">INDEX($C$2:$C$14395,$N34,0)</f>
        <v>361.18800000000005</v>
      </c>
      <c r="Q34" cm="1">
        <f t="array" ref="Q34">INDEX($C$2:$C$14395,$O34,0)</f>
        <v>0</v>
      </c>
      <c r="R34" cm="1">
        <f t="array" ref="R34">INDEX($D$2:$D$14395,$N34,0)</f>
        <v>-1209.0989280000001</v>
      </c>
      <c r="S34" cm="1">
        <f t="array" ref="S34">INDEX($D$2:$D$14395,$O34,0)</f>
        <v>0</v>
      </c>
      <c r="T34">
        <f t="shared" si="10"/>
        <v>-2843.4206032545826</v>
      </c>
      <c r="U34">
        <f t="shared" si="11"/>
        <v>285.91305020875643</v>
      </c>
      <c r="V34">
        <f t="shared" si="12"/>
        <v>284.5183524028601</v>
      </c>
      <c r="W34">
        <f t="shared" si="13"/>
        <v>1515.9280502087565</v>
      </c>
      <c r="X34">
        <f t="shared" si="14"/>
        <v>1683.6530502087564</v>
      </c>
      <c r="Y34">
        <f t="shared" si="15"/>
        <v>284.5183524028601</v>
      </c>
      <c r="Z34">
        <f t="shared" si="16"/>
        <v>256.93122980222984</v>
      </c>
      <c r="AA34">
        <f t="shared" si="17"/>
        <v>1382.1830502087564</v>
      </c>
    </row>
    <row r="35" spans="1:27" x14ac:dyDescent="0.35">
      <c r="A35">
        <v>99</v>
      </c>
      <c r="B35">
        <v>-3956.56</v>
      </c>
      <c r="C35">
        <f t="shared" si="7"/>
        <v>30.1752</v>
      </c>
      <c r="D35">
        <f t="shared" si="0"/>
        <v>-1205.959488</v>
      </c>
      <c r="E35">
        <f t="shared" si="1"/>
        <v>121.26224141712001</v>
      </c>
      <c r="F35">
        <f t="shared" si="2"/>
        <v>120.67071828825598</v>
      </c>
      <c r="G35">
        <f t="shared" si="3"/>
        <v>1519.0022414171201</v>
      </c>
      <c r="H35">
        <f t="shared" si="4"/>
        <v>120.67071828825598</v>
      </c>
      <c r="I35">
        <v>1</v>
      </c>
      <c r="J35">
        <f t="shared" si="5"/>
        <v>108.97039079932608</v>
      </c>
      <c r="K35">
        <f t="shared" si="6"/>
        <v>1217.5322414171201</v>
      </c>
      <c r="M35">
        <v>872.10976200000005</v>
      </c>
      <c r="N35">
        <f t="shared" si="8"/>
        <v>396</v>
      </c>
      <c r="O35">
        <f t="shared" si="9"/>
        <v>397</v>
      </c>
      <c r="P35" cm="1">
        <f t="array" ref="P35">INDEX($C$2:$C$14395,$N35,0)</f>
        <v>361.18800000000005</v>
      </c>
      <c r="Q35" cm="1">
        <f t="array" ref="Q35">INDEX($C$2:$C$14395,$O35,0)</f>
        <v>0</v>
      </c>
      <c r="R35" cm="1">
        <f t="array" ref="R35">INDEX($D$2:$D$14395,$N35,0)</f>
        <v>-1209.0989280000001</v>
      </c>
      <c r="S35" cm="1">
        <f t="array" ref="S35">INDEX($D$2:$D$14395,$O35,0)</f>
        <v>0</v>
      </c>
      <c r="T35">
        <f t="shared" si="10"/>
        <v>-2919.4407852213672</v>
      </c>
      <c r="U35">
        <f t="shared" si="11"/>
        <v>293.55706955597151</v>
      </c>
      <c r="V35">
        <f t="shared" si="12"/>
        <v>292.12508385082043</v>
      </c>
      <c r="W35">
        <f t="shared" si="13"/>
        <v>1523.5720695559717</v>
      </c>
      <c r="X35">
        <f t="shared" si="14"/>
        <v>1691.2970695559716</v>
      </c>
      <c r="Y35">
        <f t="shared" si="15"/>
        <v>292.12508385082043</v>
      </c>
      <c r="Z35">
        <f t="shared" si="16"/>
        <v>263.80040660293213</v>
      </c>
      <c r="AA35">
        <f t="shared" si="17"/>
        <v>1389.8270695559715</v>
      </c>
    </row>
    <row r="36" spans="1:27" x14ac:dyDescent="0.35">
      <c r="A36">
        <v>102</v>
      </c>
      <c r="B36">
        <v>-3956.5</v>
      </c>
      <c r="C36">
        <f t="shared" si="7"/>
        <v>31.089600000000001</v>
      </c>
      <c r="D36">
        <f t="shared" si="0"/>
        <v>-1205.9412</v>
      </c>
      <c r="E36">
        <f t="shared" si="1"/>
        <v>121.260402513</v>
      </c>
      <c r="F36">
        <f t="shared" si="2"/>
        <v>120.66888835440001</v>
      </c>
      <c r="G36">
        <f t="shared" si="3"/>
        <v>1519.0004025129999</v>
      </c>
      <c r="H36">
        <f t="shared" si="4"/>
        <v>120.66888835440001</v>
      </c>
      <c r="I36">
        <v>1</v>
      </c>
      <c r="J36">
        <f t="shared" si="5"/>
        <v>108.96873829729201</v>
      </c>
      <c r="K36">
        <f t="shared" si="6"/>
        <v>1217.5304025129999</v>
      </c>
      <c r="M36">
        <v>894.81888600000013</v>
      </c>
      <c r="N36">
        <f t="shared" si="8"/>
        <v>396</v>
      </c>
      <c r="O36">
        <f t="shared" si="9"/>
        <v>397</v>
      </c>
      <c r="P36" cm="1">
        <f t="array" ref="P36">INDEX($C$2:$C$14395,$N36,0)</f>
        <v>361.18800000000005</v>
      </c>
      <c r="Q36" cm="1">
        <f t="array" ref="Q36">INDEX($C$2:$C$14395,$O36,0)</f>
        <v>0</v>
      </c>
      <c r="R36" cm="1">
        <f t="array" ref="R36">INDEX($D$2:$D$14395,$N36,0)</f>
        <v>-1209.0989280000001</v>
      </c>
      <c r="S36" cm="1">
        <f t="array" ref="S36">INDEX($D$2:$D$14395,$O36,0)</f>
        <v>0</v>
      </c>
      <c r="T36">
        <f t="shared" si="10"/>
        <v>-2995.4609671881522</v>
      </c>
      <c r="U36">
        <f t="shared" si="11"/>
        <v>301.2010889031867</v>
      </c>
      <c r="V36">
        <f t="shared" si="12"/>
        <v>299.73181529878093</v>
      </c>
      <c r="W36">
        <f t="shared" si="13"/>
        <v>1531.2160889031868</v>
      </c>
      <c r="X36">
        <f t="shared" si="14"/>
        <v>1698.9410889031867</v>
      </c>
      <c r="Y36">
        <f t="shared" si="15"/>
        <v>299.73181529878093</v>
      </c>
      <c r="Z36">
        <f t="shared" si="16"/>
        <v>270.66958340363442</v>
      </c>
      <c r="AA36">
        <f t="shared" si="17"/>
        <v>1397.4710889031867</v>
      </c>
    </row>
    <row r="37" spans="1:27" x14ac:dyDescent="0.35">
      <c r="A37">
        <v>105</v>
      </c>
      <c r="B37">
        <v>-3956.45</v>
      </c>
      <c r="C37">
        <f t="shared" si="7"/>
        <v>32.004000000000005</v>
      </c>
      <c r="D37">
        <f t="shared" si="0"/>
        <v>-1205.92596</v>
      </c>
      <c r="E37">
        <f t="shared" si="1"/>
        <v>121.25887009290001</v>
      </c>
      <c r="F37">
        <f t="shared" si="2"/>
        <v>120.66736340951999</v>
      </c>
      <c r="G37">
        <f t="shared" si="3"/>
        <v>1518.9988700929</v>
      </c>
      <c r="H37">
        <f t="shared" si="4"/>
        <v>120.66736340951999</v>
      </c>
      <c r="I37">
        <v>1</v>
      </c>
      <c r="J37">
        <f t="shared" si="5"/>
        <v>108.96736121226361</v>
      </c>
      <c r="K37">
        <f t="shared" si="6"/>
        <v>1217.5288700929</v>
      </c>
      <c r="M37">
        <v>925.22344799999712</v>
      </c>
      <c r="N37">
        <f t="shared" si="8"/>
        <v>396</v>
      </c>
      <c r="O37">
        <f t="shared" si="9"/>
        <v>397</v>
      </c>
      <c r="P37" cm="1">
        <f t="array" ref="P37">INDEX($C$2:$C$14395,$N37,0)</f>
        <v>361.18800000000005</v>
      </c>
      <c r="Q37" cm="1">
        <f t="array" ref="Q37">INDEX($C$2:$C$14395,$O37,0)</f>
        <v>0</v>
      </c>
      <c r="R37" cm="1">
        <f t="array" ref="R37">INDEX($D$2:$D$14395,$N37,0)</f>
        <v>-1209.0989280000001</v>
      </c>
      <c r="S37" cm="1">
        <f t="array" ref="S37">INDEX($D$2:$D$14395,$O37,0)</f>
        <v>0</v>
      </c>
      <c r="T37">
        <f t="shared" si="10"/>
        <v>-3097.2420986778639</v>
      </c>
      <c r="U37">
        <f t="shared" si="11"/>
        <v>311.43543612730593</v>
      </c>
      <c r="V37">
        <f t="shared" si="12"/>
        <v>309.91623887790439</v>
      </c>
      <c r="W37">
        <f t="shared" si="13"/>
        <v>1541.4504361273061</v>
      </c>
      <c r="X37">
        <f t="shared" si="14"/>
        <v>1709.1754361273061</v>
      </c>
      <c r="Y37">
        <f t="shared" si="15"/>
        <v>309.91623887790439</v>
      </c>
      <c r="Z37">
        <f t="shared" si="16"/>
        <v>279.86651728474294</v>
      </c>
      <c r="AA37">
        <f t="shared" si="17"/>
        <v>1407.7054361273058</v>
      </c>
    </row>
    <row r="38" spans="1:27" x14ac:dyDescent="0.35">
      <c r="A38">
        <v>108</v>
      </c>
      <c r="B38">
        <v>-3956.4</v>
      </c>
      <c r="C38">
        <f t="shared" si="7"/>
        <v>32.918399999999998</v>
      </c>
      <c r="D38">
        <f t="shared" si="0"/>
        <v>-1205.9107200000001</v>
      </c>
      <c r="E38">
        <f t="shared" si="1"/>
        <v>121.25733767280001</v>
      </c>
      <c r="F38">
        <f t="shared" si="2"/>
        <v>120.66583846464002</v>
      </c>
      <c r="G38">
        <f t="shared" si="3"/>
        <v>1518.9973376728001</v>
      </c>
      <c r="H38">
        <f t="shared" si="4"/>
        <v>120.66583846464002</v>
      </c>
      <c r="I38">
        <v>1</v>
      </c>
      <c r="J38">
        <f t="shared" si="5"/>
        <v>108.96598412723523</v>
      </c>
      <c r="K38">
        <f t="shared" si="6"/>
        <v>1217.5273376728001</v>
      </c>
      <c r="M38">
        <v>963.32344799999703</v>
      </c>
      <c r="N38">
        <f t="shared" si="8"/>
        <v>396</v>
      </c>
      <c r="O38">
        <f t="shared" si="9"/>
        <v>397</v>
      </c>
      <c r="P38" cm="1">
        <f t="array" ref="P38">INDEX($C$2:$C$14395,$N38,0)</f>
        <v>361.18800000000005</v>
      </c>
      <c r="Q38" cm="1">
        <f t="array" ref="Q38">INDEX($C$2:$C$14395,$O38,0)</f>
        <v>0</v>
      </c>
      <c r="R38" cm="1">
        <f t="array" ref="R38">INDEX($D$2:$D$14395,$N38,0)</f>
        <v>-1209.0989280000001</v>
      </c>
      <c r="S38" cm="1">
        <f t="array" ref="S38">INDEX($D$2:$D$14395,$O38,0)</f>
        <v>0</v>
      </c>
      <c r="T38">
        <f t="shared" si="10"/>
        <v>-3224.7841796905218</v>
      </c>
      <c r="U38">
        <f t="shared" si="11"/>
        <v>324.2601112283312</v>
      </c>
      <c r="V38">
        <f t="shared" si="12"/>
        <v>322.67835458819297</v>
      </c>
      <c r="W38">
        <f t="shared" si="13"/>
        <v>1554.2751112283313</v>
      </c>
      <c r="X38">
        <f t="shared" si="14"/>
        <v>1722.0001112283312</v>
      </c>
      <c r="Y38">
        <f t="shared" si="15"/>
        <v>322.67835458819297</v>
      </c>
      <c r="Z38">
        <f t="shared" si="16"/>
        <v>291.3912082462594</v>
      </c>
      <c r="AA38">
        <f t="shared" si="17"/>
        <v>1420.5301112283312</v>
      </c>
    </row>
    <row r="39" spans="1:27" x14ac:dyDescent="0.35">
      <c r="A39">
        <v>111</v>
      </c>
      <c r="B39">
        <v>-3956.35</v>
      </c>
      <c r="C39">
        <f t="shared" si="7"/>
        <v>33.832799999999999</v>
      </c>
      <c r="D39">
        <f t="shared" si="0"/>
        <v>-1205.8954800000001</v>
      </c>
      <c r="E39">
        <f t="shared" si="1"/>
        <v>121.25580525270001</v>
      </c>
      <c r="F39">
        <f t="shared" si="2"/>
        <v>120.66431351976001</v>
      </c>
      <c r="G39">
        <f t="shared" si="3"/>
        <v>1518.9958052526999</v>
      </c>
      <c r="H39">
        <f t="shared" si="4"/>
        <v>120.66431351976001</v>
      </c>
      <c r="I39">
        <v>1</v>
      </c>
      <c r="J39">
        <f t="shared" si="5"/>
        <v>108.96460704220682</v>
      </c>
      <c r="K39">
        <f t="shared" si="6"/>
        <v>1217.5258052526999</v>
      </c>
      <c r="M39">
        <v>1001.4234479999971</v>
      </c>
      <c r="N39">
        <f t="shared" si="8"/>
        <v>396</v>
      </c>
      <c r="O39">
        <f t="shared" si="9"/>
        <v>397</v>
      </c>
      <c r="P39" cm="1">
        <f t="array" ref="P39">INDEX($C$2:$C$14395,$N39,0)</f>
        <v>361.18800000000005</v>
      </c>
      <c r="Q39" cm="1">
        <f t="array" ref="Q39">INDEX($C$2:$C$14395,$O39,0)</f>
        <v>0</v>
      </c>
      <c r="R39" cm="1">
        <f t="array" ref="R39">INDEX($D$2:$D$14395,$N39,0)</f>
        <v>-1209.0989280000001</v>
      </c>
      <c r="S39" cm="1">
        <f t="array" ref="S39">INDEX($D$2:$D$14395,$O39,0)</f>
        <v>0</v>
      </c>
      <c r="T39">
        <f t="shared" si="10"/>
        <v>-3352.3262607031802</v>
      </c>
      <c r="U39">
        <f t="shared" si="11"/>
        <v>337.08478632935652</v>
      </c>
      <c r="V39">
        <f t="shared" si="12"/>
        <v>335.44047029848167</v>
      </c>
      <c r="W39">
        <f t="shared" si="13"/>
        <v>1567.0997863293567</v>
      </c>
      <c r="X39">
        <f t="shared" si="14"/>
        <v>1734.8247863293566</v>
      </c>
      <c r="Y39">
        <f t="shared" si="15"/>
        <v>335.44047029848167</v>
      </c>
      <c r="Z39">
        <f t="shared" si="16"/>
        <v>302.91589920777591</v>
      </c>
      <c r="AA39">
        <f t="shared" si="17"/>
        <v>1433.3547863293566</v>
      </c>
    </row>
    <row r="40" spans="1:27" x14ac:dyDescent="0.35">
      <c r="A40">
        <v>114</v>
      </c>
      <c r="B40">
        <v>-3956.28</v>
      </c>
      <c r="C40">
        <f t="shared" si="7"/>
        <v>34.747199999999999</v>
      </c>
      <c r="D40">
        <f t="shared" si="0"/>
        <v>-1205.8741440000001</v>
      </c>
      <c r="E40">
        <f t="shared" si="1"/>
        <v>121.25365986456001</v>
      </c>
      <c r="F40">
        <f t="shared" si="2"/>
        <v>120.662178596928</v>
      </c>
      <c r="G40">
        <f t="shared" si="3"/>
        <v>1518.99365986456</v>
      </c>
      <c r="H40">
        <f t="shared" si="4"/>
        <v>120.662178596928</v>
      </c>
      <c r="I40">
        <v>1</v>
      </c>
      <c r="J40">
        <f t="shared" si="5"/>
        <v>108.96267912316706</v>
      </c>
      <c r="K40">
        <f t="shared" si="6"/>
        <v>1217.5236598645599</v>
      </c>
      <c r="M40">
        <v>1039.523447999997</v>
      </c>
      <c r="N40">
        <f t="shared" si="8"/>
        <v>396</v>
      </c>
      <c r="O40">
        <f t="shared" si="9"/>
        <v>397</v>
      </c>
      <c r="P40" cm="1">
        <f t="array" ref="P40">INDEX($C$2:$C$14395,$N40,0)</f>
        <v>361.18800000000005</v>
      </c>
      <c r="Q40" cm="1">
        <f t="array" ref="Q40">INDEX($C$2:$C$14395,$O40,0)</f>
        <v>0</v>
      </c>
      <c r="R40" cm="1">
        <f t="array" ref="R40">INDEX($D$2:$D$14395,$N40,0)</f>
        <v>-1209.0989280000001</v>
      </c>
      <c r="S40" cm="1">
        <f t="array" ref="S40">INDEX($D$2:$D$14395,$O40,0)</f>
        <v>0</v>
      </c>
      <c r="T40">
        <f t="shared" si="10"/>
        <v>-3479.8683417158377</v>
      </c>
      <c r="U40">
        <f t="shared" si="11"/>
        <v>349.90946143038184</v>
      </c>
      <c r="V40">
        <f t="shared" si="12"/>
        <v>348.20258600877014</v>
      </c>
      <c r="W40">
        <f t="shared" si="13"/>
        <v>1579.9244614303821</v>
      </c>
      <c r="X40">
        <f t="shared" si="14"/>
        <v>1747.649461430382</v>
      </c>
      <c r="Y40">
        <f t="shared" si="15"/>
        <v>348.20258600877014</v>
      </c>
      <c r="Z40">
        <f t="shared" si="16"/>
        <v>314.44059016929236</v>
      </c>
      <c r="AA40">
        <f t="shared" si="17"/>
        <v>1446.1794614303817</v>
      </c>
    </row>
    <row r="41" spans="1:27" x14ac:dyDescent="0.35">
      <c r="A41">
        <v>117</v>
      </c>
      <c r="B41">
        <v>-3956.2</v>
      </c>
      <c r="C41">
        <f t="shared" si="7"/>
        <v>35.6616</v>
      </c>
      <c r="D41">
        <f t="shared" si="0"/>
        <v>-1205.8497600000001</v>
      </c>
      <c r="E41">
        <f t="shared" si="1"/>
        <v>121.25120799240001</v>
      </c>
      <c r="F41">
        <f t="shared" si="2"/>
        <v>120.65973868512</v>
      </c>
      <c r="G41">
        <f t="shared" si="3"/>
        <v>1518.9912079923999</v>
      </c>
      <c r="H41">
        <f t="shared" si="4"/>
        <v>120.65973868512</v>
      </c>
      <c r="I41">
        <v>1</v>
      </c>
      <c r="J41">
        <f t="shared" si="5"/>
        <v>108.96047578712161</v>
      </c>
      <c r="K41">
        <f t="shared" si="6"/>
        <v>1217.5212079923999</v>
      </c>
      <c r="M41">
        <v>1077.6234479999971</v>
      </c>
      <c r="N41">
        <f t="shared" si="8"/>
        <v>396</v>
      </c>
      <c r="O41">
        <f t="shared" si="9"/>
        <v>397</v>
      </c>
      <c r="P41" cm="1">
        <f t="array" ref="P41">INDEX($C$2:$C$14395,$N41,0)</f>
        <v>361.18800000000005</v>
      </c>
      <c r="Q41" cm="1">
        <f t="array" ref="Q41">INDEX($C$2:$C$14395,$O41,0)</f>
        <v>0</v>
      </c>
      <c r="R41" cm="1">
        <f t="array" ref="R41">INDEX($D$2:$D$14395,$N41,0)</f>
        <v>-1209.0989280000001</v>
      </c>
      <c r="S41" cm="1">
        <f t="array" ref="S41">INDEX($D$2:$D$14395,$O41,0)</f>
        <v>0</v>
      </c>
      <c r="T41">
        <f t="shared" si="10"/>
        <v>-3607.4104227284965</v>
      </c>
      <c r="U41">
        <f t="shared" si="11"/>
        <v>362.73413653140716</v>
      </c>
      <c r="V41">
        <f t="shared" si="12"/>
        <v>360.96470171905884</v>
      </c>
      <c r="W41">
        <f t="shared" si="13"/>
        <v>1592.7491365314072</v>
      </c>
      <c r="X41">
        <f t="shared" si="14"/>
        <v>1760.4741365314071</v>
      </c>
      <c r="Y41">
        <f t="shared" si="15"/>
        <v>360.96470171905884</v>
      </c>
      <c r="Z41">
        <f t="shared" si="16"/>
        <v>325.96528113080899</v>
      </c>
      <c r="AA41">
        <f t="shared" si="17"/>
        <v>1459.0041365314071</v>
      </c>
    </row>
    <row r="42" spans="1:27" x14ac:dyDescent="0.35">
      <c r="A42">
        <v>120</v>
      </c>
      <c r="B42">
        <v>-3956.17</v>
      </c>
      <c r="C42">
        <f t="shared" si="7"/>
        <v>36.576000000000001</v>
      </c>
      <c r="D42">
        <f t="shared" si="0"/>
        <v>-1205.8406160000002</v>
      </c>
      <c r="E42">
        <f t="shared" si="1"/>
        <v>121.25028854034001</v>
      </c>
      <c r="F42">
        <f t="shared" si="2"/>
        <v>120.65882371819202</v>
      </c>
      <c r="G42">
        <f t="shared" si="3"/>
        <v>1518.9902885403401</v>
      </c>
      <c r="H42">
        <f t="shared" si="4"/>
        <v>120.65882371819202</v>
      </c>
      <c r="I42">
        <v>1</v>
      </c>
      <c r="J42">
        <f t="shared" si="5"/>
        <v>108.95964953610459</v>
      </c>
      <c r="K42">
        <f t="shared" si="6"/>
        <v>1217.5202885403401</v>
      </c>
      <c r="M42">
        <v>1115.723447999997</v>
      </c>
      <c r="N42">
        <f t="shared" si="8"/>
        <v>396</v>
      </c>
      <c r="O42">
        <f t="shared" si="9"/>
        <v>397</v>
      </c>
      <c r="P42" cm="1">
        <f t="array" ref="P42">INDEX($C$2:$C$14395,$N42,0)</f>
        <v>361.18800000000005</v>
      </c>
      <c r="Q42" cm="1">
        <f t="array" ref="Q42">INDEX($C$2:$C$14395,$O42,0)</f>
        <v>0</v>
      </c>
      <c r="R42" cm="1">
        <f t="array" ref="R42">INDEX($D$2:$D$14395,$N42,0)</f>
        <v>-1209.0989280000001</v>
      </c>
      <c r="S42" cm="1">
        <f t="array" ref="S42">INDEX($D$2:$D$14395,$O42,0)</f>
        <v>0</v>
      </c>
      <c r="T42">
        <f t="shared" si="10"/>
        <v>-3734.9525037411545</v>
      </c>
      <c r="U42">
        <f t="shared" si="11"/>
        <v>375.55881163243248</v>
      </c>
      <c r="V42">
        <f t="shared" si="12"/>
        <v>373.72681742934742</v>
      </c>
      <c r="W42">
        <f t="shared" si="13"/>
        <v>1605.5738116324326</v>
      </c>
      <c r="X42">
        <f t="shared" si="14"/>
        <v>1773.2988116324325</v>
      </c>
      <c r="Y42">
        <f t="shared" si="15"/>
        <v>373.72681742934742</v>
      </c>
      <c r="Z42">
        <f t="shared" si="16"/>
        <v>337.48997209232539</v>
      </c>
      <c r="AA42">
        <f t="shared" si="17"/>
        <v>1471.8288116324325</v>
      </c>
    </row>
    <row r="43" spans="1:27" x14ac:dyDescent="0.35">
      <c r="A43">
        <v>123</v>
      </c>
      <c r="B43">
        <v>-3956.18</v>
      </c>
      <c r="C43">
        <f t="shared" si="7"/>
        <v>37.490400000000001</v>
      </c>
      <c r="D43">
        <f t="shared" si="0"/>
        <v>-1205.843664</v>
      </c>
      <c r="E43">
        <f t="shared" si="1"/>
        <v>121.25059502436001</v>
      </c>
      <c r="F43">
        <f t="shared" si="2"/>
        <v>120.65912870716801</v>
      </c>
      <c r="G43">
        <f t="shared" si="3"/>
        <v>1518.9905950243601</v>
      </c>
      <c r="H43">
        <f t="shared" si="4"/>
        <v>120.65912870716801</v>
      </c>
      <c r="I43">
        <v>1</v>
      </c>
      <c r="J43">
        <f t="shared" si="5"/>
        <v>108.95992495311023</v>
      </c>
      <c r="K43">
        <f t="shared" si="6"/>
        <v>1217.5205950243601</v>
      </c>
      <c r="M43">
        <v>1153.8234479999971</v>
      </c>
      <c r="N43">
        <f t="shared" si="8"/>
        <v>396</v>
      </c>
      <c r="O43">
        <f t="shared" si="9"/>
        <v>397</v>
      </c>
      <c r="P43" cm="1">
        <f t="array" ref="P43">INDEX($C$2:$C$14395,$N43,0)</f>
        <v>361.18800000000005</v>
      </c>
      <c r="Q43" cm="1">
        <f t="array" ref="Q43">INDEX($C$2:$C$14395,$O43,0)</f>
        <v>0</v>
      </c>
      <c r="R43" cm="1">
        <f t="array" ref="R43">INDEX($D$2:$D$14395,$N43,0)</f>
        <v>-1209.0989280000001</v>
      </c>
      <c r="S43" cm="1">
        <f t="array" ref="S43">INDEX($D$2:$D$14395,$O43,0)</f>
        <v>0</v>
      </c>
      <c r="T43">
        <f t="shared" si="10"/>
        <v>-3862.4945847538133</v>
      </c>
      <c r="U43">
        <f t="shared" si="11"/>
        <v>388.3834867334578</v>
      </c>
      <c r="V43">
        <f t="shared" si="12"/>
        <v>386.48893313963612</v>
      </c>
      <c r="W43">
        <f t="shared" si="13"/>
        <v>1618.398486733458</v>
      </c>
      <c r="X43">
        <f t="shared" si="14"/>
        <v>1786.1234867334579</v>
      </c>
      <c r="Y43">
        <f t="shared" si="15"/>
        <v>386.48893313963612</v>
      </c>
      <c r="Z43">
        <f t="shared" si="16"/>
        <v>349.01466305384196</v>
      </c>
      <c r="AA43">
        <f t="shared" si="17"/>
        <v>1484.6534867334578</v>
      </c>
    </row>
    <row r="44" spans="1:27" x14ac:dyDescent="0.35">
      <c r="A44">
        <v>126</v>
      </c>
      <c r="B44">
        <v>-3956.2</v>
      </c>
      <c r="C44">
        <f t="shared" si="7"/>
        <v>38.404800000000002</v>
      </c>
      <c r="D44">
        <f t="shared" si="0"/>
        <v>-1205.8497600000001</v>
      </c>
      <c r="E44">
        <f t="shared" si="1"/>
        <v>121.25120799240001</v>
      </c>
      <c r="F44">
        <f t="shared" si="2"/>
        <v>120.65973868512</v>
      </c>
      <c r="G44">
        <f t="shared" si="3"/>
        <v>1518.9912079923999</v>
      </c>
      <c r="H44">
        <f t="shared" si="4"/>
        <v>120.65973868512</v>
      </c>
      <c r="I44">
        <v>1</v>
      </c>
      <c r="J44">
        <f t="shared" si="5"/>
        <v>108.96047578712161</v>
      </c>
      <c r="K44">
        <f t="shared" si="6"/>
        <v>1217.5212079923999</v>
      </c>
      <c r="M44">
        <v>1191.9234479999971</v>
      </c>
      <c r="N44">
        <f t="shared" si="8"/>
        <v>396</v>
      </c>
      <c r="O44">
        <f t="shared" si="9"/>
        <v>397</v>
      </c>
      <c r="P44" cm="1">
        <f t="array" ref="P44">INDEX($C$2:$C$14395,$N44,0)</f>
        <v>361.18800000000005</v>
      </c>
      <c r="Q44" cm="1">
        <f t="array" ref="Q44">INDEX($C$2:$C$14395,$O44,0)</f>
        <v>0</v>
      </c>
      <c r="R44" cm="1">
        <f t="array" ref="R44">INDEX($D$2:$D$14395,$N44,0)</f>
        <v>-1209.0989280000001</v>
      </c>
      <c r="S44" cm="1">
        <f t="array" ref="S44">INDEX($D$2:$D$14395,$O44,0)</f>
        <v>0</v>
      </c>
      <c r="T44">
        <f t="shared" si="10"/>
        <v>-3990.0366657664713</v>
      </c>
      <c r="U44">
        <f t="shared" si="11"/>
        <v>401.20816183448312</v>
      </c>
      <c r="V44">
        <f t="shared" si="12"/>
        <v>399.25104884992464</v>
      </c>
      <c r="W44">
        <f t="shared" si="13"/>
        <v>1631.2231618344831</v>
      </c>
      <c r="X44">
        <f t="shared" si="14"/>
        <v>1798.948161834483</v>
      </c>
      <c r="Y44">
        <f t="shared" si="15"/>
        <v>399.25104884992464</v>
      </c>
      <c r="Z44">
        <f t="shared" si="16"/>
        <v>360.53935401535847</v>
      </c>
      <c r="AA44">
        <f t="shared" si="17"/>
        <v>1497.4781618344832</v>
      </c>
    </row>
    <row r="45" spans="1:27" x14ac:dyDescent="0.35">
      <c r="A45">
        <v>129</v>
      </c>
      <c r="B45">
        <v>-3956.22</v>
      </c>
      <c r="C45">
        <f t="shared" si="7"/>
        <v>39.319200000000002</v>
      </c>
      <c r="D45">
        <f t="shared" si="0"/>
        <v>-1205.8558559999999</v>
      </c>
      <c r="E45">
        <f t="shared" si="1"/>
        <v>121.25182096044</v>
      </c>
      <c r="F45">
        <f t="shared" si="2"/>
        <v>120.66034866307201</v>
      </c>
      <c r="G45">
        <f t="shared" si="3"/>
        <v>1518.99182096044</v>
      </c>
      <c r="H45">
        <f t="shared" si="4"/>
        <v>120.66034866307201</v>
      </c>
      <c r="I45">
        <v>1</v>
      </c>
      <c r="J45">
        <f t="shared" si="5"/>
        <v>108.96102662113296</v>
      </c>
      <c r="K45">
        <f t="shared" si="6"/>
        <v>1217.52182096044</v>
      </c>
      <c r="M45">
        <v>1222.3272479999971</v>
      </c>
      <c r="N45">
        <f t="shared" si="8"/>
        <v>396</v>
      </c>
      <c r="O45">
        <f t="shared" si="9"/>
        <v>397</v>
      </c>
      <c r="P45" cm="1">
        <f t="array" ref="P45">INDEX($C$2:$C$14395,$N45,0)</f>
        <v>361.18800000000005</v>
      </c>
      <c r="Q45" cm="1">
        <f t="array" ref="Q45">INDEX($C$2:$C$14395,$O45,0)</f>
        <v>0</v>
      </c>
      <c r="R45" cm="1">
        <f t="array" ref="R45">INDEX($D$2:$D$14395,$N45,0)</f>
        <v>-1209.0989280000001</v>
      </c>
      <c r="S45" cm="1">
        <f t="array" ref="S45">INDEX($D$2:$D$14395,$O45,0)</f>
        <v>0</v>
      </c>
      <c r="T45">
        <f t="shared" si="10"/>
        <v>-4091.8152464145724</v>
      </c>
      <c r="U45">
        <f t="shared" si="11"/>
        <v>411.44225256510128</v>
      </c>
      <c r="V45">
        <f t="shared" si="12"/>
        <v>409.43521718673497</v>
      </c>
      <c r="W45">
        <f t="shared" si="13"/>
        <v>1641.4572525651015</v>
      </c>
      <c r="X45">
        <f t="shared" si="14"/>
        <v>1809.1822525651014</v>
      </c>
      <c r="Y45">
        <f t="shared" si="15"/>
        <v>409.43521718673497</v>
      </c>
      <c r="Z45">
        <f t="shared" si="16"/>
        <v>369.73605740264861</v>
      </c>
      <c r="AA45">
        <f t="shared" si="17"/>
        <v>1507.7122525651012</v>
      </c>
    </row>
    <row r="46" spans="1:27" x14ac:dyDescent="0.35">
      <c r="A46">
        <v>132</v>
      </c>
      <c r="B46">
        <v>-3956.24</v>
      </c>
      <c r="C46">
        <f t="shared" si="7"/>
        <v>40.233600000000003</v>
      </c>
      <c r="D46">
        <f t="shared" si="0"/>
        <v>-1205.861952</v>
      </c>
      <c r="E46">
        <f t="shared" si="1"/>
        <v>121.25243392848002</v>
      </c>
      <c r="F46">
        <f t="shared" si="2"/>
        <v>120.66095864102401</v>
      </c>
      <c r="G46">
        <f t="shared" si="3"/>
        <v>1518.9924339284801</v>
      </c>
      <c r="H46">
        <f t="shared" si="4"/>
        <v>120.66095864102401</v>
      </c>
      <c r="I46">
        <v>1</v>
      </c>
      <c r="J46">
        <f t="shared" si="5"/>
        <v>108.96157745514434</v>
      </c>
      <c r="K46">
        <f t="shared" si="6"/>
        <v>1217.52243392848</v>
      </c>
      <c r="M46">
        <v>1245.0348479999971</v>
      </c>
      <c r="N46">
        <f t="shared" si="8"/>
        <v>396</v>
      </c>
      <c r="O46">
        <f t="shared" si="9"/>
        <v>397</v>
      </c>
      <c r="P46" cm="1">
        <f t="array" ref="P46">INDEX($C$2:$C$14395,$N46,0)</f>
        <v>361.18800000000005</v>
      </c>
      <c r="Q46" cm="1">
        <f t="array" ref="Q46">INDEX($C$2:$C$14395,$O46,0)</f>
        <v>0</v>
      </c>
      <c r="R46" cm="1">
        <f t="array" ref="R46">INDEX($D$2:$D$14395,$N46,0)</f>
        <v>-1209.0989280000001</v>
      </c>
      <c r="S46" cm="1">
        <f t="array" ref="S46">INDEX($D$2:$D$14395,$O46,0)</f>
        <v>0</v>
      </c>
      <c r="T46">
        <f t="shared" si="10"/>
        <v>-4167.8303266981166</v>
      </c>
      <c r="U46">
        <f t="shared" si="11"/>
        <v>419.0857589253124</v>
      </c>
      <c r="V46">
        <f t="shared" si="12"/>
        <v>417.04143815006705</v>
      </c>
      <c r="W46">
        <f t="shared" si="13"/>
        <v>1649.1007589253124</v>
      </c>
      <c r="X46">
        <f t="shared" si="14"/>
        <v>1816.8257589253124</v>
      </c>
      <c r="Y46">
        <f t="shared" si="15"/>
        <v>417.04143815006705</v>
      </c>
      <c r="Z46">
        <f t="shared" si="16"/>
        <v>376.60477321571244</v>
      </c>
      <c r="AA46">
        <f t="shared" si="17"/>
        <v>1515.3557589253123</v>
      </c>
    </row>
    <row r="47" spans="1:27" x14ac:dyDescent="0.35">
      <c r="A47">
        <v>135</v>
      </c>
      <c r="B47">
        <v>-3956.25</v>
      </c>
      <c r="C47">
        <f t="shared" si="7"/>
        <v>41.148000000000003</v>
      </c>
      <c r="D47">
        <f t="shared" si="0"/>
        <v>-1205.865</v>
      </c>
      <c r="E47">
        <f t="shared" si="1"/>
        <v>121.2527404125</v>
      </c>
      <c r="F47">
        <f t="shared" si="2"/>
        <v>120.66126363000002</v>
      </c>
      <c r="G47">
        <f t="shared" si="3"/>
        <v>1518.9927404125001</v>
      </c>
      <c r="H47">
        <f t="shared" si="4"/>
        <v>120.66126363000002</v>
      </c>
      <c r="I47">
        <v>1</v>
      </c>
      <c r="J47">
        <f t="shared" si="5"/>
        <v>108.96185287215</v>
      </c>
      <c r="K47">
        <f t="shared" si="6"/>
        <v>1217.5227404125001</v>
      </c>
      <c r="M47">
        <v>1275.4386479999971</v>
      </c>
      <c r="N47">
        <f t="shared" si="8"/>
        <v>396</v>
      </c>
      <c r="O47">
        <f t="shared" si="9"/>
        <v>397</v>
      </c>
      <c r="P47" cm="1">
        <f t="array" ref="P47">INDEX($C$2:$C$14395,$N47,0)</f>
        <v>361.18800000000005</v>
      </c>
      <c r="Q47" cm="1">
        <f t="array" ref="Q47">INDEX($C$2:$C$14395,$O47,0)</f>
        <v>0</v>
      </c>
      <c r="R47" cm="1">
        <f t="array" ref="R47">INDEX($D$2:$D$14395,$N47,0)</f>
        <v>-1209.0989280000001</v>
      </c>
      <c r="S47" cm="1">
        <f t="array" ref="S47">INDEX($D$2:$D$14395,$O47,0)</f>
        <v>0</v>
      </c>
      <c r="T47">
        <f t="shared" si="10"/>
        <v>-4269.6089073462181</v>
      </c>
      <c r="U47">
        <f t="shared" si="11"/>
        <v>429.31984965593062</v>
      </c>
      <c r="V47">
        <f t="shared" si="12"/>
        <v>427.22560648687733</v>
      </c>
      <c r="W47">
        <f t="shared" si="13"/>
        <v>1659.3348496559306</v>
      </c>
      <c r="X47">
        <f t="shared" si="14"/>
        <v>1827.0598496559305</v>
      </c>
      <c r="Y47">
        <f t="shared" si="15"/>
        <v>427.22560648687733</v>
      </c>
      <c r="Z47">
        <f t="shared" si="16"/>
        <v>385.80147660300264</v>
      </c>
      <c r="AA47">
        <f t="shared" si="17"/>
        <v>1525.5898496559307</v>
      </c>
    </row>
    <row r="48" spans="1:27" x14ac:dyDescent="0.35">
      <c r="A48">
        <v>138</v>
      </c>
      <c r="B48">
        <v>-3956.24</v>
      </c>
      <c r="C48">
        <f t="shared" si="7"/>
        <v>42.062400000000004</v>
      </c>
      <c r="D48">
        <f t="shared" si="0"/>
        <v>-1205.861952</v>
      </c>
      <c r="E48">
        <f t="shared" si="1"/>
        <v>121.25243392848002</v>
      </c>
      <c r="F48">
        <f t="shared" si="2"/>
        <v>120.66095864102401</v>
      </c>
      <c r="G48">
        <f t="shared" si="3"/>
        <v>1518.9924339284801</v>
      </c>
      <c r="H48">
        <f t="shared" si="4"/>
        <v>120.66095864102401</v>
      </c>
      <c r="I48">
        <v>1</v>
      </c>
      <c r="J48">
        <f t="shared" si="5"/>
        <v>108.96157745514434</v>
      </c>
      <c r="K48">
        <f t="shared" si="6"/>
        <v>1217.52243392848</v>
      </c>
      <c r="M48">
        <v>1313.538647999997</v>
      </c>
      <c r="N48">
        <f t="shared" si="8"/>
        <v>396</v>
      </c>
      <c r="O48">
        <f t="shared" si="9"/>
        <v>397</v>
      </c>
      <c r="P48" cm="1">
        <f t="array" ref="P48">INDEX($C$2:$C$14395,$N48,0)</f>
        <v>361.18800000000005</v>
      </c>
      <c r="Q48" cm="1">
        <f t="array" ref="Q48">INDEX($C$2:$C$14395,$O48,0)</f>
        <v>0</v>
      </c>
      <c r="R48" cm="1">
        <f t="array" ref="R48">INDEX($D$2:$D$14395,$N48,0)</f>
        <v>-1209.0989280000001</v>
      </c>
      <c r="S48" cm="1">
        <f t="array" ref="S48">INDEX($D$2:$D$14395,$O48,0)</f>
        <v>0</v>
      </c>
      <c r="T48">
        <f t="shared" si="10"/>
        <v>-4397.150988358876</v>
      </c>
      <c r="U48">
        <f t="shared" si="11"/>
        <v>442.14452475695595</v>
      </c>
      <c r="V48">
        <f t="shared" si="12"/>
        <v>439.98772219716591</v>
      </c>
      <c r="W48">
        <f t="shared" si="13"/>
        <v>1672.159524756956</v>
      </c>
      <c r="X48">
        <f t="shared" si="14"/>
        <v>1839.8845247569559</v>
      </c>
      <c r="Y48">
        <f t="shared" si="15"/>
        <v>439.98772219716591</v>
      </c>
      <c r="Z48">
        <f t="shared" si="16"/>
        <v>397.3261675645191</v>
      </c>
      <c r="AA48">
        <f t="shared" si="17"/>
        <v>1538.4145247569559</v>
      </c>
    </row>
    <row r="49" spans="1:27" x14ac:dyDescent="0.35">
      <c r="A49">
        <v>141</v>
      </c>
      <c r="B49">
        <v>-3956.21</v>
      </c>
      <c r="C49">
        <f t="shared" si="7"/>
        <v>42.976800000000004</v>
      </c>
      <c r="D49">
        <f t="shared" si="0"/>
        <v>-1205.8528080000001</v>
      </c>
      <c r="E49">
        <f t="shared" si="1"/>
        <v>121.25151447642003</v>
      </c>
      <c r="F49">
        <f t="shared" si="2"/>
        <v>120.66004367409602</v>
      </c>
      <c r="G49">
        <f t="shared" si="3"/>
        <v>1518.99151447642</v>
      </c>
      <c r="H49">
        <f t="shared" si="4"/>
        <v>120.66004367409602</v>
      </c>
      <c r="I49">
        <v>1</v>
      </c>
      <c r="J49">
        <f t="shared" si="5"/>
        <v>108.96075120412729</v>
      </c>
      <c r="K49">
        <f t="shared" si="6"/>
        <v>1217.52151447642</v>
      </c>
      <c r="M49">
        <v>1343.9454959999971</v>
      </c>
      <c r="N49">
        <f t="shared" si="8"/>
        <v>396</v>
      </c>
      <c r="O49">
        <f t="shared" si="9"/>
        <v>397</v>
      </c>
      <c r="P49" cm="1">
        <f t="array" ref="P49">INDEX($C$2:$C$14395,$N49,0)</f>
        <v>361.18800000000005</v>
      </c>
      <c r="Q49" cm="1">
        <f t="array" ref="Q49">INDEX($C$2:$C$14395,$O49,0)</f>
        <v>0</v>
      </c>
      <c r="R49" cm="1">
        <f t="array" ref="R49">INDEX($D$2:$D$14395,$N49,0)</f>
        <v>-1209.0989280000001</v>
      </c>
      <c r="S49" cm="1">
        <f t="array" ref="S49">INDEX($D$2:$D$14395,$O49,0)</f>
        <v>0</v>
      </c>
      <c r="T49">
        <f t="shared" si="10"/>
        <v>-4498.9397723734583</v>
      </c>
      <c r="U49">
        <f t="shared" si="11"/>
        <v>452.37964146158208</v>
      </c>
      <c r="V49">
        <f t="shared" si="12"/>
        <v>450.17291150323297</v>
      </c>
      <c r="W49">
        <f t="shared" si="13"/>
        <v>1682.3946414615821</v>
      </c>
      <c r="X49">
        <f t="shared" si="14"/>
        <v>1850.119641461582</v>
      </c>
      <c r="Y49">
        <f t="shared" si="15"/>
        <v>450.17291150323297</v>
      </c>
      <c r="Z49">
        <f t="shared" si="16"/>
        <v>406.52379292708622</v>
      </c>
      <c r="AA49">
        <f t="shared" si="17"/>
        <v>1548.6496414615822</v>
      </c>
    </row>
    <row r="50" spans="1:27" x14ac:dyDescent="0.35">
      <c r="A50">
        <v>144</v>
      </c>
      <c r="B50">
        <v>-3956.18</v>
      </c>
      <c r="C50">
        <f t="shared" si="7"/>
        <v>43.891200000000005</v>
      </c>
      <c r="D50">
        <f t="shared" si="0"/>
        <v>-1205.843664</v>
      </c>
      <c r="E50">
        <f t="shared" si="1"/>
        <v>121.25059502436001</v>
      </c>
      <c r="F50">
        <f t="shared" si="2"/>
        <v>120.65912870716801</v>
      </c>
      <c r="G50">
        <f t="shared" si="3"/>
        <v>1518.9905950243601</v>
      </c>
      <c r="H50">
        <f t="shared" si="4"/>
        <v>120.65912870716801</v>
      </c>
      <c r="I50">
        <v>1</v>
      </c>
      <c r="J50">
        <f t="shared" si="5"/>
        <v>108.95992495311023</v>
      </c>
      <c r="K50">
        <f t="shared" si="6"/>
        <v>1217.5205950243601</v>
      </c>
      <c r="M50">
        <v>1366.6591919999971</v>
      </c>
      <c r="N50">
        <f t="shared" si="8"/>
        <v>396</v>
      </c>
      <c r="O50">
        <f t="shared" si="9"/>
        <v>397</v>
      </c>
      <c r="P50" cm="1">
        <f t="array" ref="P50">INDEX($C$2:$C$14395,$N50,0)</f>
        <v>361.18800000000005</v>
      </c>
      <c r="Q50" cm="1">
        <f t="array" ref="Q50">INDEX($C$2:$C$14395,$O50,0)</f>
        <v>0</v>
      </c>
      <c r="R50" cm="1">
        <f t="array" ref="R50">INDEX($D$2:$D$14395,$N50,0)</f>
        <v>-1209.0989280000001</v>
      </c>
      <c r="S50" cm="1">
        <f t="array" ref="S50">INDEX($D$2:$D$14395,$O50,0)</f>
        <v>0</v>
      </c>
      <c r="T50">
        <f t="shared" si="10"/>
        <v>-4574.9752593899648</v>
      </c>
      <c r="U50">
        <f t="shared" si="11"/>
        <v>460.02519976980949</v>
      </c>
      <c r="V50">
        <f t="shared" si="12"/>
        <v>457.78117440507867</v>
      </c>
      <c r="W50">
        <f t="shared" si="13"/>
        <v>1690.0401997698095</v>
      </c>
      <c r="X50">
        <f t="shared" si="14"/>
        <v>1857.7651997698094</v>
      </c>
      <c r="Y50">
        <f t="shared" si="15"/>
        <v>457.78117440507867</v>
      </c>
      <c r="Z50">
        <f t="shared" si="16"/>
        <v>413.3943526907039</v>
      </c>
      <c r="AA50">
        <f t="shared" si="17"/>
        <v>1556.2951997698094</v>
      </c>
    </row>
    <row r="51" spans="1:27" x14ac:dyDescent="0.35">
      <c r="A51">
        <v>147</v>
      </c>
      <c r="B51">
        <v>-3956.18</v>
      </c>
      <c r="C51">
        <f t="shared" si="7"/>
        <v>44.805600000000005</v>
      </c>
      <c r="D51">
        <f t="shared" si="0"/>
        <v>-1205.843664</v>
      </c>
      <c r="E51">
        <f t="shared" si="1"/>
        <v>121.25059502436001</v>
      </c>
      <c r="F51">
        <f t="shared" si="2"/>
        <v>120.65912870716801</v>
      </c>
      <c r="G51">
        <f t="shared" si="3"/>
        <v>1518.9905950243601</v>
      </c>
      <c r="H51">
        <f t="shared" si="4"/>
        <v>120.65912870716801</v>
      </c>
      <c r="I51">
        <v>1</v>
      </c>
      <c r="J51">
        <f t="shared" si="5"/>
        <v>108.95992495311023</v>
      </c>
      <c r="K51">
        <f t="shared" si="6"/>
        <v>1217.5205950243601</v>
      </c>
      <c r="M51">
        <v>1393.0274399999971</v>
      </c>
      <c r="N51">
        <f t="shared" si="8"/>
        <v>396</v>
      </c>
      <c r="O51">
        <f t="shared" si="9"/>
        <v>397</v>
      </c>
      <c r="P51" cm="1">
        <f t="array" ref="P51">INDEX($C$2:$C$14395,$N51,0)</f>
        <v>361.18800000000005</v>
      </c>
      <c r="Q51" cm="1">
        <f t="array" ref="Q51">INDEX($C$2:$C$14395,$O51,0)</f>
        <v>0</v>
      </c>
      <c r="R51" cm="1">
        <f t="array" ref="R51">INDEX($D$2:$D$14395,$N51,0)</f>
        <v>-1209.0989280000001</v>
      </c>
      <c r="S51" cm="1">
        <f t="array" ref="S51">INDEX($D$2:$D$14395,$O51,0)</f>
        <v>0</v>
      </c>
      <c r="T51">
        <f t="shared" si="10"/>
        <v>-4663.2445828172058</v>
      </c>
      <c r="U51">
        <f t="shared" si="11"/>
        <v>468.90090091372707</v>
      </c>
      <c r="V51">
        <f t="shared" si="12"/>
        <v>466.61357944585524</v>
      </c>
      <c r="W51">
        <f t="shared" si="13"/>
        <v>1698.9159009137272</v>
      </c>
      <c r="X51">
        <f t="shared" si="14"/>
        <v>1866.6409009137271</v>
      </c>
      <c r="Y51">
        <f t="shared" si="15"/>
        <v>466.61357944585524</v>
      </c>
      <c r="Z51">
        <f t="shared" si="16"/>
        <v>421.37036081135028</v>
      </c>
      <c r="AA51">
        <f t="shared" si="17"/>
        <v>1565.1709009137271</v>
      </c>
    </row>
    <row r="52" spans="1:27" x14ac:dyDescent="0.35">
      <c r="A52">
        <v>150</v>
      </c>
      <c r="B52">
        <v>-3956.18</v>
      </c>
      <c r="C52">
        <f t="shared" si="7"/>
        <v>45.72</v>
      </c>
      <c r="D52">
        <f t="shared" si="0"/>
        <v>-1205.843664</v>
      </c>
      <c r="E52">
        <f t="shared" si="1"/>
        <v>121.25059502436001</v>
      </c>
      <c r="F52">
        <f t="shared" si="2"/>
        <v>120.65912870716801</v>
      </c>
      <c r="G52">
        <f t="shared" si="3"/>
        <v>1518.9905950243601</v>
      </c>
      <c r="H52">
        <f t="shared" si="4"/>
        <v>120.65912870716801</v>
      </c>
      <c r="I52">
        <v>1</v>
      </c>
      <c r="J52">
        <f t="shared" si="5"/>
        <v>108.95992495311023</v>
      </c>
      <c r="K52">
        <f t="shared" si="6"/>
        <v>1217.5205950243601</v>
      </c>
      <c r="M52">
        <v>1423.0502399999971</v>
      </c>
      <c r="N52">
        <f t="shared" si="8"/>
        <v>396</v>
      </c>
      <c r="O52">
        <f t="shared" si="9"/>
        <v>397</v>
      </c>
      <c r="P52" cm="1">
        <f t="array" ref="P52">INDEX($C$2:$C$14395,$N52,0)</f>
        <v>361.18800000000005</v>
      </c>
      <c r="Q52" cm="1">
        <f t="array" ref="Q52">INDEX($C$2:$C$14395,$O52,0)</f>
        <v>0</v>
      </c>
      <c r="R52" cm="1">
        <f t="array" ref="R52">INDEX($D$2:$D$14395,$N52,0)</f>
        <v>-1209.0989280000001</v>
      </c>
      <c r="S52" cm="1">
        <f t="array" ref="S52">INDEX($D$2:$D$14395,$O52,0)</f>
        <v>0</v>
      </c>
      <c r="T52">
        <f t="shared" si="10"/>
        <v>-4763.7477426551804</v>
      </c>
      <c r="U52">
        <f t="shared" si="11"/>
        <v>479.00674489333505</v>
      </c>
      <c r="V52">
        <f t="shared" si="12"/>
        <v>476.67012662556266</v>
      </c>
      <c r="W52">
        <f t="shared" si="13"/>
        <v>1709.0217448933352</v>
      </c>
      <c r="X52">
        <f t="shared" si="14"/>
        <v>1876.7467448933351</v>
      </c>
      <c r="Y52">
        <f t="shared" si="15"/>
        <v>476.67012662556266</v>
      </c>
      <c r="Z52">
        <f t="shared" si="16"/>
        <v>430.45181728902531</v>
      </c>
      <c r="AA52">
        <f t="shared" si="17"/>
        <v>1575.276744893335</v>
      </c>
    </row>
    <row r="53" spans="1:27" x14ac:dyDescent="0.35">
      <c r="A53">
        <v>153</v>
      </c>
      <c r="B53">
        <v>-3956.19</v>
      </c>
      <c r="C53">
        <f t="shared" si="7"/>
        <v>46.634399999999999</v>
      </c>
      <c r="D53">
        <f t="shared" si="0"/>
        <v>-1205.846712</v>
      </c>
      <c r="E53">
        <f t="shared" si="1"/>
        <v>121.25090150838001</v>
      </c>
      <c r="F53">
        <f t="shared" si="2"/>
        <v>120.65943369614401</v>
      </c>
      <c r="G53">
        <f t="shared" si="3"/>
        <v>1518.9909015083799</v>
      </c>
      <c r="H53">
        <f t="shared" si="4"/>
        <v>120.65943369614401</v>
      </c>
      <c r="I53">
        <v>1</v>
      </c>
      <c r="J53">
        <f t="shared" si="5"/>
        <v>108.96020037011594</v>
      </c>
      <c r="K53">
        <f t="shared" si="6"/>
        <v>1217.5209015083799</v>
      </c>
      <c r="M53">
        <v>1449.4215359999969</v>
      </c>
      <c r="N53">
        <f t="shared" si="8"/>
        <v>396</v>
      </c>
      <c r="O53">
        <f t="shared" si="9"/>
        <v>397</v>
      </c>
      <c r="P53" cm="1">
        <f t="array" ref="P53">INDEX($C$2:$C$14395,$N53,0)</f>
        <v>361.18800000000005</v>
      </c>
      <c r="Q53" cm="1">
        <f t="array" ref="Q53">INDEX($C$2:$C$14395,$O53,0)</f>
        <v>0</v>
      </c>
      <c r="R53" cm="1">
        <f t="array" ref="R53">INDEX($D$2:$D$14395,$N53,0)</f>
        <v>-1209.0989280000001</v>
      </c>
      <c r="S53" cm="1">
        <f t="array" ref="S53">INDEX($D$2:$D$14395,$O53,0)</f>
        <v>0</v>
      </c>
      <c r="T53">
        <f t="shared" si="10"/>
        <v>-4852.0272694489013</v>
      </c>
      <c r="U53">
        <f t="shared" si="11"/>
        <v>487.88347201126066</v>
      </c>
      <c r="V53">
        <f t="shared" si="12"/>
        <v>485.50355263559601</v>
      </c>
      <c r="W53">
        <f t="shared" si="13"/>
        <v>1717.8984720112608</v>
      </c>
      <c r="X53">
        <f t="shared" si="14"/>
        <v>1885.6234720112607</v>
      </c>
      <c r="Y53">
        <f t="shared" si="15"/>
        <v>485.50355263559601</v>
      </c>
      <c r="Z53">
        <f t="shared" si="16"/>
        <v>438.42874738494851</v>
      </c>
      <c r="AA53">
        <f t="shared" si="17"/>
        <v>1584.1534720112606</v>
      </c>
    </row>
    <row r="54" spans="1:27" x14ac:dyDescent="0.35">
      <c r="A54">
        <v>156</v>
      </c>
      <c r="B54">
        <v>-3956.21</v>
      </c>
      <c r="C54">
        <f t="shared" si="7"/>
        <v>47.5488</v>
      </c>
      <c r="D54">
        <f t="shared" si="0"/>
        <v>-1205.8528080000001</v>
      </c>
      <c r="E54">
        <f t="shared" si="1"/>
        <v>121.25151447642003</v>
      </c>
      <c r="F54">
        <f t="shared" si="2"/>
        <v>120.66004367409602</v>
      </c>
      <c r="G54">
        <f t="shared" si="3"/>
        <v>1518.99151447642</v>
      </c>
      <c r="H54">
        <f t="shared" si="4"/>
        <v>120.66004367409602</v>
      </c>
      <c r="I54">
        <v>1</v>
      </c>
      <c r="J54">
        <f t="shared" si="5"/>
        <v>108.96075120412729</v>
      </c>
      <c r="K54">
        <f t="shared" si="6"/>
        <v>1217.52151447642</v>
      </c>
      <c r="M54">
        <v>1472.141327999997</v>
      </c>
      <c r="N54">
        <f t="shared" si="8"/>
        <v>396</v>
      </c>
      <c r="O54">
        <f t="shared" si="9"/>
        <v>397</v>
      </c>
      <c r="P54" cm="1">
        <f t="array" ref="P54">INDEX($C$2:$C$14395,$N54,0)</f>
        <v>361.18800000000005</v>
      </c>
      <c r="Q54" cm="1">
        <f t="array" ref="Q54">INDEX($C$2:$C$14395,$O54,0)</f>
        <v>0</v>
      </c>
      <c r="R54" cm="1">
        <f t="array" ref="R54">INDEX($D$2:$D$14395,$N54,0)</f>
        <v>-1209.0989280000001</v>
      </c>
      <c r="S54" cm="1">
        <f t="array" ref="S54">INDEX($D$2:$D$14395,$O54,0)</f>
        <v>0</v>
      </c>
      <c r="T54">
        <f t="shared" si="10"/>
        <v>-4928.0831631983692</v>
      </c>
      <c r="U54">
        <f t="shared" si="11"/>
        <v>495.53108226750402</v>
      </c>
      <c r="V54">
        <f t="shared" si="12"/>
        <v>493.11385747595529</v>
      </c>
      <c r="W54">
        <f t="shared" si="13"/>
        <v>1725.5460822675041</v>
      </c>
      <c r="X54">
        <f t="shared" si="14"/>
        <v>1893.271082267504</v>
      </c>
      <c r="Y54">
        <f t="shared" si="15"/>
        <v>493.11385747595529</v>
      </c>
      <c r="Z54">
        <f t="shared" si="16"/>
        <v>445.30115109912003</v>
      </c>
      <c r="AA54">
        <f t="shared" si="17"/>
        <v>1591.8010822675039</v>
      </c>
    </row>
    <row r="55" spans="1:27" x14ac:dyDescent="0.35">
      <c r="A55">
        <v>159</v>
      </c>
      <c r="B55">
        <v>-3956.23</v>
      </c>
      <c r="C55">
        <f t="shared" si="7"/>
        <v>48.463200000000001</v>
      </c>
      <c r="D55">
        <f t="shared" si="0"/>
        <v>-1205.8589040000002</v>
      </c>
      <c r="E55">
        <f t="shared" si="1"/>
        <v>121.25212744446002</v>
      </c>
      <c r="F55">
        <f t="shared" si="2"/>
        <v>120.66065365204801</v>
      </c>
      <c r="G55">
        <f t="shared" si="3"/>
        <v>1518.99212744446</v>
      </c>
      <c r="H55">
        <f t="shared" si="4"/>
        <v>120.66065365204801</v>
      </c>
      <c r="I55">
        <v>1</v>
      </c>
      <c r="J55">
        <f t="shared" si="5"/>
        <v>108.96130203813868</v>
      </c>
      <c r="K55">
        <f t="shared" si="6"/>
        <v>1217.52212744446</v>
      </c>
      <c r="M55">
        <v>1494.8573100000001</v>
      </c>
      <c r="N55">
        <f t="shared" si="8"/>
        <v>396</v>
      </c>
      <c r="O55">
        <f t="shared" si="9"/>
        <v>397</v>
      </c>
      <c r="P55" cm="1">
        <f t="array" ref="P55">INDEX($C$2:$C$14395,$N55,0)</f>
        <v>361.18800000000005</v>
      </c>
      <c r="Q55" cm="1">
        <f t="array" ref="Q55">INDEX($C$2:$C$14395,$O55,0)</f>
        <v>0</v>
      </c>
      <c r="R55" cm="1">
        <f t="array" ref="R55">INDEX($D$2:$D$14395,$N55,0)</f>
        <v>-1209.0989280000001</v>
      </c>
      <c r="S55" cm="1">
        <f t="array" ref="S55">INDEX($D$2:$D$14395,$O55,0)</f>
        <v>0</v>
      </c>
      <c r="T55">
        <f t="shared" si="10"/>
        <v>-5004.1263027397472</v>
      </c>
      <c r="U55">
        <f t="shared" si="11"/>
        <v>503.1774100562385</v>
      </c>
      <c r="V55">
        <f t="shared" si="12"/>
        <v>500.72288610474459</v>
      </c>
      <c r="W55">
        <f t="shared" si="13"/>
        <v>1733.1924100562387</v>
      </c>
      <c r="X55">
        <f t="shared" si="14"/>
        <v>1900.9174100562386</v>
      </c>
      <c r="Y55">
        <f t="shared" si="15"/>
        <v>500.72288610474459</v>
      </c>
      <c r="Z55">
        <f t="shared" si="16"/>
        <v>452.17240234419631</v>
      </c>
      <c r="AA55">
        <f t="shared" si="17"/>
        <v>1599.4474100562384</v>
      </c>
    </row>
    <row r="56" spans="1:27" x14ac:dyDescent="0.35">
      <c r="A56">
        <v>162</v>
      </c>
      <c r="B56">
        <v>-3956.24</v>
      </c>
      <c r="C56">
        <f t="shared" si="7"/>
        <v>49.377600000000001</v>
      </c>
      <c r="D56">
        <f t="shared" si="0"/>
        <v>-1205.861952</v>
      </c>
      <c r="E56">
        <f t="shared" si="1"/>
        <v>121.25243392848002</v>
      </c>
      <c r="F56">
        <f t="shared" si="2"/>
        <v>120.66095864102401</v>
      </c>
      <c r="G56">
        <f t="shared" si="3"/>
        <v>1518.9924339284801</v>
      </c>
      <c r="H56">
        <f t="shared" si="4"/>
        <v>120.66095864102401</v>
      </c>
      <c r="I56">
        <v>1</v>
      </c>
      <c r="J56">
        <f t="shared" si="5"/>
        <v>108.96157745514434</v>
      </c>
      <c r="K56">
        <f t="shared" si="6"/>
        <v>1217.52243392848</v>
      </c>
      <c r="M56">
        <v>1517.5694820000001</v>
      </c>
      <c r="N56">
        <f t="shared" si="8"/>
        <v>396</v>
      </c>
      <c r="O56">
        <f t="shared" si="9"/>
        <v>397</v>
      </c>
      <c r="P56" cm="1">
        <f t="array" ref="P56">INDEX($C$2:$C$14395,$N56,0)</f>
        <v>361.18800000000005</v>
      </c>
      <c r="Q56" cm="1">
        <f t="array" ref="Q56">INDEX($C$2:$C$14395,$O56,0)</f>
        <v>0</v>
      </c>
      <c r="R56" cm="1">
        <f t="array" ref="R56">INDEX($D$2:$D$14395,$N56,0)</f>
        <v>-1209.0989280000001</v>
      </c>
      <c r="S56" cm="1">
        <f t="array" ref="S56">INDEX($D$2:$D$14395,$O56,0)</f>
        <v>0</v>
      </c>
      <c r="T56">
        <f t="shared" si="10"/>
        <v>-5080.1566880730134</v>
      </c>
      <c r="U56">
        <f t="shared" si="11"/>
        <v>510.82245537746167</v>
      </c>
      <c r="V56">
        <f t="shared" si="12"/>
        <v>508.33063852196193</v>
      </c>
      <c r="W56">
        <f t="shared" si="13"/>
        <v>1740.8374553774618</v>
      </c>
      <c r="X56">
        <f t="shared" si="14"/>
        <v>1908.5624553774617</v>
      </c>
      <c r="Y56">
        <f t="shared" si="15"/>
        <v>508.33063852196193</v>
      </c>
      <c r="Z56">
        <f t="shared" si="16"/>
        <v>459.04250112017559</v>
      </c>
      <c r="AA56">
        <f t="shared" si="17"/>
        <v>1607.0924553774616</v>
      </c>
    </row>
    <row r="57" spans="1:27" x14ac:dyDescent="0.35">
      <c r="A57">
        <v>165</v>
      </c>
      <c r="B57">
        <v>-3956.24</v>
      </c>
      <c r="C57">
        <f t="shared" si="7"/>
        <v>50.292000000000002</v>
      </c>
      <c r="D57">
        <f t="shared" si="0"/>
        <v>-1205.861952</v>
      </c>
      <c r="E57">
        <f t="shared" si="1"/>
        <v>121.25243392848002</v>
      </c>
      <c r="F57">
        <f t="shared" si="2"/>
        <v>120.66095864102401</v>
      </c>
      <c r="G57">
        <f t="shared" si="3"/>
        <v>1518.9924339284801</v>
      </c>
      <c r="H57">
        <f t="shared" si="4"/>
        <v>120.66095864102401</v>
      </c>
      <c r="I57">
        <v>1</v>
      </c>
      <c r="J57">
        <f t="shared" si="5"/>
        <v>108.96157745514434</v>
      </c>
      <c r="K57">
        <f t="shared" si="6"/>
        <v>1217.52243392848</v>
      </c>
      <c r="M57">
        <v>1540.280892</v>
      </c>
      <c r="N57">
        <f t="shared" si="8"/>
        <v>396</v>
      </c>
      <c r="O57">
        <f t="shared" si="9"/>
        <v>397</v>
      </c>
      <c r="P57" cm="1">
        <f t="array" ref="P57">INDEX($C$2:$C$14395,$N57,0)</f>
        <v>361.18800000000005</v>
      </c>
      <c r="Q57" cm="1">
        <f t="array" ref="Q57">INDEX($C$2:$C$14395,$O57,0)</f>
        <v>0</v>
      </c>
      <c r="R57" cm="1">
        <f t="array" ref="R57">INDEX($D$2:$D$14395,$N57,0)</f>
        <v>-1209.0989280000001</v>
      </c>
      <c r="S57" cm="1">
        <f t="array" ref="S57">INDEX($D$2:$D$14395,$O57,0)</f>
        <v>0</v>
      </c>
      <c r="T57">
        <f t="shared" si="10"/>
        <v>-5156.1845225646584</v>
      </c>
      <c r="U57">
        <f t="shared" si="11"/>
        <v>518.46724420518285</v>
      </c>
      <c r="V57">
        <f t="shared" si="12"/>
        <v>515.93813569686483</v>
      </c>
      <c r="W57">
        <f t="shared" si="13"/>
        <v>1748.482244205183</v>
      </c>
      <c r="X57">
        <f t="shared" si="14"/>
        <v>1916.2072442051829</v>
      </c>
      <c r="Y57">
        <f t="shared" si="15"/>
        <v>515.93813569686483</v>
      </c>
      <c r="Z57">
        <f t="shared" si="16"/>
        <v>465.91236940233551</v>
      </c>
      <c r="AA57">
        <f t="shared" si="17"/>
        <v>1614.7372442051828</v>
      </c>
    </row>
    <row r="58" spans="1:27" x14ac:dyDescent="0.35">
      <c r="A58">
        <v>168</v>
      </c>
      <c r="B58">
        <v>-3956.23</v>
      </c>
      <c r="C58">
        <f t="shared" si="7"/>
        <v>51.206400000000002</v>
      </c>
      <c r="D58">
        <f t="shared" si="0"/>
        <v>-1205.8589040000002</v>
      </c>
      <c r="E58">
        <f t="shared" si="1"/>
        <v>121.25212744446002</v>
      </c>
      <c r="F58">
        <f t="shared" si="2"/>
        <v>120.66065365204801</v>
      </c>
      <c r="G58">
        <f t="shared" si="3"/>
        <v>1518.99212744446</v>
      </c>
      <c r="H58">
        <f t="shared" si="4"/>
        <v>120.66065365204801</v>
      </c>
      <c r="I58">
        <v>1</v>
      </c>
      <c r="J58">
        <f t="shared" si="5"/>
        <v>108.96130203813868</v>
      </c>
      <c r="K58">
        <f t="shared" si="6"/>
        <v>1217.52212744446</v>
      </c>
      <c r="M58">
        <v>1562.9915400000002</v>
      </c>
      <c r="N58">
        <f t="shared" si="8"/>
        <v>396</v>
      </c>
      <c r="O58">
        <f t="shared" si="9"/>
        <v>397</v>
      </c>
      <c r="P58" cm="1">
        <f t="array" ref="P58">INDEX($C$2:$C$14395,$N58,0)</f>
        <v>361.18800000000005</v>
      </c>
      <c r="Q58" cm="1">
        <f t="array" ref="Q58">INDEX($C$2:$C$14395,$O58,0)</f>
        <v>0</v>
      </c>
      <c r="R58" cm="1">
        <f t="array" ref="R58">INDEX($D$2:$D$14395,$N58,0)</f>
        <v>-1209.0989280000001</v>
      </c>
      <c r="S58" cm="1">
        <f t="array" ref="S58">INDEX($D$2:$D$14395,$O58,0)</f>
        <v>0</v>
      </c>
      <c r="T58">
        <f t="shared" si="10"/>
        <v>-5232.2098062146842</v>
      </c>
      <c r="U58">
        <f t="shared" si="11"/>
        <v>526.11177653940206</v>
      </c>
      <c r="V58">
        <f t="shared" si="12"/>
        <v>523.5453776294537</v>
      </c>
      <c r="W58">
        <f t="shared" si="13"/>
        <v>1756.1267765394023</v>
      </c>
      <c r="X58">
        <f t="shared" si="14"/>
        <v>1923.8517765394022</v>
      </c>
      <c r="Y58">
        <f t="shared" si="15"/>
        <v>523.5453776294537</v>
      </c>
      <c r="Z58">
        <f t="shared" si="16"/>
        <v>472.78200719067638</v>
      </c>
      <c r="AA58">
        <f t="shared" si="17"/>
        <v>1622.3817765394019</v>
      </c>
    </row>
    <row r="59" spans="1:27" x14ac:dyDescent="0.35">
      <c r="A59">
        <v>171</v>
      </c>
      <c r="B59">
        <v>-3956.21</v>
      </c>
      <c r="C59">
        <f t="shared" si="7"/>
        <v>52.120800000000003</v>
      </c>
      <c r="D59">
        <f t="shared" si="0"/>
        <v>-1205.8528080000001</v>
      </c>
      <c r="E59">
        <f t="shared" si="1"/>
        <v>121.25151447642003</v>
      </c>
      <c r="F59">
        <f t="shared" si="2"/>
        <v>120.66004367409602</v>
      </c>
      <c r="G59">
        <f t="shared" si="3"/>
        <v>1518.99151447642</v>
      </c>
      <c r="H59">
        <f t="shared" si="4"/>
        <v>120.66004367409602</v>
      </c>
      <c r="I59">
        <v>1</v>
      </c>
      <c r="J59">
        <f t="shared" si="5"/>
        <v>108.96075120412729</v>
      </c>
      <c r="K59">
        <f t="shared" si="6"/>
        <v>1217.52151447642</v>
      </c>
      <c r="M59">
        <v>1585.7044740000031</v>
      </c>
      <c r="N59">
        <f t="shared" si="8"/>
        <v>396</v>
      </c>
      <c r="O59">
        <f t="shared" si="9"/>
        <v>397</v>
      </c>
      <c r="P59" cm="1">
        <f t="array" ref="P59">INDEX($C$2:$C$14395,$N59,0)</f>
        <v>361.18800000000005</v>
      </c>
      <c r="Q59" cm="1">
        <f t="array" ref="Q59">INDEX($C$2:$C$14395,$O59,0)</f>
        <v>0</v>
      </c>
      <c r="R59" cm="1">
        <f t="array" ref="R59">INDEX($D$2:$D$14395,$N59,0)</f>
        <v>-1209.0989280000001</v>
      </c>
      <c r="S59" cm="1">
        <f t="array" ref="S59">INDEX($D$2:$D$14395,$O59,0)</f>
        <v>0</v>
      </c>
      <c r="T59">
        <f t="shared" si="10"/>
        <v>-5308.2427423895797</v>
      </c>
      <c r="U59">
        <f t="shared" si="11"/>
        <v>533.75707835412823</v>
      </c>
      <c r="V59">
        <f t="shared" si="12"/>
        <v>531.1533852889861</v>
      </c>
      <c r="W59">
        <f t="shared" si="13"/>
        <v>1763.7720783541283</v>
      </c>
      <c r="X59">
        <f t="shared" si="14"/>
        <v>1931.4970783541282</v>
      </c>
      <c r="Y59">
        <f t="shared" si="15"/>
        <v>531.1533852889861</v>
      </c>
      <c r="Z59">
        <f t="shared" si="16"/>
        <v>479.65233646047568</v>
      </c>
      <c r="AA59">
        <f t="shared" si="17"/>
        <v>1630.0270783541282</v>
      </c>
    </row>
    <row r="60" spans="1:27" x14ac:dyDescent="0.35">
      <c r="A60">
        <v>174</v>
      </c>
      <c r="B60">
        <v>-3956.2</v>
      </c>
      <c r="C60">
        <f t="shared" si="7"/>
        <v>53.035200000000003</v>
      </c>
      <c r="D60">
        <f t="shared" si="0"/>
        <v>-1205.8497600000001</v>
      </c>
      <c r="E60">
        <f t="shared" si="1"/>
        <v>121.25120799240001</v>
      </c>
      <c r="F60">
        <f t="shared" si="2"/>
        <v>120.65973868512</v>
      </c>
      <c r="G60">
        <f t="shared" si="3"/>
        <v>1518.9912079923999</v>
      </c>
      <c r="H60">
        <f t="shared" si="4"/>
        <v>120.65973868512</v>
      </c>
      <c r="I60">
        <v>1</v>
      </c>
      <c r="J60">
        <f t="shared" si="5"/>
        <v>108.96047578712161</v>
      </c>
      <c r="K60">
        <f t="shared" si="6"/>
        <v>1217.5212079923999</v>
      </c>
      <c r="M60">
        <v>1608.4196940000061</v>
      </c>
      <c r="N60">
        <f t="shared" si="8"/>
        <v>396</v>
      </c>
      <c r="O60">
        <f t="shared" si="9"/>
        <v>397</v>
      </c>
      <c r="P60" cm="1">
        <f t="array" ref="P60">INDEX($C$2:$C$14395,$N60,0)</f>
        <v>361.18800000000005</v>
      </c>
      <c r="Q60" cm="1">
        <f t="array" ref="Q60">INDEX($C$2:$C$14395,$O60,0)</f>
        <v>0</v>
      </c>
      <c r="R60" cm="1">
        <f t="array" ref="R60">INDEX($D$2:$D$14395,$N60,0)</f>
        <v>-1209.0989280000001</v>
      </c>
      <c r="S60" cm="1">
        <f t="array" ref="S60">INDEX($D$2:$D$14395,$O60,0)</f>
        <v>0</v>
      </c>
      <c r="T60">
        <f t="shared" si="10"/>
        <v>-5384.2833310893366</v>
      </c>
      <c r="U60">
        <f t="shared" si="11"/>
        <v>541.40314964936056</v>
      </c>
      <c r="V60">
        <f t="shared" si="12"/>
        <v>538.76215867546114</v>
      </c>
      <c r="W60">
        <f t="shared" si="13"/>
        <v>1771.4181496493607</v>
      </c>
      <c r="X60">
        <f t="shared" si="14"/>
        <v>1939.1431496493606</v>
      </c>
      <c r="Y60">
        <f t="shared" si="15"/>
        <v>538.76215867546114</v>
      </c>
      <c r="Z60">
        <f t="shared" si="16"/>
        <v>486.52335721173273</v>
      </c>
      <c r="AA60">
        <f t="shared" si="17"/>
        <v>1637.6731496493605</v>
      </c>
    </row>
    <row r="61" spans="1:27" x14ac:dyDescent="0.35">
      <c r="A61">
        <v>177</v>
      </c>
      <c r="B61">
        <v>-3956.2</v>
      </c>
      <c r="C61">
        <f t="shared" si="7"/>
        <v>53.949600000000004</v>
      </c>
      <c r="D61">
        <f t="shared" si="0"/>
        <v>-1205.8497600000001</v>
      </c>
      <c r="E61">
        <f t="shared" si="1"/>
        <v>121.25120799240001</v>
      </c>
      <c r="F61">
        <f t="shared" si="2"/>
        <v>120.65973868512</v>
      </c>
      <c r="G61">
        <f t="shared" si="3"/>
        <v>1518.9912079923999</v>
      </c>
      <c r="H61">
        <f t="shared" si="4"/>
        <v>120.65973868512</v>
      </c>
      <c r="I61">
        <v>1</v>
      </c>
      <c r="J61">
        <f t="shared" si="5"/>
        <v>108.96047578712161</v>
      </c>
      <c r="K61">
        <f t="shared" si="6"/>
        <v>1217.5212079923999</v>
      </c>
      <c r="M61">
        <v>1631.1364380000064</v>
      </c>
      <c r="N61">
        <f t="shared" si="8"/>
        <v>396</v>
      </c>
      <c r="O61">
        <f t="shared" si="9"/>
        <v>397</v>
      </c>
      <c r="P61" cm="1">
        <f t="array" ref="P61">INDEX($C$2:$C$14395,$N61,0)</f>
        <v>361.18800000000005</v>
      </c>
      <c r="Q61" cm="1">
        <f t="array" ref="Q61">INDEX($C$2:$C$14395,$O61,0)</f>
        <v>0</v>
      </c>
      <c r="R61" cm="1">
        <f t="array" ref="R61">INDEX($D$2:$D$14395,$N61,0)</f>
        <v>-1209.0989280000001</v>
      </c>
      <c r="S61" cm="1">
        <f t="array" ref="S61">INDEX($D$2:$D$14395,$O61,0)</f>
        <v>0</v>
      </c>
      <c r="T61">
        <f t="shared" si="10"/>
        <v>-5460.3290214723247</v>
      </c>
      <c r="U61">
        <f t="shared" si="11"/>
        <v>549.04973393159594</v>
      </c>
      <c r="V61">
        <f t="shared" si="12"/>
        <v>546.3714425465638</v>
      </c>
      <c r="W61">
        <f t="shared" si="13"/>
        <v>1779.064733931596</v>
      </c>
      <c r="X61">
        <f t="shared" si="14"/>
        <v>1946.7897339315959</v>
      </c>
      <c r="Y61">
        <f t="shared" si="15"/>
        <v>546.3714425465638</v>
      </c>
      <c r="Z61">
        <f t="shared" si="16"/>
        <v>493.39483895062739</v>
      </c>
      <c r="AA61">
        <f t="shared" si="17"/>
        <v>1645.3197339315959</v>
      </c>
    </row>
    <row r="62" spans="1:27" x14ac:dyDescent="0.35">
      <c r="A62">
        <v>180</v>
      </c>
      <c r="B62">
        <v>-3956.19</v>
      </c>
      <c r="C62">
        <f t="shared" si="7"/>
        <v>54.864000000000004</v>
      </c>
      <c r="D62">
        <f t="shared" si="0"/>
        <v>-1205.846712</v>
      </c>
      <c r="E62">
        <f t="shared" si="1"/>
        <v>121.25090150838001</v>
      </c>
      <c r="F62">
        <f t="shared" si="2"/>
        <v>120.65943369614401</v>
      </c>
      <c r="G62">
        <f t="shared" si="3"/>
        <v>1518.9909015083799</v>
      </c>
      <c r="H62">
        <f t="shared" si="4"/>
        <v>120.65943369614401</v>
      </c>
      <c r="I62">
        <v>1</v>
      </c>
      <c r="J62">
        <f t="shared" si="5"/>
        <v>108.96020037011594</v>
      </c>
      <c r="K62">
        <f t="shared" si="6"/>
        <v>1217.5209015083799</v>
      </c>
      <c r="M62">
        <v>1653.8547060000033</v>
      </c>
      <c r="N62">
        <f t="shared" si="8"/>
        <v>396</v>
      </c>
      <c r="O62">
        <f t="shared" si="9"/>
        <v>397</v>
      </c>
      <c r="P62" cm="1">
        <f t="array" ref="P62">INDEX($C$2:$C$14395,$N62,0)</f>
        <v>361.18800000000005</v>
      </c>
      <c r="Q62" cm="1">
        <f t="array" ref="Q62">INDEX($C$2:$C$14395,$O62,0)</f>
        <v>0</v>
      </c>
      <c r="R62" cm="1">
        <f t="array" ref="R62">INDEX($D$2:$D$14395,$N62,0)</f>
        <v>-1209.0989280000001</v>
      </c>
      <c r="S62" cm="1">
        <f t="array" ref="S62">INDEX($D$2:$D$14395,$O62,0)</f>
        <v>0</v>
      </c>
      <c r="T62">
        <f t="shared" si="10"/>
        <v>-5536.3798135385423</v>
      </c>
      <c r="U62">
        <f t="shared" si="11"/>
        <v>556.69683120083437</v>
      </c>
      <c r="V62">
        <f t="shared" si="12"/>
        <v>553.98123690229363</v>
      </c>
      <c r="W62">
        <f t="shared" si="13"/>
        <v>1786.7118312008345</v>
      </c>
      <c r="X62">
        <f t="shared" si="14"/>
        <v>1954.4368312008344</v>
      </c>
      <c r="Y62">
        <f t="shared" si="15"/>
        <v>553.98123690229363</v>
      </c>
      <c r="Z62">
        <f t="shared" si="16"/>
        <v>500.26678167715943</v>
      </c>
      <c r="AA62">
        <f t="shared" si="17"/>
        <v>1652.9668312008343</v>
      </c>
    </row>
    <row r="63" spans="1:27" x14ac:dyDescent="0.35">
      <c r="A63">
        <v>183</v>
      </c>
      <c r="B63">
        <v>-3956.2</v>
      </c>
      <c r="C63">
        <f t="shared" si="7"/>
        <v>55.778400000000005</v>
      </c>
      <c r="D63">
        <f t="shared" si="0"/>
        <v>-1205.8497600000001</v>
      </c>
      <c r="E63">
        <f t="shared" si="1"/>
        <v>121.25120799240001</v>
      </c>
      <c r="F63">
        <f t="shared" si="2"/>
        <v>120.65973868512</v>
      </c>
      <c r="G63">
        <f t="shared" si="3"/>
        <v>1518.9912079923999</v>
      </c>
      <c r="H63">
        <f t="shared" si="4"/>
        <v>120.65973868512</v>
      </c>
      <c r="I63">
        <v>1</v>
      </c>
      <c r="J63">
        <f t="shared" si="5"/>
        <v>108.96047578712161</v>
      </c>
      <c r="K63">
        <f t="shared" si="6"/>
        <v>1217.5212079923999</v>
      </c>
      <c r="M63">
        <v>1676.576784000003</v>
      </c>
      <c r="N63">
        <f t="shared" si="8"/>
        <v>396</v>
      </c>
      <c r="O63">
        <f t="shared" si="9"/>
        <v>397</v>
      </c>
      <c r="P63" cm="1">
        <f t="array" ref="P63">INDEX($C$2:$C$14395,$N63,0)</f>
        <v>361.18800000000005</v>
      </c>
      <c r="Q63" cm="1">
        <f t="array" ref="Q63">INDEX($C$2:$C$14395,$O63,0)</f>
        <v>0</v>
      </c>
      <c r="R63" cm="1">
        <f t="array" ref="R63">INDEX($D$2:$D$14395,$N63,0)</f>
        <v>-1209.0989280000001</v>
      </c>
      <c r="S63" cm="1">
        <f t="array" ref="S63">INDEX($D$2:$D$14395,$O63,0)</f>
        <v>0</v>
      </c>
      <c r="T63">
        <f t="shared" si="10"/>
        <v>-5612.4433598128708</v>
      </c>
      <c r="U63">
        <f t="shared" si="11"/>
        <v>564.34521093758372</v>
      </c>
      <c r="V63">
        <f t="shared" si="12"/>
        <v>561.59230746959543</v>
      </c>
      <c r="W63">
        <f t="shared" si="13"/>
        <v>1794.3602109375838</v>
      </c>
      <c r="X63">
        <f t="shared" si="14"/>
        <v>1962.0852109375837</v>
      </c>
      <c r="Y63">
        <f t="shared" si="15"/>
        <v>561.59230746959543</v>
      </c>
      <c r="Z63">
        <f t="shared" si="16"/>
        <v>507.13987687278865</v>
      </c>
      <c r="AA63">
        <f t="shared" si="17"/>
        <v>1660.6152109375837</v>
      </c>
    </row>
    <row r="64" spans="1:27" x14ac:dyDescent="0.35">
      <c r="A64">
        <v>186</v>
      </c>
      <c r="B64">
        <v>-3956.19</v>
      </c>
      <c r="C64">
        <f t="shared" si="7"/>
        <v>56.692800000000005</v>
      </c>
      <c r="D64">
        <f t="shared" si="0"/>
        <v>-1205.846712</v>
      </c>
      <c r="E64">
        <f t="shared" si="1"/>
        <v>121.25090150838001</v>
      </c>
      <c r="F64">
        <f t="shared" si="2"/>
        <v>120.65943369614401</v>
      </c>
      <c r="G64">
        <f t="shared" si="3"/>
        <v>1518.9909015083799</v>
      </c>
      <c r="H64">
        <f t="shared" si="4"/>
        <v>120.65943369614401</v>
      </c>
      <c r="I64">
        <v>1</v>
      </c>
      <c r="J64">
        <f t="shared" si="5"/>
        <v>108.96020037011594</v>
      </c>
      <c r="K64">
        <f t="shared" si="6"/>
        <v>1217.5209015083799</v>
      </c>
      <c r="M64">
        <v>1699.3026720000032</v>
      </c>
      <c r="N64">
        <f t="shared" si="8"/>
        <v>396</v>
      </c>
      <c r="O64">
        <f t="shared" si="9"/>
        <v>397</v>
      </c>
      <c r="P64" cm="1">
        <f t="array" ref="P64">INDEX($C$2:$C$14395,$N64,0)</f>
        <v>361.18800000000005</v>
      </c>
      <c r="Q64" cm="1">
        <f t="array" ref="Q64">INDEX($C$2:$C$14395,$O64,0)</f>
        <v>0</v>
      </c>
      <c r="R64" cm="1">
        <f t="array" ref="R64">INDEX($D$2:$D$14395,$N64,0)</f>
        <v>-1209.0989280000001</v>
      </c>
      <c r="S64" cm="1">
        <f t="array" ref="S64">INDEX($D$2:$D$14395,$O64,0)</f>
        <v>0</v>
      </c>
      <c r="T64">
        <f t="shared" si="10"/>
        <v>-5688.5196602953019</v>
      </c>
      <c r="U64">
        <f t="shared" si="11"/>
        <v>571.99487314184341</v>
      </c>
      <c r="V64">
        <f t="shared" si="12"/>
        <v>569.20465424846861</v>
      </c>
      <c r="W64">
        <f t="shared" si="13"/>
        <v>1802.0098731418434</v>
      </c>
      <c r="X64">
        <f t="shared" si="14"/>
        <v>1969.7348731418433</v>
      </c>
      <c r="Y64">
        <f t="shared" si="15"/>
        <v>569.20465424846861</v>
      </c>
      <c r="Z64">
        <f t="shared" si="16"/>
        <v>514.01412453751402</v>
      </c>
      <c r="AA64">
        <f t="shared" si="17"/>
        <v>1668.2648731418435</v>
      </c>
    </row>
    <row r="65" spans="1:27" x14ac:dyDescent="0.35">
      <c r="A65">
        <v>189</v>
      </c>
      <c r="B65">
        <v>-3956.19</v>
      </c>
      <c r="C65">
        <f t="shared" si="7"/>
        <v>57.607200000000006</v>
      </c>
      <c r="D65">
        <f t="shared" si="0"/>
        <v>-1205.846712</v>
      </c>
      <c r="E65">
        <f t="shared" si="1"/>
        <v>121.25090150838001</v>
      </c>
      <c r="F65">
        <f t="shared" si="2"/>
        <v>120.65943369614401</v>
      </c>
      <c r="G65">
        <f t="shared" si="3"/>
        <v>1518.9909015083799</v>
      </c>
      <c r="H65">
        <f t="shared" si="4"/>
        <v>120.65943369614401</v>
      </c>
      <c r="I65">
        <v>1</v>
      </c>
      <c r="J65">
        <f t="shared" si="5"/>
        <v>108.96020037011594</v>
      </c>
      <c r="K65">
        <f t="shared" si="6"/>
        <v>1217.5209015083799</v>
      </c>
      <c r="M65">
        <v>1722.0293220000033</v>
      </c>
      <c r="N65">
        <f t="shared" si="8"/>
        <v>396</v>
      </c>
      <c r="O65">
        <f t="shared" si="9"/>
        <v>397</v>
      </c>
      <c r="P65" cm="1">
        <f t="array" ref="P65">INDEX($C$2:$C$14395,$N65,0)</f>
        <v>361.18800000000005</v>
      </c>
      <c r="Q65" cm="1">
        <f t="array" ref="Q65">INDEX($C$2:$C$14395,$O65,0)</f>
        <v>0</v>
      </c>
      <c r="R65" cm="1">
        <f t="array" ref="R65">INDEX($D$2:$D$14395,$N65,0)</f>
        <v>-1209.0989280000001</v>
      </c>
      <c r="S65" cm="1">
        <f t="array" ref="S65">INDEX($D$2:$D$14395,$O65,0)</f>
        <v>0</v>
      </c>
      <c r="T65">
        <f t="shared" si="10"/>
        <v>-5764.5985116193524</v>
      </c>
      <c r="U65">
        <f t="shared" si="11"/>
        <v>579.64479183960498</v>
      </c>
      <c r="V65">
        <f t="shared" si="12"/>
        <v>576.81725626965567</v>
      </c>
      <c r="W65">
        <f t="shared" si="13"/>
        <v>1809.6597918396051</v>
      </c>
      <c r="X65">
        <f t="shared" si="14"/>
        <v>1977.384791839605</v>
      </c>
      <c r="Y65">
        <f t="shared" si="15"/>
        <v>576.81725626965567</v>
      </c>
      <c r="Z65">
        <f t="shared" si="16"/>
        <v>520.88860269605868</v>
      </c>
      <c r="AA65">
        <f t="shared" si="17"/>
        <v>1675.914791839605</v>
      </c>
    </row>
    <row r="66" spans="1:27" x14ac:dyDescent="0.35">
      <c r="A66">
        <v>192</v>
      </c>
      <c r="B66">
        <v>-3956.18</v>
      </c>
      <c r="C66">
        <f t="shared" si="7"/>
        <v>58.521600000000007</v>
      </c>
      <c r="D66">
        <f t="shared" si="0"/>
        <v>-1205.843664</v>
      </c>
      <c r="E66">
        <f t="shared" si="1"/>
        <v>121.25059502436001</v>
      </c>
      <c r="F66">
        <f t="shared" si="2"/>
        <v>120.65912870716801</v>
      </c>
      <c r="G66">
        <f t="shared" si="3"/>
        <v>1518.9905950243601</v>
      </c>
      <c r="H66">
        <f t="shared" si="4"/>
        <v>120.65912870716801</v>
      </c>
      <c r="I66">
        <v>1</v>
      </c>
      <c r="J66">
        <f t="shared" si="5"/>
        <v>108.95992495311023</v>
      </c>
      <c r="K66">
        <f t="shared" si="6"/>
        <v>1217.5205950243601</v>
      </c>
      <c r="M66">
        <v>1744.7567340000001</v>
      </c>
      <c r="N66">
        <f t="shared" si="8"/>
        <v>396</v>
      </c>
      <c r="O66">
        <f t="shared" si="9"/>
        <v>397</v>
      </c>
      <c r="P66" cm="1">
        <f t="array" ref="P66">INDEX($C$2:$C$14395,$N66,0)</f>
        <v>361.18800000000005</v>
      </c>
      <c r="Q66" cm="1">
        <f t="array" ref="Q66">INDEX($C$2:$C$14395,$O66,0)</f>
        <v>0</v>
      </c>
      <c r="R66" cm="1">
        <f t="array" ref="R66">INDEX($D$2:$D$14395,$N66,0)</f>
        <v>-1209.0989280000001</v>
      </c>
      <c r="S66" cm="1">
        <f t="array" ref="S66">INDEX($D$2:$D$14395,$O66,0)</f>
        <v>0</v>
      </c>
      <c r="T66">
        <f t="shared" si="10"/>
        <v>-5840.679913785013</v>
      </c>
      <c r="U66">
        <f t="shared" si="11"/>
        <v>587.29496703086761</v>
      </c>
      <c r="V66">
        <f t="shared" si="12"/>
        <v>584.43011353315603</v>
      </c>
      <c r="W66">
        <f t="shared" si="13"/>
        <v>1817.3099670308677</v>
      </c>
      <c r="X66">
        <f t="shared" si="14"/>
        <v>1985.0349670308676</v>
      </c>
      <c r="Y66">
        <f t="shared" si="15"/>
        <v>584.43011353315603</v>
      </c>
      <c r="Z66">
        <f t="shared" si="16"/>
        <v>527.76331134842167</v>
      </c>
      <c r="AA66">
        <f t="shared" si="17"/>
        <v>1683.5649670308676</v>
      </c>
    </row>
    <row r="67" spans="1:27" x14ac:dyDescent="0.35">
      <c r="A67">
        <v>195</v>
      </c>
      <c r="B67">
        <v>-3956.18</v>
      </c>
      <c r="C67">
        <f t="shared" si="7"/>
        <v>59.436</v>
      </c>
      <c r="D67">
        <f t="shared" ref="D67:D130" si="18">B67*0.3048</f>
        <v>-1205.843664</v>
      </c>
      <c r="E67">
        <f t="shared" ref="E67:E130" si="19">D67*-1*1025*9.81/10^5</f>
        <v>121.25059502436001</v>
      </c>
      <c r="F67">
        <f t="shared" ref="F67:F130" si="20">1020*D67*-1*9.81/10^5</f>
        <v>120.65912870716801</v>
      </c>
      <c r="G67">
        <f t="shared" ref="G67:G130" si="21">1397.74+E67</f>
        <v>1518.9905950243601</v>
      </c>
      <c r="H67">
        <f t="shared" ref="H67:H130" si="22">F67</f>
        <v>120.65912870716801</v>
      </c>
      <c r="I67">
        <v>1</v>
      </c>
      <c r="J67">
        <f t="shared" ref="J67:J130" si="23">921.1*D67*-1*9.81/10^5</f>
        <v>108.95992495311023</v>
      </c>
      <c r="K67">
        <f t="shared" ref="K67:K130" si="24">1096.27+E67</f>
        <v>1217.5205950243601</v>
      </c>
      <c r="M67">
        <v>1767.4780500000002</v>
      </c>
      <c r="N67">
        <f t="shared" si="8"/>
        <v>396</v>
      </c>
      <c r="O67">
        <f t="shared" si="9"/>
        <v>397</v>
      </c>
      <c r="P67" cm="1">
        <f t="array" ref="P67">INDEX($C$2:$C$14395,$N67,0)</f>
        <v>361.18800000000005</v>
      </c>
      <c r="Q67" cm="1">
        <f t="array" ref="Q67">INDEX($C$2:$C$14395,$O67,0)</f>
        <v>0</v>
      </c>
      <c r="R67" cm="1">
        <f t="array" ref="R67">INDEX($D$2:$D$14395,$N67,0)</f>
        <v>-1209.0989280000001</v>
      </c>
      <c r="S67" cm="1">
        <f t="array" ref="S67">INDEX($D$2:$D$14395,$O67,0)</f>
        <v>0</v>
      </c>
      <c r="T67">
        <f t="shared" si="10"/>
        <v>-5916.7409092177222</v>
      </c>
      <c r="U67">
        <f t="shared" si="11"/>
        <v>594.94309027411509</v>
      </c>
      <c r="V67">
        <f t="shared" si="12"/>
        <v>592.04092885814373</v>
      </c>
      <c r="W67">
        <f t="shared" si="13"/>
        <v>1824.9580902741152</v>
      </c>
      <c r="X67">
        <f t="shared" si="14"/>
        <v>1992.6830902741151</v>
      </c>
      <c r="Y67">
        <f t="shared" si="15"/>
        <v>592.04092885814373</v>
      </c>
      <c r="Z67">
        <f t="shared" si="16"/>
        <v>534.6361760502316</v>
      </c>
      <c r="AA67">
        <f t="shared" si="17"/>
        <v>1691.2130902741151</v>
      </c>
    </row>
    <row r="68" spans="1:27" x14ac:dyDescent="0.35">
      <c r="A68">
        <v>198</v>
      </c>
      <c r="B68">
        <v>-3956.17</v>
      </c>
      <c r="C68">
        <f t="shared" ref="C68:C131" si="25">A68*0.3048</f>
        <v>60.3504</v>
      </c>
      <c r="D68">
        <f t="shared" si="18"/>
        <v>-1205.8406160000002</v>
      </c>
      <c r="E68">
        <f t="shared" si="19"/>
        <v>121.25028854034001</v>
      </c>
      <c r="F68">
        <f t="shared" si="20"/>
        <v>120.65882371819202</v>
      </c>
      <c r="G68">
        <f t="shared" si="21"/>
        <v>1518.9902885403401</v>
      </c>
      <c r="H68">
        <f t="shared" si="22"/>
        <v>120.65882371819202</v>
      </c>
      <c r="I68">
        <v>1</v>
      </c>
      <c r="J68">
        <f t="shared" si="23"/>
        <v>108.95964953610459</v>
      </c>
      <c r="K68">
        <f t="shared" si="24"/>
        <v>1217.5202885403401</v>
      </c>
      <c r="M68">
        <v>1790.1932700000029</v>
      </c>
      <c r="N68">
        <f t="shared" ref="N68:N131" si="26">MATCH($M68,$C$2:$C$14395,1)</f>
        <v>396</v>
      </c>
      <c r="O68">
        <f t="shared" ref="O68:O131" si="27">N68+1</f>
        <v>397</v>
      </c>
      <c r="P68" cm="1">
        <f t="array" ref="P68">INDEX($C$2:$C$14395,$N68,0)</f>
        <v>361.18800000000005</v>
      </c>
      <c r="Q68" cm="1">
        <f t="array" ref="Q68">INDEX($C$2:$C$14395,$O68,0)</f>
        <v>0</v>
      </c>
      <c r="R68" cm="1">
        <f t="array" ref="R68">INDEX($D$2:$D$14395,$N68,0)</f>
        <v>-1209.0989280000001</v>
      </c>
      <c r="S68" cm="1">
        <f t="array" ref="S68">INDEX($D$2:$D$14395,$O68,0)</f>
        <v>0</v>
      </c>
      <c r="T68">
        <f t="shared" ref="T68:T131" si="28">FORECAST(M68,R68:S68,P68:Q68)</f>
        <v>-5992.7814979174782</v>
      </c>
      <c r="U68">
        <f t="shared" ref="U68:U131" si="29">1025*T68*-1*9.81/10^5</f>
        <v>602.5891615693472</v>
      </c>
      <c r="V68">
        <f t="shared" ref="V68:V131" si="30">1020*T68*-1*9.81/10^5</f>
        <v>599.64970224461877</v>
      </c>
      <c r="W68">
        <f t="shared" ref="W68:W131" si="31">1230.015+U68</f>
        <v>1832.6041615693473</v>
      </c>
      <c r="X68">
        <f t="shared" ref="X68:X131" si="32">1397.74+U68</f>
        <v>2000.3291615693472</v>
      </c>
      <c r="Y68">
        <f t="shared" ref="Y68:Y131" si="33">V68</f>
        <v>599.64970224461877</v>
      </c>
      <c r="Z68">
        <f t="shared" ref="Z68:Z131" si="34">921.1*T68*-1*9.81/10^5</f>
        <v>541.50719680148859</v>
      </c>
      <c r="AA68">
        <f t="shared" ref="AA68:AA131" si="35">1096.27+U68</f>
        <v>1698.8591615693472</v>
      </c>
    </row>
    <row r="69" spans="1:27" x14ac:dyDescent="0.35">
      <c r="A69">
        <v>201</v>
      </c>
      <c r="B69">
        <v>-3956.17</v>
      </c>
      <c r="C69">
        <f t="shared" si="25"/>
        <v>61.264800000000001</v>
      </c>
      <c r="D69">
        <f t="shared" si="18"/>
        <v>-1205.8406160000002</v>
      </c>
      <c r="E69">
        <f t="shared" si="19"/>
        <v>121.25028854034001</v>
      </c>
      <c r="F69">
        <f t="shared" si="20"/>
        <v>120.65882371819202</v>
      </c>
      <c r="G69">
        <f t="shared" si="21"/>
        <v>1518.9902885403401</v>
      </c>
      <c r="H69">
        <f t="shared" si="22"/>
        <v>120.65882371819202</v>
      </c>
      <c r="I69">
        <v>1</v>
      </c>
      <c r="J69">
        <f t="shared" si="23"/>
        <v>108.95964953610459</v>
      </c>
      <c r="K69">
        <f t="shared" si="24"/>
        <v>1217.5202885403401</v>
      </c>
      <c r="M69">
        <v>1812.9062040000031</v>
      </c>
      <c r="N69">
        <f t="shared" si="26"/>
        <v>396</v>
      </c>
      <c r="O69">
        <f t="shared" si="27"/>
        <v>397</v>
      </c>
      <c r="P69" cm="1">
        <f t="array" ref="P69">INDEX($C$2:$C$14395,$N69,0)</f>
        <v>361.18800000000005</v>
      </c>
      <c r="Q69" cm="1">
        <f t="array" ref="Q69">INDEX($C$2:$C$14395,$O69,0)</f>
        <v>0</v>
      </c>
      <c r="R69" cm="1">
        <f t="array" ref="R69">INDEX($D$2:$D$14395,$N69,0)</f>
        <v>-1209.0989280000001</v>
      </c>
      <c r="S69" cm="1">
        <f t="array" ref="S69">INDEX($D$2:$D$14395,$O69,0)</f>
        <v>0</v>
      </c>
      <c r="T69">
        <f t="shared" si="28"/>
        <v>-6068.8144340923645</v>
      </c>
      <c r="U69">
        <f t="shared" si="29"/>
        <v>610.23446338407257</v>
      </c>
      <c r="V69">
        <f t="shared" si="30"/>
        <v>607.25770990415026</v>
      </c>
      <c r="W69">
        <f t="shared" si="31"/>
        <v>1840.2494633840727</v>
      </c>
      <c r="X69">
        <f t="shared" si="32"/>
        <v>2007.9744633840726</v>
      </c>
      <c r="Y69">
        <f t="shared" si="33"/>
        <v>607.25770990415026</v>
      </c>
      <c r="Z69">
        <f t="shared" si="34"/>
        <v>548.37752607128698</v>
      </c>
      <c r="AA69">
        <f t="shared" si="35"/>
        <v>1706.5044633840726</v>
      </c>
    </row>
    <row r="70" spans="1:27" x14ac:dyDescent="0.35">
      <c r="A70">
        <v>204</v>
      </c>
      <c r="B70">
        <v>-3956.18</v>
      </c>
      <c r="C70">
        <f t="shared" si="25"/>
        <v>62.179200000000002</v>
      </c>
      <c r="D70">
        <f t="shared" si="18"/>
        <v>-1205.843664</v>
      </c>
      <c r="E70">
        <f t="shared" si="19"/>
        <v>121.25059502436001</v>
      </c>
      <c r="F70">
        <f t="shared" si="20"/>
        <v>120.65912870716801</v>
      </c>
      <c r="G70">
        <f t="shared" si="21"/>
        <v>1518.9905950243601</v>
      </c>
      <c r="H70">
        <f t="shared" si="22"/>
        <v>120.65912870716801</v>
      </c>
      <c r="I70">
        <v>1</v>
      </c>
      <c r="J70">
        <f t="shared" si="23"/>
        <v>108.95992495311023</v>
      </c>
      <c r="K70">
        <f t="shared" si="24"/>
        <v>1217.5205950243601</v>
      </c>
      <c r="M70">
        <v>1835.6168520000031</v>
      </c>
      <c r="N70">
        <f t="shared" si="26"/>
        <v>396</v>
      </c>
      <c r="O70">
        <f t="shared" si="27"/>
        <v>397</v>
      </c>
      <c r="P70" cm="1">
        <f t="array" ref="P70">INDEX($C$2:$C$14395,$N70,0)</f>
        <v>361.18800000000005</v>
      </c>
      <c r="Q70" cm="1">
        <f t="array" ref="Q70">INDEX($C$2:$C$14395,$O70,0)</f>
        <v>0</v>
      </c>
      <c r="R70" cm="1">
        <f t="array" ref="R70">INDEX($D$2:$D$14395,$N70,0)</f>
        <v>-1209.0989280000001</v>
      </c>
      <c r="S70" cm="1">
        <f t="array" ref="S70">INDEX($D$2:$D$14395,$O70,0)</f>
        <v>0</v>
      </c>
      <c r="T70">
        <f t="shared" si="28"/>
        <v>-6144.8397177423903</v>
      </c>
      <c r="U70">
        <f t="shared" si="29"/>
        <v>617.87899571829166</v>
      </c>
      <c r="V70">
        <f t="shared" si="30"/>
        <v>614.86495183673912</v>
      </c>
      <c r="W70">
        <f t="shared" si="31"/>
        <v>1847.8939957182918</v>
      </c>
      <c r="X70">
        <f t="shared" si="32"/>
        <v>2015.6189957182917</v>
      </c>
      <c r="Y70">
        <f t="shared" si="33"/>
        <v>614.86495183673912</v>
      </c>
      <c r="Z70">
        <f t="shared" si="34"/>
        <v>555.24716385962779</v>
      </c>
      <c r="AA70">
        <f t="shared" si="35"/>
        <v>1714.1489957182916</v>
      </c>
    </row>
    <row r="71" spans="1:27" x14ac:dyDescent="0.35">
      <c r="A71">
        <v>207</v>
      </c>
      <c r="B71">
        <v>-3956.21</v>
      </c>
      <c r="C71">
        <f t="shared" si="25"/>
        <v>63.093600000000002</v>
      </c>
      <c r="D71">
        <f t="shared" si="18"/>
        <v>-1205.8528080000001</v>
      </c>
      <c r="E71">
        <f t="shared" si="19"/>
        <v>121.25151447642003</v>
      </c>
      <c r="F71">
        <f t="shared" si="20"/>
        <v>120.66004367409602</v>
      </c>
      <c r="G71">
        <f t="shared" si="21"/>
        <v>1518.99151447642</v>
      </c>
      <c r="H71">
        <f t="shared" si="22"/>
        <v>120.66004367409602</v>
      </c>
      <c r="I71">
        <v>1</v>
      </c>
      <c r="J71">
        <f t="shared" si="23"/>
        <v>108.96075120412729</v>
      </c>
      <c r="K71">
        <f t="shared" si="24"/>
        <v>1217.52151447642</v>
      </c>
      <c r="M71">
        <v>1858.3290240000031</v>
      </c>
      <c r="N71">
        <f t="shared" si="26"/>
        <v>396</v>
      </c>
      <c r="O71">
        <f t="shared" si="27"/>
        <v>397</v>
      </c>
      <c r="P71" cm="1">
        <f t="array" ref="P71">INDEX($C$2:$C$14395,$N71,0)</f>
        <v>361.18800000000005</v>
      </c>
      <c r="Q71" cm="1">
        <f t="array" ref="Q71">INDEX($C$2:$C$14395,$O71,0)</f>
        <v>0</v>
      </c>
      <c r="R71" cm="1">
        <f t="array" ref="R71">INDEX($D$2:$D$14395,$N71,0)</f>
        <v>-1209.0989280000001</v>
      </c>
      <c r="S71" cm="1">
        <f t="array" ref="S71">INDEX($D$2:$D$14395,$O71,0)</f>
        <v>0</v>
      </c>
      <c r="T71">
        <f t="shared" si="28"/>
        <v>-6220.8701030756556</v>
      </c>
      <c r="U71">
        <f t="shared" si="29"/>
        <v>625.52404103951494</v>
      </c>
      <c r="V71">
        <f t="shared" si="30"/>
        <v>622.47270425395629</v>
      </c>
      <c r="W71">
        <f t="shared" si="31"/>
        <v>1855.539041039515</v>
      </c>
      <c r="X71">
        <f t="shared" si="32"/>
        <v>2023.264041039515</v>
      </c>
      <c r="Y71">
        <f t="shared" si="33"/>
        <v>622.47270425395629</v>
      </c>
      <c r="Z71">
        <f t="shared" si="34"/>
        <v>562.11726263560706</v>
      </c>
      <c r="AA71">
        <f t="shared" si="35"/>
        <v>1721.7940410395149</v>
      </c>
    </row>
    <row r="72" spans="1:27" x14ac:dyDescent="0.35">
      <c r="A72">
        <v>210</v>
      </c>
      <c r="B72">
        <v>-3956.24</v>
      </c>
      <c r="C72">
        <f t="shared" si="25"/>
        <v>64.00800000000001</v>
      </c>
      <c r="D72">
        <f t="shared" si="18"/>
        <v>-1205.861952</v>
      </c>
      <c r="E72">
        <f t="shared" si="19"/>
        <v>121.25243392848002</v>
      </c>
      <c r="F72">
        <f t="shared" si="20"/>
        <v>120.66095864102401</v>
      </c>
      <c r="G72">
        <f t="shared" si="21"/>
        <v>1518.9924339284801</v>
      </c>
      <c r="H72">
        <f t="shared" si="22"/>
        <v>120.66095864102401</v>
      </c>
      <c r="I72">
        <v>1</v>
      </c>
      <c r="J72">
        <f t="shared" si="23"/>
        <v>108.96157745514434</v>
      </c>
      <c r="K72">
        <f t="shared" si="24"/>
        <v>1217.52243392848</v>
      </c>
      <c r="M72">
        <v>1881.0427200000031</v>
      </c>
      <c r="N72">
        <f t="shared" si="26"/>
        <v>396</v>
      </c>
      <c r="O72">
        <f t="shared" si="27"/>
        <v>397</v>
      </c>
      <c r="P72" cm="1">
        <f t="array" ref="P72">INDEX($C$2:$C$14395,$N72,0)</f>
        <v>361.18800000000005</v>
      </c>
      <c r="Q72" cm="1">
        <f t="array" ref="Q72">INDEX($C$2:$C$14395,$O72,0)</f>
        <v>0</v>
      </c>
      <c r="R72" cm="1">
        <f t="array" ref="R72">INDEX($D$2:$D$14395,$N72,0)</f>
        <v>-1209.0989280000001</v>
      </c>
      <c r="S72" cm="1">
        <f t="array" ref="S72">INDEX($D$2:$D$14395,$O72,0)</f>
        <v>0</v>
      </c>
      <c r="T72">
        <f t="shared" si="28"/>
        <v>-6296.9055900921621</v>
      </c>
      <c r="U72">
        <f t="shared" si="29"/>
        <v>633.16959934774218</v>
      </c>
      <c r="V72">
        <f t="shared" si="30"/>
        <v>630.080967155802</v>
      </c>
      <c r="W72">
        <f t="shared" si="31"/>
        <v>1863.1845993477423</v>
      </c>
      <c r="X72">
        <f t="shared" si="32"/>
        <v>2030.9095993477422</v>
      </c>
      <c r="Y72">
        <f t="shared" si="33"/>
        <v>630.080967155802</v>
      </c>
      <c r="Z72">
        <f t="shared" si="34"/>
        <v>568.98782239922468</v>
      </c>
      <c r="AA72">
        <f t="shared" si="35"/>
        <v>1729.4395993477422</v>
      </c>
    </row>
    <row r="73" spans="1:27" x14ac:dyDescent="0.35">
      <c r="A73">
        <v>213</v>
      </c>
      <c r="B73">
        <v>-3956.29</v>
      </c>
      <c r="C73">
        <f t="shared" si="25"/>
        <v>64.92240000000001</v>
      </c>
      <c r="D73">
        <f t="shared" si="18"/>
        <v>-1205.8771920000002</v>
      </c>
      <c r="E73">
        <f t="shared" si="19"/>
        <v>121.25396634858001</v>
      </c>
      <c r="F73">
        <f t="shared" si="20"/>
        <v>120.66248358590404</v>
      </c>
      <c r="G73">
        <f t="shared" si="21"/>
        <v>1518.99396634858</v>
      </c>
      <c r="H73">
        <f t="shared" si="22"/>
        <v>120.66248358590404</v>
      </c>
      <c r="I73">
        <v>1</v>
      </c>
      <c r="J73">
        <f t="shared" si="23"/>
        <v>108.96295454017275</v>
      </c>
      <c r="K73">
        <f t="shared" si="24"/>
        <v>1217.52396634858</v>
      </c>
      <c r="M73">
        <v>1903.7579400000031</v>
      </c>
      <c r="N73">
        <f t="shared" si="26"/>
        <v>396</v>
      </c>
      <c r="O73">
        <f t="shared" si="27"/>
        <v>397</v>
      </c>
      <c r="P73" cm="1">
        <f t="array" ref="P73">INDEX($C$2:$C$14395,$N73,0)</f>
        <v>361.18800000000005</v>
      </c>
      <c r="Q73" cm="1">
        <f t="array" ref="Q73">INDEX($C$2:$C$14395,$O73,0)</f>
        <v>0</v>
      </c>
      <c r="R73" cm="1">
        <f t="array" ref="R73">INDEX($D$2:$D$14395,$N73,0)</f>
        <v>-1209.0989280000001</v>
      </c>
      <c r="S73" cm="1">
        <f t="array" ref="S73">INDEX($D$2:$D$14395,$O73,0)</f>
        <v>0</v>
      </c>
      <c r="T73">
        <f t="shared" si="28"/>
        <v>-6372.946178791909</v>
      </c>
      <c r="U73">
        <f t="shared" si="29"/>
        <v>640.81567064297349</v>
      </c>
      <c r="V73">
        <f t="shared" si="30"/>
        <v>637.68974054227601</v>
      </c>
      <c r="W73">
        <f t="shared" si="31"/>
        <v>1870.8306706429735</v>
      </c>
      <c r="X73">
        <f t="shared" si="32"/>
        <v>2038.5556706429734</v>
      </c>
      <c r="Y73">
        <f t="shared" si="33"/>
        <v>637.68974054227601</v>
      </c>
      <c r="Z73">
        <f t="shared" si="34"/>
        <v>575.85884315048088</v>
      </c>
      <c r="AA73">
        <f t="shared" si="35"/>
        <v>1737.0856706429736</v>
      </c>
    </row>
    <row r="74" spans="1:27" x14ac:dyDescent="0.35">
      <c r="A74">
        <v>216</v>
      </c>
      <c r="B74">
        <v>-3956.33</v>
      </c>
      <c r="C74">
        <f t="shared" si="25"/>
        <v>65.836799999999997</v>
      </c>
      <c r="D74">
        <f t="shared" si="18"/>
        <v>-1205.8893840000001</v>
      </c>
      <c r="E74">
        <f t="shared" si="19"/>
        <v>121.25519228466003</v>
      </c>
      <c r="F74">
        <f t="shared" si="20"/>
        <v>120.66370354180802</v>
      </c>
      <c r="G74">
        <f t="shared" si="21"/>
        <v>1518.9951922846601</v>
      </c>
      <c r="H74">
        <f t="shared" si="22"/>
        <v>120.66370354180802</v>
      </c>
      <c r="I74">
        <v>1</v>
      </c>
      <c r="J74">
        <f t="shared" si="23"/>
        <v>108.96405620819544</v>
      </c>
      <c r="K74">
        <f t="shared" si="24"/>
        <v>1217.5251922846601</v>
      </c>
      <c r="M74">
        <v>1926.4746840000032</v>
      </c>
      <c r="N74">
        <f t="shared" si="26"/>
        <v>396</v>
      </c>
      <c r="O74">
        <f t="shared" si="27"/>
        <v>397</v>
      </c>
      <c r="P74" cm="1">
        <f t="array" ref="P74">INDEX($C$2:$C$14395,$N74,0)</f>
        <v>361.18800000000005</v>
      </c>
      <c r="Q74" cm="1">
        <f t="array" ref="Q74">INDEX($C$2:$C$14395,$O74,0)</f>
        <v>0</v>
      </c>
      <c r="R74" cm="1">
        <f t="array" ref="R74">INDEX($D$2:$D$14395,$N74,0)</f>
        <v>-1209.0989280000001</v>
      </c>
      <c r="S74" cm="1">
        <f t="array" ref="S74">INDEX($D$2:$D$14395,$O74,0)</f>
        <v>0</v>
      </c>
      <c r="T74">
        <f t="shared" si="28"/>
        <v>-6448.9918691748971</v>
      </c>
      <c r="U74">
        <f t="shared" si="29"/>
        <v>648.46225492520887</v>
      </c>
      <c r="V74">
        <f t="shared" si="30"/>
        <v>645.29902441337856</v>
      </c>
      <c r="W74">
        <f t="shared" si="31"/>
        <v>1878.4772549252089</v>
      </c>
      <c r="X74">
        <f t="shared" si="32"/>
        <v>2046.2022549252088</v>
      </c>
      <c r="Y74">
        <f t="shared" si="33"/>
        <v>645.29902441337856</v>
      </c>
      <c r="Z74">
        <f t="shared" si="34"/>
        <v>582.73032488937554</v>
      </c>
      <c r="AA74">
        <f t="shared" si="35"/>
        <v>1744.732254925209</v>
      </c>
    </row>
    <row r="75" spans="1:27" x14ac:dyDescent="0.35">
      <c r="A75">
        <v>219</v>
      </c>
      <c r="B75">
        <v>-3956.37</v>
      </c>
      <c r="C75">
        <f t="shared" si="25"/>
        <v>66.751199999999997</v>
      </c>
      <c r="D75">
        <f t="shared" si="18"/>
        <v>-1205.901576</v>
      </c>
      <c r="E75">
        <f t="shared" si="19"/>
        <v>121.25641822074</v>
      </c>
      <c r="F75">
        <f t="shared" si="20"/>
        <v>120.66492349771201</v>
      </c>
      <c r="G75">
        <f t="shared" si="21"/>
        <v>1518.99641822074</v>
      </c>
      <c r="H75">
        <f t="shared" si="22"/>
        <v>120.66492349771201</v>
      </c>
      <c r="I75">
        <v>1</v>
      </c>
      <c r="J75">
        <f t="shared" si="23"/>
        <v>108.96515787621817</v>
      </c>
      <c r="K75">
        <f t="shared" si="24"/>
        <v>1217.52641822074</v>
      </c>
      <c r="M75">
        <v>1949.189904000003</v>
      </c>
      <c r="N75">
        <f t="shared" si="26"/>
        <v>396</v>
      </c>
      <c r="O75">
        <f t="shared" si="27"/>
        <v>397</v>
      </c>
      <c r="P75" cm="1">
        <f t="array" ref="P75">INDEX($C$2:$C$14395,$N75,0)</f>
        <v>361.18800000000005</v>
      </c>
      <c r="Q75" cm="1">
        <f t="array" ref="Q75">INDEX($C$2:$C$14395,$O75,0)</f>
        <v>0</v>
      </c>
      <c r="R75" cm="1">
        <f t="array" ref="R75">INDEX($D$2:$D$14395,$N75,0)</f>
        <v>-1209.0989280000001</v>
      </c>
      <c r="S75" cm="1">
        <f t="array" ref="S75">INDEX($D$2:$D$14395,$O75,0)</f>
        <v>0</v>
      </c>
      <c r="T75">
        <f t="shared" si="28"/>
        <v>-6525.0324578746431</v>
      </c>
      <c r="U75">
        <f t="shared" si="29"/>
        <v>656.10832622044018</v>
      </c>
      <c r="V75">
        <f t="shared" si="30"/>
        <v>652.90779779985257</v>
      </c>
      <c r="W75">
        <f t="shared" si="31"/>
        <v>1886.1233262204403</v>
      </c>
      <c r="X75">
        <f t="shared" si="32"/>
        <v>2053.84832622044</v>
      </c>
      <c r="Y75">
        <f t="shared" si="33"/>
        <v>652.90779779985257</v>
      </c>
      <c r="Z75">
        <f t="shared" si="34"/>
        <v>589.60134564063151</v>
      </c>
      <c r="AA75">
        <f t="shared" si="35"/>
        <v>1752.3783262204402</v>
      </c>
    </row>
    <row r="76" spans="1:27" x14ac:dyDescent="0.35">
      <c r="A76">
        <v>222</v>
      </c>
      <c r="B76">
        <v>-3956.39</v>
      </c>
      <c r="C76">
        <f t="shared" si="25"/>
        <v>67.665599999999998</v>
      </c>
      <c r="D76">
        <f t="shared" si="18"/>
        <v>-1205.907672</v>
      </c>
      <c r="E76">
        <f t="shared" si="19"/>
        <v>121.25703118877999</v>
      </c>
      <c r="F76">
        <f t="shared" si="20"/>
        <v>120.66553347566402</v>
      </c>
      <c r="G76">
        <f t="shared" si="21"/>
        <v>1518.9970311887801</v>
      </c>
      <c r="H76">
        <f t="shared" si="22"/>
        <v>120.66553347566402</v>
      </c>
      <c r="I76">
        <v>1</v>
      </c>
      <c r="J76">
        <f t="shared" si="23"/>
        <v>108.96570871022955</v>
      </c>
      <c r="K76">
        <f t="shared" si="24"/>
        <v>1217.52703118878</v>
      </c>
      <c r="M76">
        <v>1971.9036000000031</v>
      </c>
      <c r="N76">
        <f t="shared" si="26"/>
        <v>396</v>
      </c>
      <c r="O76">
        <f t="shared" si="27"/>
        <v>397</v>
      </c>
      <c r="P76" cm="1">
        <f t="array" ref="P76">INDEX($C$2:$C$14395,$N76,0)</f>
        <v>361.18800000000005</v>
      </c>
      <c r="Q76" cm="1">
        <f t="array" ref="Q76">INDEX($C$2:$C$14395,$O76,0)</f>
        <v>0</v>
      </c>
      <c r="R76" cm="1">
        <f t="array" ref="R76">INDEX($D$2:$D$14395,$N76,0)</f>
        <v>-1209.0989280000001</v>
      </c>
      <c r="S76" cm="1">
        <f t="array" ref="S76">INDEX($D$2:$D$14395,$O76,0)</f>
        <v>0</v>
      </c>
      <c r="T76">
        <f t="shared" si="28"/>
        <v>-6601.0679448911496</v>
      </c>
      <c r="U76">
        <f t="shared" si="29"/>
        <v>663.7538845286673</v>
      </c>
      <c r="V76">
        <f t="shared" si="30"/>
        <v>660.51606070169828</v>
      </c>
      <c r="W76">
        <f t="shared" si="31"/>
        <v>1893.7688845286675</v>
      </c>
      <c r="X76">
        <f t="shared" si="32"/>
        <v>2061.4938845286674</v>
      </c>
      <c r="Y76">
        <f t="shared" si="33"/>
        <v>660.51606070169828</v>
      </c>
      <c r="Z76">
        <f t="shared" si="34"/>
        <v>596.47190540424924</v>
      </c>
      <c r="AA76">
        <f t="shared" si="35"/>
        <v>1760.0238845286672</v>
      </c>
    </row>
    <row r="77" spans="1:27" x14ac:dyDescent="0.35">
      <c r="A77">
        <v>225</v>
      </c>
      <c r="B77">
        <v>-3956.42</v>
      </c>
      <c r="C77">
        <f t="shared" si="25"/>
        <v>68.58</v>
      </c>
      <c r="D77">
        <f t="shared" si="18"/>
        <v>-1205.9168160000002</v>
      </c>
      <c r="E77">
        <f t="shared" si="19"/>
        <v>121.25795064084001</v>
      </c>
      <c r="F77">
        <f t="shared" si="20"/>
        <v>120.66644844259203</v>
      </c>
      <c r="G77">
        <f t="shared" si="21"/>
        <v>1518.9979506408399</v>
      </c>
      <c r="H77">
        <f t="shared" si="22"/>
        <v>120.66644844259203</v>
      </c>
      <c r="I77">
        <v>1</v>
      </c>
      <c r="J77">
        <f t="shared" si="23"/>
        <v>108.96653496124657</v>
      </c>
      <c r="K77">
        <f t="shared" si="24"/>
        <v>1217.5279506408399</v>
      </c>
      <c r="M77">
        <v>1994.6150100000032</v>
      </c>
      <c r="N77">
        <f t="shared" si="26"/>
        <v>396</v>
      </c>
      <c r="O77">
        <f t="shared" si="27"/>
        <v>397</v>
      </c>
      <c r="P77" cm="1">
        <f t="array" ref="P77">INDEX($C$2:$C$14395,$N77,0)</f>
        <v>361.18800000000005</v>
      </c>
      <c r="Q77" cm="1">
        <f t="array" ref="Q77">INDEX($C$2:$C$14395,$O77,0)</f>
        <v>0</v>
      </c>
      <c r="R77" cm="1">
        <f t="array" ref="R77">INDEX($D$2:$D$14395,$N77,0)</f>
        <v>-1209.0989280000001</v>
      </c>
      <c r="S77" cm="1">
        <f t="array" ref="S77">INDEX($D$2:$D$14395,$O77,0)</f>
        <v>0</v>
      </c>
      <c r="T77">
        <f t="shared" si="28"/>
        <v>-6677.0957793827956</v>
      </c>
      <c r="U77">
        <f t="shared" si="29"/>
        <v>671.39867335638849</v>
      </c>
      <c r="V77">
        <f t="shared" si="30"/>
        <v>668.12355787660124</v>
      </c>
      <c r="W77">
        <f t="shared" si="31"/>
        <v>1901.4136733563887</v>
      </c>
      <c r="X77">
        <f t="shared" si="32"/>
        <v>2069.1386733563886</v>
      </c>
      <c r="Y77">
        <f t="shared" si="33"/>
        <v>668.12355787660124</v>
      </c>
      <c r="Z77">
        <f t="shared" si="34"/>
        <v>603.34177368640928</v>
      </c>
      <c r="AA77">
        <f t="shared" si="35"/>
        <v>1767.6686733563884</v>
      </c>
    </row>
    <row r="78" spans="1:27" x14ac:dyDescent="0.35">
      <c r="A78">
        <v>228</v>
      </c>
      <c r="B78">
        <v>-3956.38</v>
      </c>
      <c r="C78">
        <f t="shared" si="25"/>
        <v>69.494399999999999</v>
      </c>
      <c r="D78">
        <f t="shared" si="18"/>
        <v>-1205.904624</v>
      </c>
      <c r="E78">
        <f t="shared" si="19"/>
        <v>121.25672470476</v>
      </c>
      <c r="F78">
        <f t="shared" si="20"/>
        <v>120.66522848668801</v>
      </c>
      <c r="G78">
        <f t="shared" si="21"/>
        <v>1518.99672470476</v>
      </c>
      <c r="H78">
        <f t="shared" si="22"/>
        <v>120.66522848668801</v>
      </c>
      <c r="I78">
        <v>1</v>
      </c>
      <c r="J78">
        <f t="shared" si="23"/>
        <v>108.96543329322385</v>
      </c>
      <c r="K78">
        <f t="shared" si="24"/>
        <v>1217.52672470476</v>
      </c>
      <c r="M78">
        <v>2017.3241340000031</v>
      </c>
      <c r="N78">
        <f t="shared" si="26"/>
        <v>396</v>
      </c>
      <c r="O78">
        <f t="shared" si="27"/>
        <v>397</v>
      </c>
      <c r="P78" cm="1">
        <f t="array" ref="P78">INDEX($C$2:$C$14395,$N78,0)</f>
        <v>361.18800000000005</v>
      </c>
      <c r="Q78" cm="1">
        <f t="array" ref="Q78">INDEX($C$2:$C$14395,$O78,0)</f>
        <v>0</v>
      </c>
      <c r="R78" cm="1">
        <f t="array" ref="R78">INDEX($D$2:$D$14395,$N78,0)</f>
        <v>-1209.0989280000001</v>
      </c>
      <c r="S78" cm="1">
        <f t="array" ref="S78">INDEX($D$2:$D$14395,$O78,0)</f>
        <v>0</v>
      </c>
      <c r="T78">
        <f t="shared" si="28"/>
        <v>-6753.1159613495802</v>
      </c>
      <c r="U78">
        <f t="shared" si="29"/>
        <v>679.04269270360362</v>
      </c>
      <c r="V78">
        <f t="shared" si="30"/>
        <v>675.73028932456168</v>
      </c>
      <c r="W78">
        <f t="shared" si="31"/>
        <v>1909.0576927036036</v>
      </c>
      <c r="X78">
        <f t="shared" si="32"/>
        <v>2076.7826927036035</v>
      </c>
      <c r="Y78">
        <f t="shared" si="33"/>
        <v>675.73028932456168</v>
      </c>
      <c r="Z78">
        <f t="shared" si="34"/>
        <v>610.21095048711163</v>
      </c>
      <c r="AA78">
        <f t="shared" si="35"/>
        <v>1775.3126927036037</v>
      </c>
    </row>
    <row r="79" spans="1:27" x14ac:dyDescent="0.35">
      <c r="A79">
        <v>231</v>
      </c>
      <c r="B79">
        <v>-3956.34</v>
      </c>
      <c r="C79">
        <f t="shared" si="25"/>
        <v>70.408799999999999</v>
      </c>
      <c r="D79">
        <f t="shared" si="18"/>
        <v>-1205.8924320000001</v>
      </c>
      <c r="E79">
        <f t="shared" si="19"/>
        <v>121.25549876868003</v>
      </c>
      <c r="F79">
        <f t="shared" si="20"/>
        <v>120.664008530784</v>
      </c>
      <c r="G79">
        <f t="shared" si="21"/>
        <v>1518.9954987686801</v>
      </c>
      <c r="H79">
        <f t="shared" si="22"/>
        <v>120.664008530784</v>
      </c>
      <c r="I79">
        <v>1</v>
      </c>
      <c r="J79">
        <f t="shared" si="23"/>
        <v>108.96433162520113</v>
      </c>
      <c r="K79">
        <f t="shared" si="24"/>
        <v>1217.5254987686801</v>
      </c>
      <c r="M79">
        <v>2047.7286960000033</v>
      </c>
      <c r="N79">
        <f t="shared" si="26"/>
        <v>396</v>
      </c>
      <c r="O79">
        <f t="shared" si="27"/>
        <v>397</v>
      </c>
      <c r="P79" cm="1">
        <f t="array" ref="P79">INDEX($C$2:$C$14395,$N79,0)</f>
        <v>361.18800000000005</v>
      </c>
      <c r="Q79" cm="1">
        <f t="array" ref="Q79">INDEX($C$2:$C$14395,$O79,0)</f>
        <v>0</v>
      </c>
      <c r="R79" cm="1">
        <f t="array" ref="R79">INDEX($D$2:$D$14395,$N79,0)</f>
        <v>-1209.0989280000001</v>
      </c>
      <c r="S79" cm="1">
        <f t="array" ref="S79">INDEX($D$2:$D$14395,$O79,0)</f>
        <v>0</v>
      </c>
      <c r="T79">
        <f t="shared" si="28"/>
        <v>-6854.8970928393019</v>
      </c>
      <c r="U79">
        <f t="shared" si="29"/>
        <v>689.27703992772399</v>
      </c>
      <c r="V79">
        <f t="shared" si="30"/>
        <v>685.91471290368634</v>
      </c>
      <c r="W79">
        <f t="shared" si="31"/>
        <v>1919.2920399277241</v>
      </c>
      <c r="X79">
        <f t="shared" si="32"/>
        <v>2087.017039927724</v>
      </c>
      <c r="Y79">
        <f t="shared" si="33"/>
        <v>685.91471290368634</v>
      </c>
      <c r="Z79">
        <f t="shared" si="34"/>
        <v>619.40788436822106</v>
      </c>
      <c r="AA79">
        <f t="shared" si="35"/>
        <v>1785.547039927724</v>
      </c>
    </row>
    <row r="80" spans="1:27" x14ac:dyDescent="0.35">
      <c r="A80">
        <v>234</v>
      </c>
      <c r="B80">
        <v>-3956.29</v>
      </c>
      <c r="C80">
        <f t="shared" si="25"/>
        <v>71.3232</v>
      </c>
      <c r="D80">
        <f t="shared" si="18"/>
        <v>-1205.8771920000002</v>
      </c>
      <c r="E80">
        <f t="shared" si="19"/>
        <v>121.25396634858001</v>
      </c>
      <c r="F80">
        <f t="shared" si="20"/>
        <v>120.66248358590404</v>
      </c>
      <c r="G80">
        <f t="shared" si="21"/>
        <v>1518.99396634858</v>
      </c>
      <c r="H80">
        <f t="shared" si="22"/>
        <v>120.66248358590404</v>
      </c>
      <c r="I80">
        <v>1</v>
      </c>
      <c r="J80">
        <f t="shared" si="23"/>
        <v>108.96295454017275</v>
      </c>
      <c r="K80">
        <f t="shared" si="24"/>
        <v>1217.52396634858</v>
      </c>
      <c r="M80">
        <v>2085.8286960000032</v>
      </c>
      <c r="N80">
        <f t="shared" si="26"/>
        <v>396</v>
      </c>
      <c r="O80">
        <f t="shared" si="27"/>
        <v>397</v>
      </c>
      <c r="P80" cm="1">
        <f t="array" ref="P80">INDEX($C$2:$C$14395,$N80,0)</f>
        <v>361.18800000000005</v>
      </c>
      <c r="Q80" cm="1">
        <f t="array" ref="Q80">INDEX($C$2:$C$14395,$O80,0)</f>
        <v>0</v>
      </c>
      <c r="R80" cm="1">
        <f t="array" ref="R80">INDEX($D$2:$D$14395,$N80,0)</f>
        <v>-1209.0989280000001</v>
      </c>
      <c r="S80" cm="1">
        <f t="array" ref="S80">INDEX($D$2:$D$14395,$O80,0)</f>
        <v>0</v>
      </c>
      <c r="T80">
        <f t="shared" si="28"/>
        <v>-6982.4391738519598</v>
      </c>
      <c r="U80">
        <f t="shared" si="29"/>
        <v>702.10171502874925</v>
      </c>
      <c r="V80">
        <f t="shared" si="30"/>
        <v>698.67682861397486</v>
      </c>
      <c r="W80">
        <f t="shared" si="31"/>
        <v>1932.1167150287492</v>
      </c>
      <c r="X80">
        <f t="shared" si="32"/>
        <v>2099.8417150287491</v>
      </c>
      <c r="Y80">
        <f t="shared" si="33"/>
        <v>698.67682861397486</v>
      </c>
      <c r="Z80">
        <f t="shared" si="34"/>
        <v>630.93257532973746</v>
      </c>
      <c r="AA80">
        <f t="shared" si="35"/>
        <v>1798.3717150287493</v>
      </c>
    </row>
    <row r="81" spans="1:27" x14ac:dyDescent="0.35">
      <c r="A81">
        <v>237</v>
      </c>
      <c r="B81">
        <v>-3956.26</v>
      </c>
      <c r="C81">
        <f t="shared" si="25"/>
        <v>72.2376</v>
      </c>
      <c r="D81">
        <f t="shared" si="18"/>
        <v>-1205.868048</v>
      </c>
      <c r="E81">
        <f t="shared" si="19"/>
        <v>121.25304689651999</v>
      </c>
      <c r="F81">
        <f t="shared" si="20"/>
        <v>120.66156861897602</v>
      </c>
      <c r="G81">
        <f t="shared" si="21"/>
        <v>1518.9930468965199</v>
      </c>
      <c r="H81">
        <f t="shared" si="22"/>
        <v>120.66156861897602</v>
      </c>
      <c r="I81">
        <v>1</v>
      </c>
      <c r="J81">
        <f t="shared" si="23"/>
        <v>108.96212828915569</v>
      </c>
      <c r="K81">
        <f t="shared" si="24"/>
        <v>1217.5230468965199</v>
      </c>
      <c r="M81">
        <v>2116.2431640000032</v>
      </c>
      <c r="N81">
        <f t="shared" si="26"/>
        <v>396</v>
      </c>
      <c r="O81">
        <f t="shared" si="27"/>
        <v>397</v>
      </c>
      <c r="P81" cm="1">
        <f t="array" ref="P81">INDEX($C$2:$C$14395,$N81,0)</f>
        <v>361.18800000000005</v>
      </c>
      <c r="Q81" cm="1">
        <f t="array" ref="Q81">INDEX($C$2:$C$14395,$O81,0)</f>
        <v>0</v>
      </c>
      <c r="R81" cm="1">
        <f t="array" ref="R81">INDEX($D$2:$D$14395,$N81,0)</f>
        <v>-1209.0989280000001</v>
      </c>
      <c r="S81" cm="1">
        <f t="array" ref="S81">INDEX($D$2:$D$14395,$O81,0)</f>
        <v>0</v>
      </c>
      <c r="T81">
        <f t="shared" si="28"/>
        <v>-7084.2534662827447</v>
      </c>
      <c r="U81">
        <f t="shared" si="29"/>
        <v>712.33939666839569</v>
      </c>
      <c r="V81">
        <f t="shared" si="30"/>
        <v>708.86457034318403</v>
      </c>
      <c r="W81">
        <f t="shared" si="31"/>
        <v>1942.3543966683958</v>
      </c>
      <c r="X81">
        <f t="shared" si="32"/>
        <v>2110.0793966683959</v>
      </c>
      <c r="Y81">
        <f t="shared" si="33"/>
        <v>708.86457034318403</v>
      </c>
      <c r="Z81">
        <f t="shared" si="34"/>
        <v>640.13250563049689</v>
      </c>
      <c r="AA81">
        <f t="shared" si="35"/>
        <v>1808.6093966683957</v>
      </c>
    </row>
    <row r="82" spans="1:27" x14ac:dyDescent="0.35">
      <c r="A82">
        <v>240</v>
      </c>
      <c r="B82">
        <v>-3956.27</v>
      </c>
      <c r="C82">
        <f t="shared" si="25"/>
        <v>73.152000000000001</v>
      </c>
      <c r="D82">
        <f t="shared" si="18"/>
        <v>-1205.8710960000001</v>
      </c>
      <c r="E82">
        <f t="shared" si="19"/>
        <v>121.25335338054002</v>
      </c>
      <c r="F82">
        <f t="shared" si="20"/>
        <v>120.661873607952</v>
      </c>
      <c r="G82">
        <f t="shared" si="21"/>
        <v>1518.9933533805399</v>
      </c>
      <c r="H82">
        <f t="shared" si="22"/>
        <v>120.661873607952</v>
      </c>
      <c r="I82">
        <v>1</v>
      </c>
      <c r="J82">
        <f t="shared" si="23"/>
        <v>108.96240370616138</v>
      </c>
      <c r="K82">
        <f t="shared" si="24"/>
        <v>1217.5233533805399</v>
      </c>
      <c r="M82">
        <v>2138.9721000000031</v>
      </c>
      <c r="N82">
        <f t="shared" si="26"/>
        <v>396</v>
      </c>
      <c r="O82">
        <f t="shared" si="27"/>
        <v>397</v>
      </c>
      <c r="P82" cm="1">
        <f t="array" ref="P82">INDEX($C$2:$C$14395,$N82,0)</f>
        <v>361.18800000000005</v>
      </c>
      <c r="Q82" cm="1">
        <f t="array" ref="Q82">INDEX($C$2:$C$14395,$O82,0)</f>
        <v>0</v>
      </c>
      <c r="R82" cm="1">
        <f t="array" ref="R82">INDEX($D$2:$D$14395,$N82,0)</f>
        <v>-1209.0989280000001</v>
      </c>
      <c r="S82" cm="1">
        <f t="array" ref="S82">INDEX($D$2:$D$14395,$O82,0)</f>
        <v>0</v>
      </c>
      <c r="T82">
        <f t="shared" si="28"/>
        <v>-7160.3399701316557</v>
      </c>
      <c r="U82">
        <f t="shared" si="29"/>
        <v>719.99008484666331</v>
      </c>
      <c r="V82">
        <f t="shared" si="30"/>
        <v>716.47793809131383</v>
      </c>
      <c r="W82">
        <f t="shared" si="31"/>
        <v>1950.0050848466635</v>
      </c>
      <c r="X82">
        <f t="shared" si="32"/>
        <v>2117.7300848466634</v>
      </c>
      <c r="Y82">
        <f t="shared" si="33"/>
        <v>716.47793809131383</v>
      </c>
      <c r="Z82">
        <f t="shared" si="34"/>
        <v>647.00767527049913</v>
      </c>
      <c r="AA82">
        <f t="shared" si="35"/>
        <v>1816.2600848466632</v>
      </c>
    </row>
    <row r="83" spans="1:27" x14ac:dyDescent="0.35">
      <c r="A83">
        <v>243</v>
      </c>
      <c r="B83">
        <v>-3956.28</v>
      </c>
      <c r="C83">
        <f t="shared" si="25"/>
        <v>74.066400000000002</v>
      </c>
      <c r="D83">
        <f t="shared" si="18"/>
        <v>-1205.8741440000001</v>
      </c>
      <c r="E83">
        <f t="shared" si="19"/>
        <v>121.25365986456001</v>
      </c>
      <c r="F83">
        <f t="shared" si="20"/>
        <v>120.662178596928</v>
      </c>
      <c r="G83">
        <f t="shared" si="21"/>
        <v>1518.99365986456</v>
      </c>
      <c r="H83">
        <f t="shared" si="22"/>
        <v>120.662178596928</v>
      </c>
      <c r="I83">
        <v>1</v>
      </c>
      <c r="J83">
        <f t="shared" si="23"/>
        <v>108.96267912316706</v>
      </c>
      <c r="K83">
        <f t="shared" si="24"/>
        <v>1217.5236598645599</v>
      </c>
      <c r="M83">
        <v>2169.3865680000031</v>
      </c>
      <c r="N83">
        <f t="shared" si="26"/>
        <v>396</v>
      </c>
      <c r="O83">
        <f t="shared" si="27"/>
        <v>397</v>
      </c>
      <c r="P83" cm="1">
        <f t="array" ref="P83">INDEX($C$2:$C$14395,$N83,0)</f>
        <v>361.18800000000005</v>
      </c>
      <c r="Q83" cm="1">
        <f t="array" ref="Q83">INDEX($C$2:$C$14395,$O83,0)</f>
        <v>0</v>
      </c>
      <c r="R83" cm="1">
        <f t="array" ref="R83">INDEX($D$2:$D$14395,$N83,0)</f>
        <v>-1209.0989280000001</v>
      </c>
      <c r="S83" cm="1">
        <f t="array" ref="S83">INDEX($D$2:$D$14395,$O83,0)</f>
        <v>0</v>
      </c>
      <c r="T83">
        <f t="shared" si="28"/>
        <v>-7262.1542625624406</v>
      </c>
      <c r="U83">
        <f t="shared" si="29"/>
        <v>730.22776648630975</v>
      </c>
      <c r="V83">
        <f t="shared" si="30"/>
        <v>726.665679820523</v>
      </c>
      <c r="W83">
        <f t="shared" si="31"/>
        <v>1960.2427664863098</v>
      </c>
      <c r="X83">
        <f t="shared" si="32"/>
        <v>2127.9677664863098</v>
      </c>
      <c r="Y83">
        <f t="shared" si="33"/>
        <v>726.665679820523</v>
      </c>
      <c r="Z83">
        <f t="shared" si="34"/>
        <v>656.20760557125857</v>
      </c>
      <c r="AA83">
        <f t="shared" si="35"/>
        <v>1826.4977664863097</v>
      </c>
    </row>
    <row r="84" spans="1:27" x14ac:dyDescent="0.35">
      <c r="A84">
        <v>246</v>
      </c>
      <c r="B84">
        <v>-3956.3</v>
      </c>
      <c r="C84">
        <f t="shared" si="25"/>
        <v>74.980800000000002</v>
      </c>
      <c r="D84">
        <f t="shared" si="18"/>
        <v>-1205.8802400000002</v>
      </c>
      <c r="E84">
        <f t="shared" si="19"/>
        <v>121.25427283260002</v>
      </c>
      <c r="F84">
        <f t="shared" si="20"/>
        <v>120.66278857488001</v>
      </c>
      <c r="G84">
        <f t="shared" si="21"/>
        <v>1518.9942728326</v>
      </c>
      <c r="H84">
        <f t="shared" si="22"/>
        <v>120.66278857488001</v>
      </c>
      <c r="I84">
        <v>1</v>
      </c>
      <c r="J84">
        <f t="shared" si="23"/>
        <v>108.96322995717843</v>
      </c>
      <c r="K84">
        <f t="shared" si="24"/>
        <v>1217.5242728326</v>
      </c>
      <c r="M84">
        <v>2207.486568000003</v>
      </c>
      <c r="N84">
        <f t="shared" si="26"/>
        <v>396</v>
      </c>
      <c r="O84">
        <f t="shared" si="27"/>
        <v>397</v>
      </c>
      <c r="P84" cm="1">
        <f t="array" ref="P84">INDEX($C$2:$C$14395,$N84,0)</f>
        <v>361.18800000000005</v>
      </c>
      <c r="Q84" cm="1">
        <f t="array" ref="Q84">INDEX($C$2:$C$14395,$O84,0)</f>
        <v>0</v>
      </c>
      <c r="R84" cm="1">
        <f t="array" ref="R84">INDEX($D$2:$D$14395,$N84,0)</f>
        <v>-1209.0989280000001</v>
      </c>
      <c r="S84" cm="1">
        <f t="array" ref="S84">INDEX($D$2:$D$14395,$O84,0)</f>
        <v>0</v>
      </c>
      <c r="T84">
        <f t="shared" si="28"/>
        <v>-7389.6963435750986</v>
      </c>
      <c r="U84">
        <f t="shared" si="29"/>
        <v>743.05244158733512</v>
      </c>
      <c r="V84">
        <f t="shared" si="30"/>
        <v>739.42779553081152</v>
      </c>
      <c r="W84">
        <f t="shared" si="31"/>
        <v>1973.0674415873352</v>
      </c>
      <c r="X84">
        <f t="shared" si="32"/>
        <v>2140.7924415873349</v>
      </c>
      <c r="Y84">
        <f t="shared" si="33"/>
        <v>739.42779553081152</v>
      </c>
      <c r="Z84">
        <f t="shared" si="34"/>
        <v>667.73229653277508</v>
      </c>
      <c r="AA84">
        <f t="shared" si="35"/>
        <v>1839.3224415873351</v>
      </c>
    </row>
    <row r="85" spans="1:27" x14ac:dyDescent="0.35">
      <c r="A85">
        <v>249</v>
      </c>
      <c r="B85">
        <v>-3956.31</v>
      </c>
      <c r="C85">
        <f t="shared" si="25"/>
        <v>75.895200000000003</v>
      </c>
      <c r="D85">
        <f t="shared" si="18"/>
        <v>-1205.883288</v>
      </c>
      <c r="E85">
        <f t="shared" si="19"/>
        <v>121.25457931662001</v>
      </c>
      <c r="F85">
        <f t="shared" si="20"/>
        <v>120.66309356385599</v>
      </c>
      <c r="G85">
        <f t="shared" si="21"/>
        <v>1518.99457931662</v>
      </c>
      <c r="H85">
        <f t="shared" si="22"/>
        <v>120.66309356385599</v>
      </c>
      <c r="I85">
        <v>1</v>
      </c>
      <c r="J85">
        <f t="shared" si="23"/>
        <v>108.96350537418409</v>
      </c>
      <c r="K85">
        <f t="shared" si="24"/>
        <v>1217.52457931662</v>
      </c>
      <c r="M85">
        <v>2237.9056080000032</v>
      </c>
      <c r="N85">
        <f t="shared" si="26"/>
        <v>396</v>
      </c>
      <c r="O85">
        <f t="shared" si="27"/>
        <v>397</v>
      </c>
      <c r="P85" cm="1">
        <f t="array" ref="P85">INDEX($C$2:$C$14395,$N85,0)</f>
        <v>361.18800000000005</v>
      </c>
      <c r="Q85" cm="1">
        <f t="array" ref="Q85">INDEX($C$2:$C$14395,$O85,0)</f>
        <v>0</v>
      </c>
      <c r="R85" cm="1">
        <f t="array" ref="R85">INDEX($D$2:$D$14395,$N85,0)</f>
        <v>-1209.0989280000001</v>
      </c>
      <c r="S85" cm="1">
        <f t="array" ref="S85">INDEX($D$2:$D$14395,$O85,0)</f>
        <v>0</v>
      </c>
      <c r="T85">
        <f t="shared" si="28"/>
        <v>-7491.5259410556055</v>
      </c>
      <c r="U85">
        <f t="shared" si="29"/>
        <v>753.29166218799378</v>
      </c>
      <c r="V85">
        <f t="shared" si="30"/>
        <v>749.61706871390606</v>
      </c>
      <c r="W85">
        <f t="shared" si="31"/>
        <v>1983.3066621879939</v>
      </c>
      <c r="X85">
        <f t="shared" si="32"/>
        <v>2151.0316621879938</v>
      </c>
      <c r="Y85">
        <f t="shared" si="33"/>
        <v>749.61706871390606</v>
      </c>
      <c r="Z85">
        <f t="shared" si="34"/>
        <v>676.93360979644979</v>
      </c>
      <c r="AA85">
        <f t="shared" si="35"/>
        <v>1849.5616621879938</v>
      </c>
    </row>
    <row r="86" spans="1:27" x14ac:dyDescent="0.35">
      <c r="A86">
        <v>252</v>
      </c>
      <c r="B86">
        <v>-3956.32</v>
      </c>
      <c r="C86">
        <f t="shared" si="25"/>
        <v>76.809600000000003</v>
      </c>
      <c r="D86">
        <f t="shared" si="18"/>
        <v>-1205.886336</v>
      </c>
      <c r="E86">
        <f t="shared" si="19"/>
        <v>121.25488580064001</v>
      </c>
      <c r="F86">
        <f t="shared" si="20"/>
        <v>120.66339855283201</v>
      </c>
      <c r="G86">
        <f t="shared" si="21"/>
        <v>1518.9948858006401</v>
      </c>
      <c r="H86">
        <f t="shared" si="22"/>
        <v>120.66339855283201</v>
      </c>
      <c r="I86">
        <v>1</v>
      </c>
      <c r="J86">
        <f t="shared" si="23"/>
        <v>108.96378079118978</v>
      </c>
      <c r="K86">
        <f t="shared" si="24"/>
        <v>1217.52488580064</v>
      </c>
      <c r="M86">
        <v>2260.6436880000033</v>
      </c>
      <c r="N86">
        <f t="shared" si="26"/>
        <v>396</v>
      </c>
      <c r="O86">
        <f t="shared" si="27"/>
        <v>397</v>
      </c>
      <c r="P86" cm="1">
        <f t="array" ref="P86">INDEX($C$2:$C$14395,$N86,0)</f>
        <v>361.18800000000005</v>
      </c>
      <c r="Q86" cm="1">
        <f t="array" ref="Q86">INDEX($C$2:$C$14395,$O86,0)</f>
        <v>0</v>
      </c>
      <c r="R86" cm="1">
        <f t="array" ref="R86">INDEX($D$2:$D$14395,$N86,0)</f>
        <v>-1209.0989280000001</v>
      </c>
      <c r="S86" cm="1">
        <f t="array" ref="S86">INDEX($D$2:$D$14395,$O86,0)</f>
        <v>0</v>
      </c>
      <c r="T86">
        <f t="shared" si="28"/>
        <v>-7567.6430550039604</v>
      </c>
      <c r="U86">
        <f t="shared" si="29"/>
        <v>760.94542828828571</v>
      </c>
      <c r="V86">
        <f t="shared" si="30"/>
        <v>757.2334993698064</v>
      </c>
      <c r="W86">
        <f t="shared" si="31"/>
        <v>1990.9604282882858</v>
      </c>
      <c r="X86">
        <f t="shared" si="32"/>
        <v>2158.6854282882859</v>
      </c>
      <c r="Y86">
        <f t="shared" si="33"/>
        <v>757.2334993698064</v>
      </c>
      <c r="Z86">
        <f t="shared" si="34"/>
        <v>683.81154536228303</v>
      </c>
      <c r="AA86">
        <f t="shared" si="35"/>
        <v>1857.2154282882857</v>
      </c>
    </row>
    <row r="87" spans="1:27" x14ac:dyDescent="0.35">
      <c r="A87">
        <v>255</v>
      </c>
      <c r="B87">
        <v>-3956.34</v>
      </c>
      <c r="C87">
        <f t="shared" si="25"/>
        <v>77.724000000000004</v>
      </c>
      <c r="D87">
        <f t="shared" si="18"/>
        <v>-1205.8924320000001</v>
      </c>
      <c r="E87">
        <f t="shared" si="19"/>
        <v>121.25549876868003</v>
      </c>
      <c r="F87">
        <f t="shared" si="20"/>
        <v>120.664008530784</v>
      </c>
      <c r="G87">
        <f t="shared" si="21"/>
        <v>1518.9954987686801</v>
      </c>
      <c r="H87">
        <f t="shared" si="22"/>
        <v>120.664008530784</v>
      </c>
      <c r="I87">
        <v>1</v>
      </c>
      <c r="J87">
        <f t="shared" si="23"/>
        <v>108.96433162520113</v>
      </c>
      <c r="K87">
        <f t="shared" si="24"/>
        <v>1217.5254987686801</v>
      </c>
      <c r="M87">
        <v>2287.0241280000032</v>
      </c>
      <c r="N87">
        <f t="shared" si="26"/>
        <v>396</v>
      </c>
      <c r="O87">
        <f t="shared" si="27"/>
        <v>397</v>
      </c>
      <c r="P87" cm="1">
        <f t="array" ref="P87">INDEX($C$2:$C$14395,$N87,0)</f>
        <v>361.18800000000005</v>
      </c>
      <c r="Q87" cm="1">
        <f t="array" ref="Q87">INDEX($C$2:$C$14395,$O87,0)</f>
        <v>0</v>
      </c>
      <c r="R87" cm="1">
        <f t="array" ref="R87">INDEX($D$2:$D$14395,$N87,0)</f>
        <v>-1209.0989280000001</v>
      </c>
      <c r="S87" cm="1">
        <f t="array" ref="S87">INDEX($D$2:$D$14395,$O87,0)</f>
        <v>0</v>
      </c>
      <c r="T87">
        <f t="shared" si="28"/>
        <v>-7655.9531918971243</v>
      </c>
      <c r="U87">
        <f t="shared" si="29"/>
        <v>769.82523332823564</v>
      </c>
      <c r="V87">
        <f t="shared" si="30"/>
        <v>766.06998828761016</v>
      </c>
      <c r="W87">
        <f t="shared" si="31"/>
        <v>1999.8402333282356</v>
      </c>
      <c r="X87">
        <f t="shared" si="32"/>
        <v>2167.5652333282355</v>
      </c>
      <c r="Y87">
        <f t="shared" si="33"/>
        <v>766.06998828761016</v>
      </c>
      <c r="Z87">
        <f t="shared" si="34"/>
        <v>691.79124138403699</v>
      </c>
      <c r="AA87">
        <f t="shared" si="35"/>
        <v>1866.0952333282357</v>
      </c>
    </row>
    <row r="88" spans="1:27" x14ac:dyDescent="0.35">
      <c r="A88">
        <v>258</v>
      </c>
      <c r="B88">
        <v>-3956.35</v>
      </c>
      <c r="C88">
        <f t="shared" si="25"/>
        <v>78.638400000000004</v>
      </c>
      <c r="D88">
        <f t="shared" si="18"/>
        <v>-1205.8954800000001</v>
      </c>
      <c r="E88">
        <f t="shared" si="19"/>
        <v>121.25580525270001</v>
      </c>
      <c r="F88">
        <f t="shared" si="20"/>
        <v>120.66431351976001</v>
      </c>
      <c r="G88">
        <f t="shared" si="21"/>
        <v>1518.9958052526999</v>
      </c>
      <c r="H88">
        <f t="shared" si="22"/>
        <v>120.66431351976001</v>
      </c>
      <c r="I88">
        <v>1</v>
      </c>
      <c r="J88">
        <f t="shared" si="23"/>
        <v>108.96460704220682</v>
      </c>
      <c r="K88">
        <f t="shared" si="24"/>
        <v>1217.5258052526999</v>
      </c>
      <c r="M88">
        <v>2317.0469280000029</v>
      </c>
      <c r="N88">
        <f t="shared" si="26"/>
        <v>396</v>
      </c>
      <c r="O88">
        <f t="shared" si="27"/>
        <v>397</v>
      </c>
      <c r="P88" cm="1">
        <f t="array" ref="P88">INDEX($C$2:$C$14395,$N88,0)</f>
        <v>361.18800000000005</v>
      </c>
      <c r="Q88" cm="1">
        <f t="array" ref="Q88">INDEX($C$2:$C$14395,$O88,0)</f>
        <v>0</v>
      </c>
      <c r="R88" cm="1">
        <f t="array" ref="R88">INDEX($D$2:$D$14395,$N88,0)</f>
        <v>-1209.0989280000001</v>
      </c>
      <c r="S88" cm="1">
        <f t="array" ref="S88">INDEX($D$2:$D$14395,$O88,0)</f>
        <v>0</v>
      </c>
      <c r="T88">
        <f t="shared" si="28"/>
        <v>-7756.456351735098</v>
      </c>
      <c r="U88">
        <f t="shared" si="29"/>
        <v>779.93107730784345</v>
      </c>
      <c r="V88">
        <f t="shared" si="30"/>
        <v>776.12653546731735</v>
      </c>
      <c r="W88">
        <f t="shared" si="31"/>
        <v>2009.9460773078436</v>
      </c>
      <c r="X88">
        <f t="shared" si="32"/>
        <v>2177.6710773078435</v>
      </c>
      <c r="Y88">
        <f t="shared" si="33"/>
        <v>776.12653546731735</v>
      </c>
      <c r="Z88">
        <f t="shared" si="34"/>
        <v>700.8726978617118</v>
      </c>
      <c r="AA88">
        <f t="shared" si="35"/>
        <v>1876.2010773078434</v>
      </c>
    </row>
    <row r="89" spans="1:27" x14ac:dyDescent="0.35">
      <c r="A89">
        <v>261</v>
      </c>
      <c r="B89">
        <v>-3956.4</v>
      </c>
      <c r="C89">
        <f t="shared" si="25"/>
        <v>79.552800000000005</v>
      </c>
      <c r="D89">
        <f t="shared" si="18"/>
        <v>-1205.9107200000001</v>
      </c>
      <c r="E89">
        <f t="shared" si="19"/>
        <v>121.25733767280001</v>
      </c>
      <c r="F89">
        <f t="shared" si="20"/>
        <v>120.66583846464002</v>
      </c>
      <c r="G89">
        <f t="shared" si="21"/>
        <v>1518.9973376728001</v>
      </c>
      <c r="H89">
        <f t="shared" si="22"/>
        <v>120.66583846464002</v>
      </c>
      <c r="I89">
        <v>1</v>
      </c>
      <c r="J89">
        <f t="shared" si="23"/>
        <v>108.96598412723523</v>
      </c>
      <c r="K89">
        <f t="shared" si="24"/>
        <v>1217.5273376728001</v>
      </c>
      <c r="M89">
        <v>2351.108328000003</v>
      </c>
      <c r="N89">
        <f t="shared" si="26"/>
        <v>396</v>
      </c>
      <c r="O89">
        <f t="shared" si="27"/>
        <v>397</v>
      </c>
      <c r="P89" cm="1">
        <f t="array" ref="P89">INDEX($C$2:$C$14395,$N89,0)</f>
        <v>361.18800000000005</v>
      </c>
      <c r="Q89" cm="1">
        <f t="array" ref="Q89">INDEX($C$2:$C$14395,$O89,0)</f>
        <v>0</v>
      </c>
      <c r="R89" cm="1">
        <f t="array" ref="R89">INDEX($D$2:$D$14395,$N89,0)</f>
        <v>-1209.0989280000001</v>
      </c>
      <c r="S89" cm="1">
        <f t="array" ref="S89">INDEX($D$2:$D$14395,$O89,0)</f>
        <v>0</v>
      </c>
      <c r="T89">
        <f t="shared" si="28"/>
        <v>-7870.4789721604147</v>
      </c>
      <c r="U89">
        <f t="shared" si="29"/>
        <v>791.39633684816022</v>
      </c>
      <c r="V89">
        <f t="shared" si="30"/>
        <v>787.53586691231544</v>
      </c>
      <c r="W89">
        <f t="shared" si="31"/>
        <v>2021.4113368481603</v>
      </c>
      <c r="X89">
        <f t="shared" si="32"/>
        <v>2189.1363368481602</v>
      </c>
      <c r="Y89">
        <f t="shared" si="33"/>
        <v>787.53586691231544</v>
      </c>
      <c r="Z89">
        <f t="shared" si="34"/>
        <v>711.17577158130769</v>
      </c>
      <c r="AA89">
        <f t="shared" si="35"/>
        <v>1887.6663368481602</v>
      </c>
    </row>
    <row r="90" spans="1:27" x14ac:dyDescent="0.35">
      <c r="A90">
        <v>264</v>
      </c>
      <c r="B90">
        <v>-3956.46</v>
      </c>
      <c r="C90">
        <f t="shared" si="25"/>
        <v>80.467200000000005</v>
      </c>
      <c r="D90">
        <f t="shared" si="18"/>
        <v>-1205.9290080000001</v>
      </c>
      <c r="E90">
        <f t="shared" si="19"/>
        <v>121.25917657692003</v>
      </c>
      <c r="F90">
        <f t="shared" si="20"/>
        <v>120.66766839849601</v>
      </c>
      <c r="G90">
        <f t="shared" si="21"/>
        <v>1518.99917657692</v>
      </c>
      <c r="H90">
        <f t="shared" si="22"/>
        <v>120.66766839849601</v>
      </c>
      <c r="I90">
        <v>1</v>
      </c>
      <c r="J90">
        <f t="shared" si="23"/>
        <v>108.96763662926929</v>
      </c>
      <c r="K90">
        <f t="shared" si="24"/>
        <v>1217.52917657692</v>
      </c>
      <c r="M90">
        <v>2389.2083280000029</v>
      </c>
      <c r="N90">
        <f t="shared" si="26"/>
        <v>396</v>
      </c>
      <c r="O90">
        <f t="shared" si="27"/>
        <v>397</v>
      </c>
      <c r="P90" cm="1">
        <f t="array" ref="P90">INDEX($C$2:$C$14395,$N90,0)</f>
        <v>361.18800000000005</v>
      </c>
      <c r="Q90" cm="1">
        <f t="array" ref="Q90">INDEX($C$2:$C$14395,$O90,0)</f>
        <v>0</v>
      </c>
      <c r="R90" cm="1">
        <f t="array" ref="R90">INDEX($D$2:$D$14395,$N90,0)</f>
        <v>-1209.0989280000001</v>
      </c>
      <c r="S90" cm="1">
        <f t="array" ref="S90">INDEX($D$2:$D$14395,$O90,0)</f>
        <v>0</v>
      </c>
      <c r="T90">
        <f t="shared" si="28"/>
        <v>-7998.0210531730727</v>
      </c>
      <c r="U90">
        <f t="shared" si="29"/>
        <v>804.22101194918548</v>
      </c>
      <c r="V90">
        <f t="shared" si="30"/>
        <v>800.29798262260408</v>
      </c>
      <c r="W90">
        <f t="shared" si="31"/>
        <v>2034.2360119491855</v>
      </c>
      <c r="X90">
        <f t="shared" si="32"/>
        <v>2201.9610119491854</v>
      </c>
      <c r="Y90">
        <f t="shared" si="33"/>
        <v>800.29798262260408</v>
      </c>
      <c r="Z90">
        <f t="shared" si="34"/>
        <v>722.7004625428242</v>
      </c>
      <c r="AA90">
        <f t="shared" si="35"/>
        <v>1900.4910119491856</v>
      </c>
    </row>
    <row r="91" spans="1:27" x14ac:dyDescent="0.35">
      <c r="A91">
        <v>267</v>
      </c>
      <c r="B91">
        <v>-3956.52</v>
      </c>
      <c r="C91">
        <f t="shared" si="25"/>
        <v>81.381600000000006</v>
      </c>
      <c r="D91">
        <f t="shared" si="18"/>
        <v>-1205.9472960000001</v>
      </c>
      <c r="E91">
        <f t="shared" si="19"/>
        <v>121.26101548104002</v>
      </c>
      <c r="F91">
        <f t="shared" si="20"/>
        <v>120.66949833235201</v>
      </c>
      <c r="G91">
        <f t="shared" si="21"/>
        <v>1519.00101548104</v>
      </c>
      <c r="H91">
        <f t="shared" si="22"/>
        <v>120.66949833235201</v>
      </c>
      <c r="I91">
        <v>1</v>
      </c>
      <c r="J91">
        <f t="shared" si="23"/>
        <v>108.96928913130337</v>
      </c>
      <c r="K91">
        <f t="shared" si="24"/>
        <v>1217.53101548104</v>
      </c>
      <c r="M91">
        <v>2427.3083280000033</v>
      </c>
      <c r="N91">
        <f t="shared" si="26"/>
        <v>396</v>
      </c>
      <c r="O91">
        <f t="shared" si="27"/>
        <v>397</v>
      </c>
      <c r="P91" cm="1">
        <f t="array" ref="P91">INDEX($C$2:$C$14395,$N91,0)</f>
        <v>361.18800000000005</v>
      </c>
      <c r="Q91" cm="1">
        <f t="array" ref="Q91">INDEX($C$2:$C$14395,$O91,0)</f>
        <v>0</v>
      </c>
      <c r="R91" cm="1">
        <f t="array" ref="R91">INDEX($D$2:$D$14395,$N91,0)</f>
        <v>-1209.0989280000001</v>
      </c>
      <c r="S91" cm="1">
        <f t="array" ref="S91">INDEX($D$2:$D$14395,$O91,0)</f>
        <v>0</v>
      </c>
      <c r="T91">
        <f t="shared" si="28"/>
        <v>-8125.5631341857325</v>
      </c>
      <c r="U91">
        <f t="shared" si="29"/>
        <v>817.04568705021097</v>
      </c>
      <c r="V91">
        <f t="shared" si="30"/>
        <v>813.06009833289284</v>
      </c>
      <c r="W91">
        <f t="shared" si="31"/>
        <v>2047.0606870502111</v>
      </c>
      <c r="X91">
        <f t="shared" si="32"/>
        <v>2214.785687050211</v>
      </c>
      <c r="Y91">
        <f t="shared" si="33"/>
        <v>813.06009833289284</v>
      </c>
      <c r="Z91">
        <f t="shared" si="34"/>
        <v>734.22515350434082</v>
      </c>
      <c r="AA91">
        <f t="shared" si="35"/>
        <v>1913.315687050211</v>
      </c>
    </row>
    <row r="92" spans="1:27" x14ac:dyDescent="0.35">
      <c r="A92">
        <v>270</v>
      </c>
      <c r="B92">
        <v>-3956.56</v>
      </c>
      <c r="C92">
        <f t="shared" si="25"/>
        <v>82.296000000000006</v>
      </c>
      <c r="D92">
        <f t="shared" si="18"/>
        <v>-1205.959488</v>
      </c>
      <c r="E92">
        <f t="shared" si="19"/>
        <v>121.26224141712001</v>
      </c>
      <c r="F92">
        <f t="shared" si="20"/>
        <v>120.67071828825598</v>
      </c>
      <c r="G92">
        <f t="shared" si="21"/>
        <v>1519.0022414171201</v>
      </c>
      <c r="H92">
        <f t="shared" si="22"/>
        <v>120.67071828825598</v>
      </c>
      <c r="I92">
        <v>1</v>
      </c>
      <c r="J92">
        <f t="shared" si="23"/>
        <v>108.97039079932608</v>
      </c>
      <c r="K92">
        <f t="shared" si="24"/>
        <v>1217.5322414171201</v>
      </c>
      <c r="M92">
        <v>2465.4083280000032</v>
      </c>
      <c r="N92">
        <f t="shared" si="26"/>
        <v>396</v>
      </c>
      <c r="O92">
        <f t="shared" si="27"/>
        <v>397</v>
      </c>
      <c r="P92" cm="1">
        <f t="array" ref="P92">INDEX($C$2:$C$14395,$N92,0)</f>
        <v>361.18800000000005</v>
      </c>
      <c r="Q92" cm="1">
        <f t="array" ref="Q92">INDEX($C$2:$C$14395,$O92,0)</f>
        <v>0</v>
      </c>
      <c r="R92" cm="1">
        <f t="array" ref="R92">INDEX($D$2:$D$14395,$N92,0)</f>
        <v>-1209.0989280000001</v>
      </c>
      <c r="S92" cm="1">
        <f t="array" ref="S92">INDEX($D$2:$D$14395,$O92,0)</f>
        <v>0</v>
      </c>
      <c r="T92">
        <f t="shared" si="28"/>
        <v>-8253.1052151983895</v>
      </c>
      <c r="U92">
        <f t="shared" si="29"/>
        <v>829.87036215123624</v>
      </c>
      <c r="V92">
        <f t="shared" si="30"/>
        <v>825.82221404318125</v>
      </c>
      <c r="W92">
        <f t="shared" si="31"/>
        <v>2059.8853621512362</v>
      </c>
      <c r="X92">
        <f t="shared" si="32"/>
        <v>2227.6103621512361</v>
      </c>
      <c r="Y92">
        <f t="shared" si="33"/>
        <v>825.82221404318125</v>
      </c>
      <c r="Z92">
        <f t="shared" si="34"/>
        <v>745.74984446585711</v>
      </c>
      <c r="AA92">
        <f t="shared" si="35"/>
        <v>1926.1403621512363</v>
      </c>
    </row>
    <row r="93" spans="1:27" x14ac:dyDescent="0.35">
      <c r="A93">
        <v>273</v>
      </c>
      <c r="B93">
        <v>-3956.59</v>
      </c>
      <c r="C93">
        <f t="shared" si="25"/>
        <v>83.210400000000007</v>
      </c>
      <c r="D93">
        <f t="shared" si="18"/>
        <v>-1205.9686320000001</v>
      </c>
      <c r="E93">
        <f t="shared" si="19"/>
        <v>121.26316086918003</v>
      </c>
      <c r="F93">
        <f t="shared" si="20"/>
        <v>120.67163325518403</v>
      </c>
      <c r="G93">
        <f t="shared" si="21"/>
        <v>1519.00316086918</v>
      </c>
      <c r="H93">
        <f t="shared" si="22"/>
        <v>120.67163325518403</v>
      </c>
      <c r="I93">
        <v>1</v>
      </c>
      <c r="J93">
        <f t="shared" si="23"/>
        <v>108.97121705034314</v>
      </c>
      <c r="K93">
        <f t="shared" si="24"/>
        <v>1217.5331608691799</v>
      </c>
      <c r="M93">
        <v>2503.5083280000031</v>
      </c>
      <c r="N93">
        <f t="shared" si="26"/>
        <v>396</v>
      </c>
      <c r="O93">
        <f t="shared" si="27"/>
        <v>397</v>
      </c>
      <c r="P93" cm="1">
        <f t="array" ref="P93">INDEX($C$2:$C$14395,$N93,0)</f>
        <v>361.18800000000005</v>
      </c>
      <c r="Q93" cm="1">
        <f t="array" ref="Q93">INDEX($C$2:$C$14395,$O93,0)</f>
        <v>0</v>
      </c>
      <c r="R93" cm="1">
        <f t="array" ref="R93">INDEX($D$2:$D$14395,$N93,0)</f>
        <v>-1209.0989280000001</v>
      </c>
      <c r="S93" cm="1">
        <f t="array" ref="S93">INDEX($D$2:$D$14395,$O93,0)</f>
        <v>0</v>
      </c>
      <c r="T93">
        <f t="shared" si="28"/>
        <v>-8380.6472962110474</v>
      </c>
      <c r="U93">
        <f t="shared" si="29"/>
        <v>842.69503725226139</v>
      </c>
      <c r="V93">
        <f t="shared" si="30"/>
        <v>838.58432975346977</v>
      </c>
      <c r="W93">
        <f t="shared" si="31"/>
        <v>2072.7100372522614</v>
      </c>
      <c r="X93">
        <f t="shared" si="32"/>
        <v>2240.4350372522613</v>
      </c>
      <c r="Y93">
        <f t="shared" si="33"/>
        <v>838.58432975346977</v>
      </c>
      <c r="Z93">
        <f t="shared" si="34"/>
        <v>757.27453542737362</v>
      </c>
      <c r="AA93">
        <f t="shared" si="35"/>
        <v>1938.9650372522615</v>
      </c>
    </row>
    <row r="94" spans="1:27" x14ac:dyDescent="0.35">
      <c r="A94">
        <v>276</v>
      </c>
      <c r="B94">
        <v>-3956.61</v>
      </c>
      <c r="C94">
        <f t="shared" si="25"/>
        <v>84.124800000000008</v>
      </c>
      <c r="D94">
        <f t="shared" si="18"/>
        <v>-1205.9747280000001</v>
      </c>
      <c r="E94">
        <f t="shared" si="19"/>
        <v>121.26377383722001</v>
      </c>
      <c r="F94">
        <f t="shared" si="20"/>
        <v>120.67224323313602</v>
      </c>
      <c r="G94">
        <f t="shared" si="21"/>
        <v>1519.00377383722</v>
      </c>
      <c r="H94">
        <f t="shared" si="22"/>
        <v>120.67224323313602</v>
      </c>
      <c r="I94">
        <v>1</v>
      </c>
      <c r="J94">
        <f t="shared" si="23"/>
        <v>108.97176788435449</v>
      </c>
      <c r="K94">
        <f t="shared" si="24"/>
        <v>1217.53377383722</v>
      </c>
      <c r="M94">
        <v>2541.608328000003</v>
      </c>
      <c r="N94">
        <f t="shared" si="26"/>
        <v>396</v>
      </c>
      <c r="O94">
        <f t="shared" si="27"/>
        <v>397</v>
      </c>
      <c r="P94" cm="1">
        <f t="array" ref="P94">INDEX($C$2:$C$14395,$N94,0)</f>
        <v>361.18800000000005</v>
      </c>
      <c r="Q94" cm="1">
        <f t="array" ref="Q94">INDEX($C$2:$C$14395,$O94,0)</f>
        <v>0</v>
      </c>
      <c r="R94" cm="1">
        <f t="array" ref="R94">INDEX($D$2:$D$14395,$N94,0)</f>
        <v>-1209.0989280000001</v>
      </c>
      <c r="S94" cm="1">
        <f t="array" ref="S94">INDEX($D$2:$D$14395,$O94,0)</f>
        <v>0</v>
      </c>
      <c r="T94">
        <f t="shared" si="28"/>
        <v>-8508.1893772237054</v>
      </c>
      <c r="U94">
        <f t="shared" si="29"/>
        <v>855.51971235328676</v>
      </c>
      <c r="V94">
        <f t="shared" si="30"/>
        <v>851.34644546375853</v>
      </c>
      <c r="W94">
        <f t="shared" si="31"/>
        <v>2085.534712353287</v>
      </c>
      <c r="X94">
        <f t="shared" si="32"/>
        <v>2253.2597123532869</v>
      </c>
      <c r="Y94">
        <f t="shared" si="33"/>
        <v>851.34644546375853</v>
      </c>
      <c r="Z94">
        <f t="shared" si="34"/>
        <v>768.79922638889013</v>
      </c>
      <c r="AA94">
        <f t="shared" si="35"/>
        <v>1951.7897123532866</v>
      </c>
    </row>
    <row r="95" spans="1:27" x14ac:dyDescent="0.35">
      <c r="A95">
        <v>279</v>
      </c>
      <c r="B95">
        <v>-3956.62</v>
      </c>
      <c r="C95">
        <f t="shared" si="25"/>
        <v>85.039200000000008</v>
      </c>
      <c r="D95">
        <f t="shared" si="18"/>
        <v>-1205.9777759999999</v>
      </c>
      <c r="E95">
        <f t="shared" si="19"/>
        <v>121.26408032124</v>
      </c>
      <c r="F95">
        <f t="shared" si="20"/>
        <v>120.672548222112</v>
      </c>
      <c r="G95">
        <f t="shared" si="21"/>
        <v>1519.0040803212401</v>
      </c>
      <c r="H95">
        <f t="shared" si="22"/>
        <v>120.672548222112</v>
      </c>
      <c r="I95">
        <v>1</v>
      </c>
      <c r="J95">
        <f t="shared" si="23"/>
        <v>108.97204330136017</v>
      </c>
      <c r="K95">
        <f t="shared" si="24"/>
        <v>1217.53408032124</v>
      </c>
      <c r="M95">
        <v>2572.015938</v>
      </c>
      <c r="N95">
        <f t="shared" si="26"/>
        <v>396</v>
      </c>
      <c r="O95">
        <f t="shared" si="27"/>
        <v>397</v>
      </c>
      <c r="P95" cm="1">
        <f t="array" ref="P95">INDEX($C$2:$C$14395,$N95,0)</f>
        <v>361.18800000000005</v>
      </c>
      <c r="Q95" cm="1">
        <f t="array" ref="Q95">INDEX($C$2:$C$14395,$O95,0)</f>
        <v>0</v>
      </c>
      <c r="R95" cm="1">
        <f t="array" ref="R95">INDEX($D$2:$D$14395,$N95,0)</f>
        <v>-1209.0989280000001</v>
      </c>
      <c r="S95" cm="1">
        <f t="array" ref="S95">INDEX($D$2:$D$14395,$O95,0)</f>
        <v>0</v>
      </c>
      <c r="T95">
        <f t="shared" si="28"/>
        <v>-8609.9807120798978</v>
      </c>
      <c r="U95">
        <f t="shared" si="29"/>
        <v>865.75508555141403</v>
      </c>
      <c r="V95">
        <f t="shared" si="30"/>
        <v>861.53189001213877</v>
      </c>
      <c r="W95">
        <f t="shared" si="31"/>
        <v>2095.770085551414</v>
      </c>
      <c r="X95">
        <f t="shared" si="32"/>
        <v>2263.4950855514139</v>
      </c>
      <c r="Y95">
        <f t="shared" si="33"/>
        <v>861.53189001213877</v>
      </c>
      <c r="Z95">
        <f t="shared" si="34"/>
        <v>777.99708224527558</v>
      </c>
      <c r="AA95">
        <f t="shared" si="35"/>
        <v>1962.0250855514141</v>
      </c>
    </row>
    <row r="96" spans="1:27" x14ac:dyDescent="0.35">
      <c r="A96">
        <v>282</v>
      </c>
      <c r="B96">
        <v>-3956.65</v>
      </c>
      <c r="C96">
        <f t="shared" si="25"/>
        <v>85.953600000000009</v>
      </c>
      <c r="D96">
        <f t="shared" si="18"/>
        <v>-1205.9869200000001</v>
      </c>
      <c r="E96">
        <f t="shared" si="19"/>
        <v>121.2649997733</v>
      </c>
      <c r="F96">
        <f t="shared" si="20"/>
        <v>120.67346318904001</v>
      </c>
      <c r="G96">
        <f t="shared" si="21"/>
        <v>1519.0049997732999</v>
      </c>
      <c r="H96">
        <f t="shared" si="22"/>
        <v>120.67346318904001</v>
      </c>
      <c r="I96">
        <v>1</v>
      </c>
      <c r="J96">
        <f t="shared" si="23"/>
        <v>108.9728695523772</v>
      </c>
      <c r="K96">
        <f t="shared" si="24"/>
        <v>1217.5349997732999</v>
      </c>
      <c r="M96">
        <v>2594.7311580000001</v>
      </c>
      <c r="N96">
        <f t="shared" si="26"/>
        <v>396</v>
      </c>
      <c r="O96">
        <f t="shared" si="27"/>
        <v>397</v>
      </c>
      <c r="P96" cm="1">
        <f t="array" ref="P96">INDEX($C$2:$C$14395,$N96,0)</f>
        <v>361.18800000000005</v>
      </c>
      <c r="Q96" cm="1">
        <f t="array" ref="Q96">INDEX($C$2:$C$14395,$O96,0)</f>
        <v>0</v>
      </c>
      <c r="R96" cm="1">
        <f t="array" ref="R96">INDEX($D$2:$D$14395,$N96,0)</f>
        <v>-1209.0989280000001</v>
      </c>
      <c r="S96" cm="1">
        <f t="array" ref="S96">INDEX($D$2:$D$14395,$O96,0)</f>
        <v>0</v>
      </c>
      <c r="T96">
        <f t="shared" si="28"/>
        <v>-8686.0213007796465</v>
      </c>
      <c r="U96">
        <f t="shared" si="29"/>
        <v>873.40115684664545</v>
      </c>
      <c r="V96">
        <f t="shared" si="30"/>
        <v>869.14066339861301</v>
      </c>
      <c r="W96">
        <f t="shared" si="31"/>
        <v>2103.4161568466457</v>
      </c>
      <c r="X96">
        <f t="shared" si="32"/>
        <v>2271.1411568466456</v>
      </c>
      <c r="Y96">
        <f t="shared" si="33"/>
        <v>869.14066339861301</v>
      </c>
      <c r="Z96">
        <f t="shared" si="34"/>
        <v>784.86810299653189</v>
      </c>
      <c r="AA96">
        <f t="shared" si="35"/>
        <v>1969.6711568466453</v>
      </c>
    </row>
    <row r="97" spans="1:27" x14ac:dyDescent="0.35">
      <c r="A97">
        <v>285</v>
      </c>
      <c r="B97">
        <v>-3956.68</v>
      </c>
      <c r="C97">
        <f t="shared" si="25"/>
        <v>86.868000000000009</v>
      </c>
      <c r="D97">
        <f t="shared" si="18"/>
        <v>-1205.9960639999999</v>
      </c>
      <c r="E97">
        <f t="shared" si="19"/>
        <v>121.26591922536001</v>
      </c>
      <c r="F97">
        <f t="shared" si="20"/>
        <v>120.674378155968</v>
      </c>
      <c r="G97">
        <f t="shared" si="21"/>
        <v>1519.00591922536</v>
      </c>
      <c r="H97">
        <f t="shared" si="22"/>
        <v>120.674378155968</v>
      </c>
      <c r="I97">
        <v>1</v>
      </c>
      <c r="J97">
        <f t="shared" si="23"/>
        <v>108.97369580339425</v>
      </c>
      <c r="K97">
        <f t="shared" si="24"/>
        <v>1217.53591922536</v>
      </c>
      <c r="M97">
        <v>2617.4509499999972</v>
      </c>
      <c r="N97">
        <f t="shared" si="26"/>
        <v>396</v>
      </c>
      <c r="O97">
        <f t="shared" si="27"/>
        <v>397</v>
      </c>
      <c r="P97" cm="1">
        <f t="array" ref="P97">INDEX($C$2:$C$14395,$N97,0)</f>
        <v>361.18800000000005</v>
      </c>
      <c r="Q97" cm="1">
        <f t="array" ref="Q97">INDEX($C$2:$C$14395,$O97,0)</f>
        <v>0</v>
      </c>
      <c r="R97" cm="1">
        <f t="array" ref="R97">INDEX($D$2:$D$14395,$N97,0)</f>
        <v>-1209.0989280000001</v>
      </c>
      <c r="S97" cm="1">
        <f t="array" ref="S97">INDEX($D$2:$D$14395,$O97,0)</f>
        <v>0</v>
      </c>
      <c r="T97">
        <f t="shared" si="28"/>
        <v>-8762.0771945291053</v>
      </c>
      <c r="U97">
        <f t="shared" si="29"/>
        <v>881.04876710288795</v>
      </c>
      <c r="V97">
        <f t="shared" si="30"/>
        <v>876.75096823897138</v>
      </c>
      <c r="W97">
        <f t="shared" si="31"/>
        <v>2111.0637671028881</v>
      </c>
      <c r="X97">
        <f t="shared" si="32"/>
        <v>2278.788767102888</v>
      </c>
      <c r="Y97">
        <f t="shared" si="33"/>
        <v>876.75096823897138</v>
      </c>
      <c r="Z97">
        <f t="shared" si="34"/>
        <v>791.74050671070245</v>
      </c>
      <c r="AA97">
        <f t="shared" si="35"/>
        <v>1977.3187671028879</v>
      </c>
    </row>
    <row r="98" spans="1:27" x14ac:dyDescent="0.35">
      <c r="A98">
        <v>288</v>
      </c>
      <c r="B98">
        <v>-3956.72</v>
      </c>
      <c r="C98">
        <f t="shared" si="25"/>
        <v>87.78240000000001</v>
      </c>
      <c r="D98">
        <f t="shared" si="18"/>
        <v>-1206.0082560000001</v>
      </c>
      <c r="E98">
        <f t="shared" si="19"/>
        <v>121.26714516144001</v>
      </c>
      <c r="F98">
        <f t="shared" si="20"/>
        <v>120.67559811187202</v>
      </c>
      <c r="G98">
        <f t="shared" si="21"/>
        <v>1519.0071451614401</v>
      </c>
      <c r="H98">
        <f t="shared" si="22"/>
        <v>120.67559811187202</v>
      </c>
      <c r="I98">
        <v>1</v>
      </c>
      <c r="J98">
        <f t="shared" si="23"/>
        <v>108.97479747141696</v>
      </c>
      <c r="K98">
        <f t="shared" si="24"/>
        <v>1217.5371451614401</v>
      </c>
      <c r="M98">
        <v>2640.1753140000028</v>
      </c>
      <c r="N98">
        <f t="shared" si="26"/>
        <v>396</v>
      </c>
      <c r="O98">
        <f t="shared" si="27"/>
        <v>397</v>
      </c>
      <c r="P98" cm="1">
        <f t="array" ref="P98">INDEX($C$2:$C$14395,$N98,0)</f>
        <v>361.18800000000005</v>
      </c>
      <c r="Q98" cm="1">
        <f t="array" ref="Q98">INDEX($C$2:$C$14395,$O98,0)</f>
        <v>0</v>
      </c>
      <c r="R98" cm="1">
        <f t="array" ref="R98">INDEX($D$2:$D$14395,$N98,0)</f>
        <v>-1209.0989280000001</v>
      </c>
      <c r="S98" cm="1">
        <f t="array" ref="S98">INDEX($D$2:$D$14395,$O98,0)</f>
        <v>0</v>
      </c>
      <c r="T98">
        <f t="shared" si="28"/>
        <v>-8838.1483933283125</v>
      </c>
      <c r="U98">
        <f t="shared" si="29"/>
        <v>888.69791632014528</v>
      </c>
      <c r="V98">
        <f t="shared" si="30"/>
        <v>884.36280453321774</v>
      </c>
      <c r="W98">
        <f t="shared" si="31"/>
        <v>2118.7129163201453</v>
      </c>
      <c r="X98">
        <f t="shared" si="32"/>
        <v>2286.4379163201452</v>
      </c>
      <c r="Y98">
        <f t="shared" si="33"/>
        <v>884.36280453321774</v>
      </c>
      <c r="Z98">
        <f t="shared" si="34"/>
        <v>798.61429338779112</v>
      </c>
      <c r="AA98">
        <f t="shared" si="35"/>
        <v>1984.9679163201454</v>
      </c>
    </row>
    <row r="99" spans="1:27" x14ac:dyDescent="0.35">
      <c r="A99">
        <v>291</v>
      </c>
      <c r="B99">
        <v>-3956.76</v>
      </c>
      <c r="C99">
        <f t="shared" si="25"/>
        <v>88.69680000000001</v>
      </c>
      <c r="D99">
        <f t="shared" si="18"/>
        <v>-1206.0204480000002</v>
      </c>
      <c r="E99">
        <f t="shared" si="19"/>
        <v>121.26837109752002</v>
      </c>
      <c r="F99">
        <f t="shared" si="20"/>
        <v>120.67681806777603</v>
      </c>
      <c r="G99">
        <f t="shared" si="21"/>
        <v>1519.00837109752</v>
      </c>
      <c r="H99">
        <f t="shared" si="22"/>
        <v>120.67681806777603</v>
      </c>
      <c r="I99">
        <v>1</v>
      </c>
      <c r="J99">
        <f t="shared" si="23"/>
        <v>108.9758991394397</v>
      </c>
      <c r="K99">
        <f t="shared" si="24"/>
        <v>1217.53837109752</v>
      </c>
      <c r="M99">
        <v>2670.5874960000028</v>
      </c>
      <c r="N99">
        <f t="shared" si="26"/>
        <v>396</v>
      </c>
      <c r="O99">
        <f t="shared" si="27"/>
        <v>397</v>
      </c>
      <c r="P99" cm="1">
        <f t="array" ref="P99">INDEX($C$2:$C$14395,$N99,0)</f>
        <v>361.18800000000005</v>
      </c>
      <c r="Q99" cm="1">
        <f t="array" ref="Q99">INDEX($C$2:$C$14395,$O99,0)</f>
        <v>0</v>
      </c>
      <c r="R99" cm="1">
        <f t="array" ref="R99">INDEX($D$2:$D$14395,$N99,0)</f>
        <v>-1209.0989280000001</v>
      </c>
      <c r="S99" cm="1">
        <f t="array" ref="S99">INDEX($D$2:$D$14395,$O99,0)</f>
        <v>0</v>
      </c>
      <c r="T99">
        <f t="shared" si="28"/>
        <v>-8939.9550332342369</v>
      </c>
      <c r="U99">
        <f t="shared" si="29"/>
        <v>898.93482847928556</v>
      </c>
      <c r="V99">
        <f t="shared" si="30"/>
        <v>894.54978053548427</v>
      </c>
      <c r="W99">
        <f t="shared" si="31"/>
        <v>2128.9498284792858</v>
      </c>
      <c r="X99">
        <f t="shared" si="32"/>
        <v>2296.6748284792857</v>
      </c>
      <c r="Y99">
        <f t="shared" si="33"/>
        <v>894.54978053548427</v>
      </c>
      <c r="Z99">
        <f t="shared" si="34"/>
        <v>807.81353220709275</v>
      </c>
      <c r="AA99">
        <f t="shared" si="35"/>
        <v>1995.2048284792854</v>
      </c>
    </row>
    <row r="100" spans="1:27" x14ac:dyDescent="0.35">
      <c r="A100">
        <v>294</v>
      </c>
      <c r="B100">
        <v>-3956.78</v>
      </c>
      <c r="C100">
        <f t="shared" si="25"/>
        <v>89.611200000000011</v>
      </c>
      <c r="D100">
        <f t="shared" si="18"/>
        <v>-1206.0265440000001</v>
      </c>
      <c r="E100">
        <f t="shared" si="19"/>
        <v>121.26898406556001</v>
      </c>
      <c r="F100">
        <f t="shared" si="20"/>
        <v>120.67742804572801</v>
      </c>
      <c r="G100">
        <f t="shared" si="21"/>
        <v>1519.0089840655601</v>
      </c>
      <c r="H100">
        <f t="shared" si="22"/>
        <v>120.67742804572801</v>
      </c>
      <c r="I100">
        <v>1</v>
      </c>
      <c r="J100">
        <f t="shared" si="23"/>
        <v>108.97644997345107</v>
      </c>
      <c r="K100">
        <f t="shared" si="24"/>
        <v>1217.53898406556</v>
      </c>
      <c r="M100">
        <v>2708.6874960000032</v>
      </c>
      <c r="N100">
        <f t="shared" si="26"/>
        <v>396</v>
      </c>
      <c r="O100">
        <f t="shared" si="27"/>
        <v>397</v>
      </c>
      <c r="P100" cm="1">
        <f t="array" ref="P100">INDEX($C$2:$C$14395,$N100,0)</f>
        <v>361.18800000000005</v>
      </c>
      <c r="Q100" cm="1">
        <f t="array" ref="Q100">INDEX($C$2:$C$14395,$O100,0)</f>
        <v>0</v>
      </c>
      <c r="R100" cm="1">
        <f t="array" ref="R100">INDEX($D$2:$D$14395,$N100,0)</f>
        <v>-1209.0989280000001</v>
      </c>
      <c r="S100" cm="1">
        <f t="array" ref="S100">INDEX($D$2:$D$14395,$O100,0)</f>
        <v>0</v>
      </c>
      <c r="T100">
        <f t="shared" si="28"/>
        <v>-9067.4971142468967</v>
      </c>
      <c r="U100">
        <f t="shared" si="29"/>
        <v>911.75950358031105</v>
      </c>
      <c r="V100">
        <f t="shared" si="30"/>
        <v>907.31189624577314</v>
      </c>
      <c r="W100">
        <f t="shared" si="31"/>
        <v>2141.7745035803109</v>
      </c>
      <c r="X100">
        <f t="shared" si="32"/>
        <v>2309.4995035803113</v>
      </c>
      <c r="Y100">
        <f t="shared" si="33"/>
        <v>907.31189624577314</v>
      </c>
      <c r="Z100">
        <f t="shared" si="34"/>
        <v>819.33822316860926</v>
      </c>
      <c r="AA100">
        <f t="shared" si="35"/>
        <v>2008.029503580311</v>
      </c>
    </row>
    <row r="101" spans="1:27" x14ac:dyDescent="0.35">
      <c r="A101">
        <v>297</v>
      </c>
      <c r="B101">
        <v>-3956.8</v>
      </c>
      <c r="C101">
        <f t="shared" si="25"/>
        <v>90.525600000000011</v>
      </c>
      <c r="D101">
        <f t="shared" si="18"/>
        <v>-1206.0326400000001</v>
      </c>
      <c r="E101">
        <f t="shared" si="19"/>
        <v>121.26959703360002</v>
      </c>
      <c r="F101">
        <f t="shared" si="20"/>
        <v>120.67803802368002</v>
      </c>
      <c r="G101">
        <f t="shared" si="21"/>
        <v>1519.0095970336001</v>
      </c>
      <c r="H101">
        <f t="shared" si="22"/>
        <v>120.67803802368002</v>
      </c>
      <c r="I101">
        <v>1</v>
      </c>
      <c r="J101">
        <f t="shared" si="23"/>
        <v>108.9770008074624</v>
      </c>
      <c r="K101">
        <f t="shared" si="24"/>
        <v>1217.5395970336001</v>
      </c>
      <c r="M101">
        <v>2746.7874960000031</v>
      </c>
      <c r="N101">
        <f t="shared" si="26"/>
        <v>396</v>
      </c>
      <c r="O101">
        <f t="shared" si="27"/>
        <v>397</v>
      </c>
      <c r="P101" cm="1">
        <f t="array" ref="P101">INDEX($C$2:$C$14395,$N101,0)</f>
        <v>361.18800000000005</v>
      </c>
      <c r="Q101" cm="1">
        <f t="array" ref="Q101">INDEX($C$2:$C$14395,$O101,0)</f>
        <v>0</v>
      </c>
      <c r="R101" cm="1">
        <f t="array" ref="R101">INDEX($D$2:$D$14395,$N101,0)</f>
        <v>-1209.0989280000001</v>
      </c>
      <c r="S101" cm="1">
        <f t="array" ref="S101">INDEX($D$2:$D$14395,$O101,0)</f>
        <v>0</v>
      </c>
      <c r="T101">
        <f t="shared" si="28"/>
        <v>-9195.0391952595546</v>
      </c>
      <c r="U101">
        <f t="shared" si="29"/>
        <v>924.58417868133654</v>
      </c>
      <c r="V101">
        <f t="shared" si="30"/>
        <v>920.07401195606155</v>
      </c>
      <c r="W101">
        <f t="shared" si="31"/>
        <v>2154.5991786813365</v>
      </c>
      <c r="X101">
        <f t="shared" si="32"/>
        <v>2322.3241786813364</v>
      </c>
      <c r="Y101">
        <f t="shared" si="33"/>
        <v>920.07401195606155</v>
      </c>
      <c r="Z101">
        <f t="shared" si="34"/>
        <v>830.86291413012577</v>
      </c>
      <c r="AA101">
        <f t="shared" si="35"/>
        <v>2020.8541786813366</v>
      </c>
    </row>
    <row r="102" spans="1:27" x14ac:dyDescent="0.35">
      <c r="A102">
        <v>300</v>
      </c>
      <c r="B102">
        <v>-3956.81</v>
      </c>
      <c r="C102">
        <f t="shared" si="25"/>
        <v>91.44</v>
      </c>
      <c r="D102">
        <f t="shared" si="18"/>
        <v>-1206.0356879999999</v>
      </c>
      <c r="E102">
        <f t="shared" si="19"/>
        <v>121.26990351762001</v>
      </c>
      <c r="F102">
        <f t="shared" si="20"/>
        <v>120.67834301265601</v>
      </c>
      <c r="G102">
        <f t="shared" si="21"/>
        <v>1519.0099035176199</v>
      </c>
      <c r="H102">
        <f t="shared" si="22"/>
        <v>120.67834301265601</v>
      </c>
      <c r="I102">
        <v>1</v>
      </c>
      <c r="J102">
        <f t="shared" si="23"/>
        <v>108.97727622446807</v>
      </c>
      <c r="K102">
        <f t="shared" si="24"/>
        <v>1217.5399035176199</v>
      </c>
      <c r="M102">
        <v>2784.887496000003</v>
      </c>
      <c r="N102">
        <f t="shared" si="26"/>
        <v>396</v>
      </c>
      <c r="O102">
        <f t="shared" si="27"/>
        <v>397</v>
      </c>
      <c r="P102" cm="1">
        <f t="array" ref="P102">INDEX($C$2:$C$14395,$N102,0)</f>
        <v>361.18800000000005</v>
      </c>
      <c r="Q102" cm="1">
        <f t="array" ref="Q102">INDEX($C$2:$C$14395,$O102,0)</f>
        <v>0</v>
      </c>
      <c r="R102" cm="1">
        <f t="array" ref="R102">INDEX($D$2:$D$14395,$N102,0)</f>
        <v>-1209.0989280000001</v>
      </c>
      <c r="S102" cm="1">
        <f t="array" ref="S102">INDEX($D$2:$D$14395,$O102,0)</f>
        <v>0</v>
      </c>
      <c r="T102">
        <f t="shared" si="28"/>
        <v>-9322.5812762722126</v>
      </c>
      <c r="U102">
        <f t="shared" si="29"/>
        <v>937.40885378236158</v>
      </c>
      <c r="V102">
        <f t="shared" si="30"/>
        <v>932.83612766635019</v>
      </c>
      <c r="W102">
        <f t="shared" si="31"/>
        <v>2167.4238537823617</v>
      </c>
      <c r="X102">
        <f t="shared" si="32"/>
        <v>2335.1488537823616</v>
      </c>
      <c r="Y102">
        <f t="shared" si="33"/>
        <v>932.83612766635019</v>
      </c>
      <c r="Z102">
        <f t="shared" si="34"/>
        <v>842.38760509164229</v>
      </c>
      <c r="AA102">
        <f t="shared" si="35"/>
        <v>2033.6788537823616</v>
      </c>
    </row>
    <row r="103" spans="1:27" x14ac:dyDescent="0.35">
      <c r="A103">
        <v>303</v>
      </c>
      <c r="B103">
        <v>-3956.84</v>
      </c>
      <c r="C103">
        <f t="shared" si="25"/>
        <v>92.354399999999998</v>
      </c>
      <c r="D103">
        <f t="shared" si="18"/>
        <v>-1206.044832</v>
      </c>
      <c r="E103">
        <f t="shared" si="19"/>
        <v>121.27082296968001</v>
      </c>
      <c r="F103">
        <f t="shared" si="20"/>
        <v>120.67925797958402</v>
      </c>
      <c r="G103">
        <f t="shared" si="21"/>
        <v>1519.01082296968</v>
      </c>
      <c r="H103">
        <f t="shared" si="22"/>
        <v>120.67925797958402</v>
      </c>
      <c r="I103">
        <v>1</v>
      </c>
      <c r="J103">
        <f t="shared" si="23"/>
        <v>108.97810247548513</v>
      </c>
      <c r="K103">
        <f t="shared" si="24"/>
        <v>1217.54082296968</v>
      </c>
      <c r="M103">
        <v>2815.2912960000031</v>
      </c>
      <c r="N103">
        <f t="shared" si="26"/>
        <v>396</v>
      </c>
      <c r="O103">
        <f t="shared" si="27"/>
        <v>397</v>
      </c>
      <c r="P103" cm="1">
        <f t="array" ref="P103">INDEX($C$2:$C$14395,$N103,0)</f>
        <v>361.18800000000005</v>
      </c>
      <c r="Q103" cm="1">
        <f t="array" ref="Q103">INDEX($C$2:$C$14395,$O103,0)</f>
        <v>0</v>
      </c>
      <c r="R103" cm="1">
        <f t="array" ref="R103">INDEX($D$2:$D$14395,$N103,0)</f>
        <v>-1209.0989280000001</v>
      </c>
      <c r="S103" cm="1">
        <f t="array" ref="S103">INDEX($D$2:$D$14395,$O103,0)</f>
        <v>0</v>
      </c>
      <c r="T103">
        <f t="shared" si="28"/>
        <v>-9424.3598569203132</v>
      </c>
      <c r="U103">
        <f t="shared" si="29"/>
        <v>947.64294451297985</v>
      </c>
      <c r="V103">
        <f t="shared" si="30"/>
        <v>943.02029600316052</v>
      </c>
      <c r="W103">
        <f t="shared" si="31"/>
        <v>2177.6579445129801</v>
      </c>
      <c r="X103">
        <f t="shared" si="32"/>
        <v>2345.38294451298</v>
      </c>
      <c r="Y103">
        <f t="shared" si="33"/>
        <v>943.02029600316052</v>
      </c>
      <c r="Z103">
        <f t="shared" si="34"/>
        <v>851.58430847893237</v>
      </c>
      <c r="AA103">
        <f t="shared" si="35"/>
        <v>2043.9129445129797</v>
      </c>
    </row>
    <row r="104" spans="1:27" x14ac:dyDescent="0.35">
      <c r="A104">
        <v>306</v>
      </c>
      <c r="B104">
        <v>-3956.88</v>
      </c>
      <c r="C104">
        <f t="shared" si="25"/>
        <v>93.268799999999999</v>
      </c>
      <c r="D104">
        <f t="shared" si="18"/>
        <v>-1206.0570240000002</v>
      </c>
      <c r="E104">
        <f t="shared" si="19"/>
        <v>121.27204890576003</v>
      </c>
      <c r="F104">
        <f t="shared" si="20"/>
        <v>120.68047793548804</v>
      </c>
      <c r="G104">
        <f t="shared" si="21"/>
        <v>1519.0120489057601</v>
      </c>
      <c r="H104">
        <f t="shared" si="22"/>
        <v>120.68047793548804</v>
      </c>
      <c r="I104">
        <v>1</v>
      </c>
      <c r="J104">
        <f t="shared" si="23"/>
        <v>108.97920414350786</v>
      </c>
      <c r="K104">
        <f t="shared" si="24"/>
        <v>1217.5420489057601</v>
      </c>
      <c r="M104">
        <v>2837.9988960000032</v>
      </c>
      <c r="N104">
        <f t="shared" si="26"/>
        <v>396</v>
      </c>
      <c r="O104">
        <f t="shared" si="27"/>
        <v>397</v>
      </c>
      <c r="P104" cm="1">
        <f t="array" ref="P104">INDEX($C$2:$C$14395,$N104,0)</f>
        <v>361.18800000000005</v>
      </c>
      <c r="Q104" cm="1">
        <f t="array" ref="Q104">INDEX($C$2:$C$14395,$O104,0)</f>
        <v>0</v>
      </c>
      <c r="R104" cm="1">
        <f t="array" ref="R104">INDEX($D$2:$D$14395,$N104,0)</f>
        <v>-1209.0989280000001</v>
      </c>
      <c r="S104" cm="1">
        <f t="array" ref="S104">INDEX($D$2:$D$14395,$O104,0)</f>
        <v>0</v>
      </c>
      <c r="T104">
        <f t="shared" si="28"/>
        <v>-9500.3749372038583</v>
      </c>
      <c r="U104">
        <f t="shared" si="29"/>
        <v>955.28645087319103</v>
      </c>
      <c r="V104">
        <f t="shared" si="30"/>
        <v>950.62651696649255</v>
      </c>
      <c r="W104">
        <f t="shared" si="31"/>
        <v>2185.3014508731912</v>
      </c>
      <c r="X104">
        <f t="shared" si="32"/>
        <v>2353.0264508731912</v>
      </c>
      <c r="Y104">
        <f t="shared" si="33"/>
        <v>950.62651696649255</v>
      </c>
      <c r="Z104">
        <f t="shared" si="34"/>
        <v>858.45302429199626</v>
      </c>
      <c r="AA104">
        <f t="shared" si="35"/>
        <v>2051.5564508731909</v>
      </c>
    </row>
    <row r="105" spans="1:27" x14ac:dyDescent="0.35">
      <c r="A105">
        <v>309</v>
      </c>
      <c r="B105">
        <v>-3956.93</v>
      </c>
      <c r="C105">
        <f t="shared" si="25"/>
        <v>94.183199999999999</v>
      </c>
      <c r="D105">
        <f t="shared" si="18"/>
        <v>-1206.0722639999999</v>
      </c>
      <c r="E105">
        <f t="shared" si="19"/>
        <v>121.27358132586001</v>
      </c>
      <c r="F105">
        <f t="shared" si="20"/>
        <v>120.68200288036799</v>
      </c>
      <c r="G105">
        <f t="shared" si="21"/>
        <v>1519.0135813258601</v>
      </c>
      <c r="H105">
        <f t="shared" si="22"/>
        <v>120.68200288036799</v>
      </c>
      <c r="I105">
        <v>1</v>
      </c>
      <c r="J105">
        <f t="shared" si="23"/>
        <v>108.98058122853625</v>
      </c>
      <c r="K105">
        <f t="shared" si="24"/>
        <v>1217.54358132586</v>
      </c>
      <c r="M105">
        <v>2860.720974000003</v>
      </c>
      <c r="N105">
        <f t="shared" si="26"/>
        <v>396</v>
      </c>
      <c r="O105">
        <f t="shared" si="27"/>
        <v>397</v>
      </c>
      <c r="P105" cm="1">
        <f t="array" ref="P105">INDEX($C$2:$C$14395,$N105,0)</f>
        <v>361.18800000000005</v>
      </c>
      <c r="Q105" cm="1">
        <f t="array" ref="Q105">INDEX($C$2:$C$14395,$O105,0)</f>
        <v>0</v>
      </c>
      <c r="R105" cm="1">
        <f t="array" ref="R105">INDEX($D$2:$D$14395,$N105,0)</f>
        <v>-1209.0989280000001</v>
      </c>
      <c r="S105" cm="1">
        <f t="array" ref="S105">INDEX($D$2:$D$14395,$O105,0)</f>
        <v>0</v>
      </c>
      <c r="T105">
        <f t="shared" si="28"/>
        <v>-9576.4384834781868</v>
      </c>
      <c r="U105">
        <f t="shared" si="29"/>
        <v>962.93483060994049</v>
      </c>
      <c r="V105">
        <f t="shared" si="30"/>
        <v>958.23758753379445</v>
      </c>
      <c r="W105">
        <f t="shared" si="31"/>
        <v>2192.9498306099404</v>
      </c>
      <c r="X105">
        <f t="shared" si="32"/>
        <v>2360.6748306099407</v>
      </c>
      <c r="Y105">
        <f t="shared" si="33"/>
        <v>958.23758753379445</v>
      </c>
      <c r="Z105">
        <f t="shared" si="34"/>
        <v>865.32611948762553</v>
      </c>
      <c r="AA105">
        <f t="shared" si="35"/>
        <v>2059.2048306099405</v>
      </c>
    </row>
    <row r="106" spans="1:27" x14ac:dyDescent="0.35">
      <c r="A106">
        <v>312</v>
      </c>
      <c r="B106">
        <v>-3956.99</v>
      </c>
      <c r="C106">
        <f t="shared" si="25"/>
        <v>95.0976</v>
      </c>
      <c r="D106">
        <f t="shared" si="18"/>
        <v>-1206.0905519999999</v>
      </c>
      <c r="E106">
        <f t="shared" si="19"/>
        <v>121.27542022998</v>
      </c>
      <c r="F106">
        <f t="shared" si="20"/>
        <v>120.683832814224</v>
      </c>
      <c r="G106">
        <f t="shared" si="21"/>
        <v>1519.01542022998</v>
      </c>
      <c r="H106">
        <f t="shared" si="22"/>
        <v>120.683832814224</v>
      </c>
      <c r="I106">
        <v>1</v>
      </c>
      <c r="J106">
        <f t="shared" si="23"/>
        <v>108.98223373057031</v>
      </c>
      <c r="K106">
        <f t="shared" si="24"/>
        <v>1217.54542022998</v>
      </c>
      <c r="M106">
        <v>2883.4575300000065</v>
      </c>
      <c r="N106">
        <f t="shared" si="26"/>
        <v>396</v>
      </c>
      <c r="O106">
        <f t="shared" si="27"/>
        <v>397</v>
      </c>
      <c r="P106" cm="1">
        <f t="array" ref="P106">INDEX($C$2:$C$14395,$N106,0)</f>
        <v>361.18800000000005</v>
      </c>
      <c r="Q106" cm="1">
        <f t="array" ref="Q106">INDEX($C$2:$C$14395,$O106,0)</f>
        <v>0</v>
      </c>
      <c r="R106" cm="1">
        <f t="array" ref="R106">INDEX($D$2:$D$14395,$N106,0)</f>
        <v>-1209.0989280000001</v>
      </c>
      <c r="S106" cm="1">
        <f t="array" ref="S106">INDEX($D$2:$D$14395,$O106,0)</f>
        <v>0</v>
      </c>
      <c r="T106">
        <f t="shared" si="28"/>
        <v>-9652.5504957433131</v>
      </c>
      <c r="U106">
        <f t="shared" si="29"/>
        <v>970.5880837232296</v>
      </c>
      <c r="V106">
        <f t="shared" si="30"/>
        <v>965.85350770506739</v>
      </c>
      <c r="W106">
        <f t="shared" si="31"/>
        <v>2200.6030837232297</v>
      </c>
      <c r="X106">
        <f t="shared" si="32"/>
        <v>2368.3280837232296</v>
      </c>
      <c r="Y106">
        <f t="shared" si="33"/>
        <v>965.85350770506739</v>
      </c>
      <c r="Z106">
        <f t="shared" si="34"/>
        <v>872.20359406582122</v>
      </c>
      <c r="AA106">
        <f t="shared" si="35"/>
        <v>2066.8580837232294</v>
      </c>
    </row>
    <row r="107" spans="1:27" x14ac:dyDescent="0.35">
      <c r="A107">
        <v>315</v>
      </c>
      <c r="B107">
        <v>-3957.05</v>
      </c>
      <c r="C107">
        <f t="shared" si="25"/>
        <v>96.012</v>
      </c>
      <c r="D107">
        <f t="shared" si="18"/>
        <v>-1206.1088400000001</v>
      </c>
      <c r="E107">
        <f t="shared" si="19"/>
        <v>121.27725913410001</v>
      </c>
      <c r="F107">
        <f t="shared" si="20"/>
        <v>120.68566274808001</v>
      </c>
      <c r="G107">
        <f t="shared" si="21"/>
        <v>1519.0172591341</v>
      </c>
      <c r="H107">
        <f t="shared" si="22"/>
        <v>120.68566274808001</v>
      </c>
      <c r="I107">
        <v>1</v>
      </c>
      <c r="J107">
        <f t="shared" si="23"/>
        <v>108.98388623260442</v>
      </c>
      <c r="K107">
        <f t="shared" si="24"/>
        <v>1217.5472591340999</v>
      </c>
      <c r="M107">
        <v>2906.183418000006</v>
      </c>
      <c r="N107">
        <f t="shared" si="26"/>
        <v>396</v>
      </c>
      <c r="O107">
        <f t="shared" si="27"/>
        <v>397</v>
      </c>
      <c r="P107" cm="1">
        <f t="array" ref="P107">INDEX($C$2:$C$14395,$N107,0)</f>
        <v>361.18800000000005</v>
      </c>
      <c r="Q107" cm="1">
        <f t="array" ref="Q107">INDEX($C$2:$C$14395,$O107,0)</f>
        <v>0</v>
      </c>
      <c r="R107" cm="1">
        <f t="array" ref="R107">INDEX($D$2:$D$14395,$N107,0)</f>
        <v>-1209.0989280000001</v>
      </c>
      <c r="S107" cm="1">
        <f t="array" ref="S107">INDEX($D$2:$D$14395,$O107,0)</f>
        <v>0</v>
      </c>
      <c r="T107">
        <f t="shared" si="28"/>
        <v>-9728.6267962257407</v>
      </c>
      <c r="U107">
        <f t="shared" si="29"/>
        <v>978.23774592748885</v>
      </c>
      <c r="V107">
        <f t="shared" si="30"/>
        <v>973.46585448394012</v>
      </c>
      <c r="W107">
        <f t="shared" si="31"/>
        <v>2208.2527459274888</v>
      </c>
      <c r="X107">
        <f t="shared" si="32"/>
        <v>2375.9777459274887</v>
      </c>
      <c r="Y107">
        <f t="shared" si="33"/>
        <v>973.46585448394012</v>
      </c>
      <c r="Z107">
        <f t="shared" si="34"/>
        <v>879.07784173054631</v>
      </c>
      <c r="AA107">
        <f t="shared" si="35"/>
        <v>2074.5077459274889</v>
      </c>
    </row>
    <row r="108" spans="1:27" x14ac:dyDescent="0.35">
      <c r="A108">
        <v>318</v>
      </c>
      <c r="B108">
        <v>-3957.09</v>
      </c>
      <c r="C108">
        <f t="shared" si="25"/>
        <v>96.926400000000001</v>
      </c>
      <c r="D108">
        <f t="shared" si="18"/>
        <v>-1206.121032</v>
      </c>
      <c r="E108">
        <f t="shared" si="19"/>
        <v>121.27848507018001</v>
      </c>
      <c r="F108">
        <f t="shared" si="20"/>
        <v>120.68688270398401</v>
      </c>
      <c r="G108">
        <f t="shared" si="21"/>
        <v>1519.0184850701801</v>
      </c>
      <c r="H108">
        <f t="shared" si="22"/>
        <v>120.68688270398401</v>
      </c>
      <c r="I108">
        <v>1</v>
      </c>
      <c r="J108">
        <f t="shared" si="23"/>
        <v>108.98498790062715</v>
      </c>
      <c r="K108">
        <f t="shared" si="24"/>
        <v>1217.54848507018</v>
      </c>
      <c r="M108">
        <v>2928.8986380000092</v>
      </c>
      <c r="N108">
        <f t="shared" si="26"/>
        <v>396</v>
      </c>
      <c r="O108">
        <f t="shared" si="27"/>
        <v>397</v>
      </c>
      <c r="P108" cm="1">
        <f t="array" ref="P108">INDEX($C$2:$C$14395,$N108,0)</f>
        <v>361.18800000000005</v>
      </c>
      <c r="Q108" cm="1">
        <f t="array" ref="Q108">INDEX($C$2:$C$14395,$O108,0)</f>
        <v>0</v>
      </c>
      <c r="R108" cm="1">
        <f t="array" ref="R108">INDEX($D$2:$D$14395,$N108,0)</f>
        <v>-1209.0989280000001</v>
      </c>
      <c r="S108" cm="1">
        <f t="array" ref="S108">INDEX($D$2:$D$14395,$O108,0)</f>
        <v>0</v>
      </c>
      <c r="T108">
        <f t="shared" si="28"/>
        <v>-9804.6673849254985</v>
      </c>
      <c r="U108">
        <f t="shared" si="29"/>
        <v>985.88381722272129</v>
      </c>
      <c r="V108">
        <f t="shared" si="30"/>
        <v>981.07462787041527</v>
      </c>
      <c r="W108">
        <f t="shared" si="31"/>
        <v>2215.8988172227214</v>
      </c>
      <c r="X108">
        <f t="shared" si="32"/>
        <v>2383.6238172227213</v>
      </c>
      <c r="Y108">
        <f t="shared" si="33"/>
        <v>981.07462787041527</v>
      </c>
      <c r="Z108">
        <f t="shared" si="34"/>
        <v>885.94886248180342</v>
      </c>
      <c r="AA108">
        <f t="shared" si="35"/>
        <v>2082.153817222721</v>
      </c>
    </row>
    <row r="109" spans="1:27" x14ac:dyDescent="0.35">
      <c r="A109">
        <v>321</v>
      </c>
      <c r="B109">
        <v>-3957.11</v>
      </c>
      <c r="C109">
        <f t="shared" si="25"/>
        <v>97.840800000000002</v>
      </c>
      <c r="D109">
        <f t="shared" si="18"/>
        <v>-1206.1271280000001</v>
      </c>
      <c r="E109">
        <f t="shared" si="19"/>
        <v>121.27909803822001</v>
      </c>
      <c r="F109">
        <f t="shared" si="20"/>
        <v>120.68749268193601</v>
      </c>
      <c r="G109">
        <f t="shared" si="21"/>
        <v>1519.0190980382199</v>
      </c>
      <c r="H109">
        <f t="shared" si="22"/>
        <v>120.68749268193601</v>
      </c>
      <c r="I109">
        <v>1</v>
      </c>
      <c r="J109">
        <f t="shared" si="23"/>
        <v>108.98553873463848</v>
      </c>
      <c r="K109">
        <f t="shared" si="24"/>
        <v>1217.5490980382201</v>
      </c>
      <c r="M109">
        <v>2959.3062480000126</v>
      </c>
      <c r="N109">
        <f t="shared" si="26"/>
        <v>396</v>
      </c>
      <c r="O109">
        <f t="shared" si="27"/>
        <v>397</v>
      </c>
      <c r="P109" cm="1">
        <f t="array" ref="P109">INDEX($C$2:$C$14395,$N109,0)</f>
        <v>361.18800000000005</v>
      </c>
      <c r="Q109" cm="1">
        <f t="array" ref="Q109">INDEX($C$2:$C$14395,$O109,0)</f>
        <v>0</v>
      </c>
      <c r="R109" cm="1">
        <f t="array" ref="R109">INDEX($D$2:$D$14395,$N109,0)</f>
        <v>-1209.0989280000001</v>
      </c>
      <c r="S109" cm="1">
        <f t="array" ref="S109">INDEX($D$2:$D$14395,$O109,0)</f>
        <v>0</v>
      </c>
      <c r="T109">
        <f t="shared" si="28"/>
        <v>-9906.4587197817127</v>
      </c>
      <c r="U109">
        <f t="shared" si="29"/>
        <v>996.11919042085083</v>
      </c>
      <c r="V109">
        <f t="shared" si="30"/>
        <v>991.26007241879779</v>
      </c>
      <c r="W109">
        <f t="shared" si="31"/>
        <v>2226.1341904208512</v>
      </c>
      <c r="X109">
        <f t="shared" si="32"/>
        <v>2393.8591904208506</v>
      </c>
      <c r="Y109">
        <f t="shared" si="33"/>
        <v>991.26007241879779</v>
      </c>
      <c r="Z109">
        <f t="shared" si="34"/>
        <v>895.14671833819079</v>
      </c>
      <c r="AA109">
        <f t="shared" si="35"/>
        <v>2092.3891904208508</v>
      </c>
    </row>
    <row r="110" spans="1:27" x14ac:dyDescent="0.35">
      <c r="A110">
        <v>324</v>
      </c>
      <c r="B110">
        <v>-3957.13</v>
      </c>
      <c r="C110">
        <f t="shared" si="25"/>
        <v>98.755200000000002</v>
      </c>
      <c r="D110">
        <f t="shared" si="18"/>
        <v>-1206.1332240000002</v>
      </c>
      <c r="E110">
        <f t="shared" si="19"/>
        <v>121.27971100626003</v>
      </c>
      <c r="F110">
        <f t="shared" si="20"/>
        <v>120.68810265988803</v>
      </c>
      <c r="G110">
        <f t="shared" si="21"/>
        <v>1519.01971100626</v>
      </c>
      <c r="H110">
        <f t="shared" si="22"/>
        <v>120.68810265988803</v>
      </c>
      <c r="I110">
        <v>1</v>
      </c>
      <c r="J110">
        <f t="shared" si="23"/>
        <v>108.98608956864986</v>
      </c>
      <c r="K110">
        <f t="shared" si="24"/>
        <v>1217.5497110062599</v>
      </c>
      <c r="M110">
        <v>2997.4062480000125</v>
      </c>
      <c r="N110">
        <f t="shared" si="26"/>
        <v>396</v>
      </c>
      <c r="O110">
        <f t="shared" si="27"/>
        <v>397</v>
      </c>
      <c r="P110" cm="1">
        <f t="array" ref="P110">INDEX($C$2:$C$14395,$N110,0)</f>
        <v>361.18800000000005</v>
      </c>
      <c r="Q110" cm="1">
        <f t="array" ref="Q110">INDEX($C$2:$C$14395,$O110,0)</f>
        <v>0</v>
      </c>
      <c r="R110" cm="1">
        <f t="array" ref="R110">INDEX($D$2:$D$14395,$N110,0)</f>
        <v>-1209.0989280000001</v>
      </c>
      <c r="S110" cm="1">
        <f t="array" ref="S110">INDEX($D$2:$D$14395,$O110,0)</f>
        <v>0</v>
      </c>
      <c r="T110">
        <f t="shared" si="28"/>
        <v>-10034.000800794371</v>
      </c>
      <c r="U110">
        <f t="shared" si="29"/>
        <v>1008.9438655218759</v>
      </c>
      <c r="V110">
        <f t="shared" si="30"/>
        <v>1004.0221881290863</v>
      </c>
      <c r="W110">
        <f t="shared" si="31"/>
        <v>2238.9588655218759</v>
      </c>
      <c r="X110">
        <f t="shared" si="32"/>
        <v>2406.6838655218758</v>
      </c>
      <c r="Y110">
        <f t="shared" si="33"/>
        <v>1004.0221881290863</v>
      </c>
      <c r="Z110">
        <f t="shared" si="34"/>
        <v>906.67140929970731</v>
      </c>
      <c r="AA110">
        <f t="shared" si="35"/>
        <v>2105.213865521876</v>
      </c>
    </row>
    <row r="111" spans="1:27" x14ac:dyDescent="0.35">
      <c r="A111">
        <v>327</v>
      </c>
      <c r="B111">
        <v>-3957.15</v>
      </c>
      <c r="C111">
        <f t="shared" si="25"/>
        <v>99.669600000000003</v>
      </c>
      <c r="D111">
        <f t="shared" si="18"/>
        <v>-1206.13932</v>
      </c>
      <c r="E111">
        <f t="shared" si="19"/>
        <v>121.2803239743</v>
      </c>
      <c r="F111">
        <f t="shared" si="20"/>
        <v>120.68871263784001</v>
      </c>
      <c r="G111">
        <f t="shared" si="21"/>
        <v>1519.0203239743</v>
      </c>
      <c r="H111">
        <f t="shared" si="22"/>
        <v>120.68871263784001</v>
      </c>
      <c r="I111">
        <v>1</v>
      </c>
      <c r="J111">
        <f t="shared" si="23"/>
        <v>108.98664040266121</v>
      </c>
      <c r="K111">
        <f t="shared" si="24"/>
        <v>1217.5503239743</v>
      </c>
      <c r="M111">
        <v>3035.5062480000124</v>
      </c>
      <c r="N111">
        <f t="shared" si="26"/>
        <v>396</v>
      </c>
      <c r="O111">
        <f t="shared" si="27"/>
        <v>397</v>
      </c>
      <c r="P111" cm="1">
        <f t="array" ref="P111">INDEX($C$2:$C$14395,$N111,0)</f>
        <v>361.18800000000005</v>
      </c>
      <c r="Q111" cm="1">
        <f t="array" ref="Q111">INDEX($C$2:$C$14395,$O111,0)</f>
        <v>0</v>
      </c>
      <c r="R111" cm="1">
        <f t="array" ref="R111">INDEX($D$2:$D$14395,$N111,0)</f>
        <v>-1209.0989280000001</v>
      </c>
      <c r="S111" cm="1">
        <f t="array" ref="S111">INDEX($D$2:$D$14395,$O111,0)</f>
        <v>0</v>
      </c>
      <c r="T111">
        <f t="shared" si="28"/>
        <v>-10161.542881807029</v>
      </c>
      <c r="U111">
        <f t="shared" si="29"/>
        <v>1021.7685406229014</v>
      </c>
      <c r="V111">
        <f t="shared" si="30"/>
        <v>1016.7843038393751</v>
      </c>
      <c r="W111">
        <f t="shared" si="31"/>
        <v>2251.7835406229015</v>
      </c>
      <c r="X111">
        <f t="shared" si="32"/>
        <v>2419.5085406229014</v>
      </c>
      <c r="Y111">
        <f t="shared" si="33"/>
        <v>1016.7843038393751</v>
      </c>
      <c r="Z111">
        <f t="shared" si="34"/>
        <v>918.19610026122382</v>
      </c>
      <c r="AA111">
        <f t="shared" si="35"/>
        <v>2118.0385406229016</v>
      </c>
    </row>
    <row r="112" spans="1:27" x14ac:dyDescent="0.35">
      <c r="A112">
        <v>330</v>
      </c>
      <c r="B112">
        <v>-3957.17</v>
      </c>
      <c r="C112">
        <f t="shared" si="25"/>
        <v>100.584</v>
      </c>
      <c r="D112">
        <f t="shared" si="18"/>
        <v>-1206.1454160000001</v>
      </c>
      <c r="E112">
        <f t="shared" si="19"/>
        <v>121.28093694234001</v>
      </c>
      <c r="F112">
        <f t="shared" si="20"/>
        <v>120.68932261579202</v>
      </c>
      <c r="G112">
        <f t="shared" si="21"/>
        <v>1519.0209369423401</v>
      </c>
      <c r="H112">
        <f t="shared" si="22"/>
        <v>120.68932261579202</v>
      </c>
      <c r="I112">
        <v>1</v>
      </c>
      <c r="J112">
        <f t="shared" si="23"/>
        <v>108.98719123667259</v>
      </c>
      <c r="K112">
        <f t="shared" si="24"/>
        <v>1217.5509369423401</v>
      </c>
      <c r="M112">
        <v>3073.6062480000001</v>
      </c>
      <c r="N112">
        <f t="shared" si="26"/>
        <v>396</v>
      </c>
      <c r="O112">
        <f t="shared" si="27"/>
        <v>397</v>
      </c>
      <c r="P112" cm="1">
        <f t="array" ref="P112">INDEX($C$2:$C$14395,$N112,0)</f>
        <v>361.18800000000005</v>
      </c>
      <c r="Q112" cm="1">
        <f t="array" ref="Q112">INDEX($C$2:$C$14395,$O112,0)</f>
        <v>0</v>
      </c>
      <c r="R112" cm="1">
        <f t="array" ref="R112">INDEX($D$2:$D$14395,$N112,0)</f>
        <v>-1209.0989280000001</v>
      </c>
      <c r="S112" cm="1">
        <f t="array" ref="S112">INDEX($D$2:$D$14395,$O112,0)</f>
        <v>0</v>
      </c>
      <c r="T112">
        <f t="shared" si="28"/>
        <v>-10289.084962819647</v>
      </c>
      <c r="U112">
        <f t="shared" si="29"/>
        <v>1034.5932157239224</v>
      </c>
      <c r="V112">
        <f t="shared" si="30"/>
        <v>1029.5464195496595</v>
      </c>
      <c r="W112">
        <f t="shared" si="31"/>
        <v>2264.6082157239225</v>
      </c>
      <c r="X112">
        <f t="shared" si="32"/>
        <v>2432.3332157239224</v>
      </c>
      <c r="Y112">
        <f t="shared" si="33"/>
        <v>1029.5464195496595</v>
      </c>
      <c r="Z112">
        <f t="shared" si="34"/>
        <v>929.72079122273669</v>
      </c>
      <c r="AA112">
        <f t="shared" si="35"/>
        <v>2130.8632157239226</v>
      </c>
    </row>
    <row r="113" spans="1:27" x14ac:dyDescent="0.35">
      <c r="A113">
        <v>333</v>
      </c>
      <c r="B113">
        <v>-3957.21</v>
      </c>
      <c r="C113">
        <f t="shared" si="25"/>
        <v>101.4984</v>
      </c>
      <c r="D113">
        <f t="shared" si="18"/>
        <v>-1206.157608</v>
      </c>
      <c r="E113">
        <f t="shared" si="19"/>
        <v>121.28216287842002</v>
      </c>
      <c r="F113">
        <f t="shared" si="20"/>
        <v>120.690542571696</v>
      </c>
      <c r="G113">
        <f t="shared" si="21"/>
        <v>1519.02216287842</v>
      </c>
      <c r="H113">
        <f t="shared" si="22"/>
        <v>120.690542571696</v>
      </c>
      <c r="I113">
        <v>1</v>
      </c>
      <c r="J113">
        <f t="shared" si="23"/>
        <v>108.98829290469529</v>
      </c>
      <c r="K113">
        <f t="shared" si="24"/>
        <v>1217.5521628784199</v>
      </c>
      <c r="M113">
        <v>3111.7062480000004</v>
      </c>
      <c r="N113">
        <f t="shared" si="26"/>
        <v>396</v>
      </c>
      <c r="O113">
        <f t="shared" si="27"/>
        <v>397</v>
      </c>
      <c r="P113" cm="1">
        <f t="array" ref="P113">INDEX($C$2:$C$14395,$N113,0)</f>
        <v>361.18800000000005</v>
      </c>
      <c r="Q113" cm="1">
        <f t="array" ref="Q113">INDEX($C$2:$C$14395,$O113,0)</f>
        <v>0</v>
      </c>
      <c r="R113" cm="1">
        <f t="array" ref="R113">INDEX($D$2:$D$14395,$N113,0)</f>
        <v>-1209.0989280000001</v>
      </c>
      <c r="S113" cm="1">
        <f t="array" ref="S113">INDEX($D$2:$D$14395,$O113,0)</f>
        <v>0</v>
      </c>
      <c r="T113">
        <f t="shared" si="28"/>
        <v>-10416.627043832304</v>
      </c>
      <c r="U113">
        <f t="shared" si="29"/>
        <v>1047.4178908249478</v>
      </c>
      <c r="V113">
        <f t="shared" si="30"/>
        <v>1042.3085352599483</v>
      </c>
      <c r="W113">
        <f t="shared" si="31"/>
        <v>2277.4328908249481</v>
      </c>
      <c r="X113">
        <f t="shared" si="32"/>
        <v>2445.1578908249476</v>
      </c>
      <c r="Y113">
        <f t="shared" si="33"/>
        <v>1042.3085352599483</v>
      </c>
      <c r="Z113">
        <f t="shared" si="34"/>
        <v>941.24548218425321</v>
      </c>
      <c r="AA113">
        <f t="shared" si="35"/>
        <v>2143.6878908249478</v>
      </c>
    </row>
    <row r="114" spans="1:27" x14ac:dyDescent="0.35">
      <c r="A114">
        <v>336</v>
      </c>
      <c r="B114">
        <v>-3957.23</v>
      </c>
      <c r="C114">
        <f t="shared" si="25"/>
        <v>102.4128</v>
      </c>
      <c r="D114">
        <f t="shared" si="18"/>
        <v>-1206.1637040000001</v>
      </c>
      <c r="E114">
        <f t="shared" si="19"/>
        <v>121.28277584646001</v>
      </c>
      <c r="F114">
        <f t="shared" si="20"/>
        <v>120.69115254964801</v>
      </c>
      <c r="G114">
        <f t="shared" si="21"/>
        <v>1519.02277584646</v>
      </c>
      <c r="H114">
        <f t="shared" si="22"/>
        <v>120.69115254964801</v>
      </c>
      <c r="I114">
        <v>1</v>
      </c>
      <c r="J114">
        <f t="shared" si="23"/>
        <v>108.98884373870665</v>
      </c>
      <c r="K114">
        <f t="shared" si="24"/>
        <v>1217.55277584646</v>
      </c>
      <c r="M114">
        <v>3149.8062480000003</v>
      </c>
      <c r="N114">
        <f t="shared" si="26"/>
        <v>396</v>
      </c>
      <c r="O114">
        <f t="shared" si="27"/>
        <v>397</v>
      </c>
      <c r="P114" cm="1">
        <f t="array" ref="P114">INDEX($C$2:$C$14395,$N114,0)</f>
        <v>361.18800000000005</v>
      </c>
      <c r="Q114" cm="1">
        <f t="array" ref="Q114">INDEX($C$2:$C$14395,$O114,0)</f>
        <v>0</v>
      </c>
      <c r="R114" cm="1">
        <f t="array" ref="R114">INDEX($D$2:$D$14395,$N114,0)</f>
        <v>-1209.0989280000001</v>
      </c>
      <c r="S114" cm="1">
        <f t="array" ref="S114">INDEX($D$2:$D$14395,$O114,0)</f>
        <v>0</v>
      </c>
      <c r="T114">
        <f t="shared" si="28"/>
        <v>-10544.169124844962</v>
      </c>
      <c r="U114">
        <f t="shared" si="29"/>
        <v>1060.2425659259732</v>
      </c>
      <c r="V114">
        <f t="shared" si="30"/>
        <v>1055.0706509702366</v>
      </c>
      <c r="W114">
        <f t="shared" si="31"/>
        <v>2290.2575659259733</v>
      </c>
      <c r="X114">
        <f t="shared" si="32"/>
        <v>2457.9825659259732</v>
      </c>
      <c r="Y114">
        <f t="shared" si="33"/>
        <v>1055.0706509702366</v>
      </c>
      <c r="Z114">
        <f t="shared" si="34"/>
        <v>952.77017314576972</v>
      </c>
      <c r="AA114">
        <f t="shared" si="35"/>
        <v>2156.5125659259729</v>
      </c>
    </row>
    <row r="115" spans="1:27" x14ac:dyDescent="0.35">
      <c r="A115">
        <v>339</v>
      </c>
      <c r="B115">
        <v>-3957.26</v>
      </c>
      <c r="C115">
        <f t="shared" si="25"/>
        <v>103.3272</v>
      </c>
      <c r="D115">
        <f t="shared" si="18"/>
        <v>-1206.1728480000002</v>
      </c>
      <c r="E115">
        <f t="shared" si="19"/>
        <v>121.28369529852002</v>
      </c>
      <c r="F115">
        <f t="shared" si="20"/>
        <v>120.69206751657602</v>
      </c>
      <c r="G115">
        <f t="shared" si="21"/>
        <v>1519.0236952985201</v>
      </c>
      <c r="H115">
        <f t="shared" si="22"/>
        <v>120.69206751657602</v>
      </c>
      <c r="I115">
        <v>1</v>
      </c>
      <c r="J115">
        <f t="shared" si="23"/>
        <v>108.98966998972371</v>
      </c>
      <c r="K115">
        <f t="shared" si="24"/>
        <v>1217.5536952985201</v>
      </c>
      <c r="M115">
        <v>3187.9062480000002</v>
      </c>
      <c r="N115">
        <f t="shared" si="26"/>
        <v>396</v>
      </c>
      <c r="O115">
        <f t="shared" si="27"/>
        <v>397</v>
      </c>
      <c r="P115" cm="1">
        <f t="array" ref="P115">INDEX($C$2:$C$14395,$N115,0)</f>
        <v>361.18800000000005</v>
      </c>
      <c r="Q115" cm="1">
        <f t="array" ref="Q115">INDEX($C$2:$C$14395,$O115,0)</f>
        <v>0</v>
      </c>
      <c r="R115" cm="1">
        <f t="array" ref="R115">INDEX($D$2:$D$14395,$N115,0)</f>
        <v>-1209.0989280000001</v>
      </c>
      <c r="S115" cm="1">
        <f t="array" ref="S115">INDEX($D$2:$D$14395,$O115,0)</f>
        <v>0</v>
      </c>
      <c r="T115">
        <f t="shared" si="28"/>
        <v>-10671.71120585762</v>
      </c>
      <c r="U115">
        <f t="shared" si="29"/>
        <v>1073.0672410269983</v>
      </c>
      <c r="V115">
        <f t="shared" si="30"/>
        <v>1067.8327666805253</v>
      </c>
      <c r="W115">
        <f t="shared" si="31"/>
        <v>2303.0822410269984</v>
      </c>
      <c r="X115">
        <f t="shared" si="32"/>
        <v>2470.8072410269983</v>
      </c>
      <c r="Y115">
        <f t="shared" si="33"/>
        <v>1067.8327666805253</v>
      </c>
      <c r="Z115">
        <f t="shared" si="34"/>
        <v>964.29486410728623</v>
      </c>
      <c r="AA115">
        <f t="shared" si="35"/>
        <v>2169.3372410269985</v>
      </c>
    </row>
    <row r="116" spans="1:27" x14ac:dyDescent="0.35">
      <c r="A116">
        <v>342</v>
      </c>
      <c r="B116">
        <v>-3957.29</v>
      </c>
      <c r="C116">
        <f t="shared" si="25"/>
        <v>104.24160000000001</v>
      </c>
      <c r="D116">
        <f t="shared" si="18"/>
        <v>-1206.181992</v>
      </c>
      <c r="E116">
        <f t="shared" si="19"/>
        <v>121.28461475058</v>
      </c>
      <c r="F116">
        <f t="shared" si="20"/>
        <v>120.69298248350401</v>
      </c>
      <c r="G116">
        <f t="shared" si="21"/>
        <v>1519.02461475058</v>
      </c>
      <c r="H116">
        <f t="shared" si="22"/>
        <v>120.69298248350401</v>
      </c>
      <c r="I116">
        <v>1</v>
      </c>
      <c r="J116">
        <f t="shared" si="23"/>
        <v>108.99049624074074</v>
      </c>
      <c r="K116">
        <f t="shared" si="24"/>
        <v>1217.55461475058</v>
      </c>
      <c r="M116">
        <v>3226.0062480000001</v>
      </c>
      <c r="N116">
        <f t="shared" si="26"/>
        <v>396</v>
      </c>
      <c r="O116">
        <f t="shared" si="27"/>
        <v>397</v>
      </c>
      <c r="P116" cm="1">
        <f t="array" ref="P116">INDEX($C$2:$C$14395,$N116,0)</f>
        <v>361.18800000000005</v>
      </c>
      <c r="Q116" cm="1">
        <f t="array" ref="Q116">INDEX($C$2:$C$14395,$O116,0)</f>
        <v>0</v>
      </c>
      <c r="R116" cm="1">
        <f t="array" ref="R116">INDEX($D$2:$D$14395,$N116,0)</f>
        <v>-1209.0989280000001</v>
      </c>
      <c r="S116" cm="1">
        <f t="array" ref="S116">INDEX($D$2:$D$14395,$O116,0)</f>
        <v>0</v>
      </c>
      <c r="T116">
        <f t="shared" si="28"/>
        <v>-10799.253286870278</v>
      </c>
      <c r="U116">
        <f t="shared" si="29"/>
        <v>1085.8919161280237</v>
      </c>
      <c r="V116">
        <f t="shared" si="30"/>
        <v>1080.5948823908138</v>
      </c>
      <c r="W116">
        <f t="shared" si="31"/>
        <v>2315.906916128024</v>
      </c>
      <c r="X116">
        <f t="shared" si="32"/>
        <v>2483.6319161280235</v>
      </c>
      <c r="Y116">
        <f t="shared" si="33"/>
        <v>1080.5948823908138</v>
      </c>
      <c r="Z116">
        <f t="shared" si="34"/>
        <v>975.81955506880263</v>
      </c>
      <c r="AA116">
        <f t="shared" si="35"/>
        <v>2182.1619161280237</v>
      </c>
    </row>
    <row r="117" spans="1:27" x14ac:dyDescent="0.35">
      <c r="A117">
        <v>345</v>
      </c>
      <c r="B117">
        <v>-3957.32</v>
      </c>
      <c r="C117">
        <f t="shared" si="25"/>
        <v>105.15600000000001</v>
      </c>
      <c r="D117">
        <f t="shared" si="18"/>
        <v>-1206.1911360000001</v>
      </c>
      <c r="E117">
        <f t="shared" si="19"/>
        <v>121.28553420264002</v>
      </c>
      <c r="F117">
        <f t="shared" si="20"/>
        <v>120.69389745043203</v>
      </c>
      <c r="G117">
        <f t="shared" si="21"/>
        <v>1519.0255342026401</v>
      </c>
      <c r="H117">
        <f t="shared" si="22"/>
        <v>120.69389745043203</v>
      </c>
      <c r="I117">
        <v>1</v>
      </c>
      <c r="J117">
        <f t="shared" si="23"/>
        <v>108.99132249175777</v>
      </c>
      <c r="K117">
        <f t="shared" si="24"/>
        <v>1217.55553420264</v>
      </c>
      <c r="M117">
        <v>3256.4100480000002</v>
      </c>
      <c r="N117">
        <f t="shared" si="26"/>
        <v>396</v>
      </c>
      <c r="O117">
        <f t="shared" si="27"/>
        <v>397</v>
      </c>
      <c r="P117" cm="1">
        <f t="array" ref="P117">INDEX($C$2:$C$14395,$N117,0)</f>
        <v>361.18800000000005</v>
      </c>
      <c r="Q117" cm="1">
        <f t="array" ref="Q117">INDEX($C$2:$C$14395,$O117,0)</f>
        <v>0</v>
      </c>
      <c r="R117" cm="1">
        <f t="array" ref="R117">INDEX($D$2:$D$14395,$N117,0)</f>
        <v>-1209.0989280000001</v>
      </c>
      <c r="S117" cm="1">
        <f t="array" ref="S117">INDEX($D$2:$D$14395,$O117,0)</f>
        <v>0</v>
      </c>
      <c r="T117">
        <f t="shared" si="28"/>
        <v>-10901.031867518381</v>
      </c>
      <c r="U117">
        <f t="shared" si="29"/>
        <v>1096.1260068586421</v>
      </c>
      <c r="V117">
        <f t="shared" si="30"/>
        <v>1090.7790507276241</v>
      </c>
      <c r="W117">
        <f t="shared" si="31"/>
        <v>2326.141006858642</v>
      </c>
      <c r="X117">
        <f t="shared" si="32"/>
        <v>2493.8660068586423</v>
      </c>
      <c r="Y117">
        <f t="shared" si="33"/>
        <v>1090.7790507276241</v>
      </c>
      <c r="Z117">
        <f t="shared" si="34"/>
        <v>985.01625845609294</v>
      </c>
      <c r="AA117">
        <f t="shared" si="35"/>
        <v>2192.3960068586421</v>
      </c>
    </row>
    <row r="118" spans="1:27" x14ac:dyDescent="0.35">
      <c r="A118">
        <v>348</v>
      </c>
      <c r="B118">
        <v>-3957.36</v>
      </c>
      <c r="C118">
        <f t="shared" si="25"/>
        <v>106.07040000000001</v>
      </c>
      <c r="D118">
        <f t="shared" si="18"/>
        <v>-1206.2033280000001</v>
      </c>
      <c r="E118">
        <f t="shared" si="19"/>
        <v>121.28676013872</v>
      </c>
      <c r="F118">
        <f t="shared" si="20"/>
        <v>120.69511740633601</v>
      </c>
      <c r="G118">
        <f t="shared" si="21"/>
        <v>1519.02676013872</v>
      </c>
      <c r="H118">
        <f t="shared" si="22"/>
        <v>120.69511740633601</v>
      </c>
      <c r="I118">
        <v>1</v>
      </c>
      <c r="J118">
        <f t="shared" si="23"/>
        <v>108.9924241597805</v>
      </c>
      <c r="K118">
        <f t="shared" si="24"/>
        <v>1217.5567601387199</v>
      </c>
      <c r="M118">
        <v>3279.1176480000004</v>
      </c>
      <c r="N118">
        <f t="shared" si="26"/>
        <v>396</v>
      </c>
      <c r="O118">
        <f t="shared" si="27"/>
        <v>397</v>
      </c>
      <c r="P118" cm="1">
        <f t="array" ref="P118">INDEX($C$2:$C$14395,$N118,0)</f>
        <v>361.18800000000005</v>
      </c>
      <c r="Q118" cm="1">
        <f t="array" ref="Q118">INDEX($C$2:$C$14395,$O118,0)</f>
        <v>0</v>
      </c>
      <c r="R118" cm="1">
        <f t="array" ref="R118">INDEX($D$2:$D$14395,$N118,0)</f>
        <v>-1209.0989280000001</v>
      </c>
      <c r="S118" cm="1">
        <f t="array" ref="S118">INDEX($D$2:$D$14395,$O118,0)</f>
        <v>0</v>
      </c>
      <c r="T118">
        <f t="shared" si="28"/>
        <v>-10977.046947801926</v>
      </c>
      <c r="U118">
        <f t="shared" si="29"/>
        <v>1103.7695132188533</v>
      </c>
      <c r="V118">
        <f t="shared" si="30"/>
        <v>1098.3852716909564</v>
      </c>
      <c r="W118">
        <f t="shared" si="31"/>
        <v>2333.7845132188531</v>
      </c>
      <c r="X118">
        <f t="shared" si="32"/>
        <v>2501.5095132188535</v>
      </c>
      <c r="Y118">
        <f t="shared" si="33"/>
        <v>1098.3852716909564</v>
      </c>
      <c r="Z118">
        <f t="shared" si="34"/>
        <v>991.88497426915671</v>
      </c>
      <c r="AA118">
        <f t="shared" si="35"/>
        <v>2200.0395132188532</v>
      </c>
    </row>
    <row r="119" spans="1:27" x14ac:dyDescent="0.35">
      <c r="A119">
        <v>351</v>
      </c>
      <c r="B119">
        <v>-3957.4</v>
      </c>
      <c r="C119">
        <f t="shared" si="25"/>
        <v>106.98480000000001</v>
      </c>
      <c r="D119">
        <f t="shared" si="18"/>
        <v>-1206.2155200000002</v>
      </c>
      <c r="E119">
        <f t="shared" si="19"/>
        <v>121.28798607480003</v>
      </c>
      <c r="F119">
        <f t="shared" si="20"/>
        <v>120.69633736224002</v>
      </c>
      <c r="G119">
        <f t="shared" si="21"/>
        <v>1519.0279860748001</v>
      </c>
      <c r="H119">
        <f t="shared" si="22"/>
        <v>120.69633736224002</v>
      </c>
      <c r="I119">
        <v>1</v>
      </c>
      <c r="J119">
        <f t="shared" si="23"/>
        <v>108.99352582780324</v>
      </c>
      <c r="K119">
        <f t="shared" si="24"/>
        <v>1217.5579860748001</v>
      </c>
      <c r="M119">
        <v>3307.5455820000002</v>
      </c>
      <c r="N119">
        <f t="shared" si="26"/>
        <v>396</v>
      </c>
      <c r="O119">
        <f t="shared" si="27"/>
        <v>397</v>
      </c>
      <c r="P119" cm="1">
        <f t="array" ref="P119">INDEX($C$2:$C$14395,$N119,0)</f>
        <v>361.18800000000005</v>
      </c>
      <c r="Q119" cm="1">
        <f t="array" ref="Q119">INDEX($C$2:$C$14395,$O119,0)</f>
        <v>0</v>
      </c>
      <c r="R119" cm="1">
        <f t="array" ref="R119">INDEX($D$2:$D$14395,$N119,0)</f>
        <v>-1209.0989280000001</v>
      </c>
      <c r="S119" cm="1">
        <f t="array" ref="S119">INDEX($D$2:$D$14395,$O119,0)</f>
        <v>0</v>
      </c>
      <c r="T119">
        <f t="shared" si="28"/>
        <v>-11072.21119612871</v>
      </c>
      <c r="U119">
        <f t="shared" si="29"/>
        <v>1113.3385162987322</v>
      </c>
      <c r="V119">
        <f t="shared" si="30"/>
        <v>1107.907596707031</v>
      </c>
      <c r="W119">
        <f t="shared" si="31"/>
        <v>2343.3535162987323</v>
      </c>
      <c r="X119">
        <f t="shared" si="32"/>
        <v>2511.0785162987322</v>
      </c>
      <c r="Y119">
        <f t="shared" si="33"/>
        <v>1107.907596707031</v>
      </c>
      <c r="Z119">
        <f t="shared" si="34"/>
        <v>1000.4840071831827</v>
      </c>
      <c r="AA119">
        <f t="shared" si="35"/>
        <v>2209.608516298732</v>
      </c>
    </row>
    <row r="120" spans="1:27" x14ac:dyDescent="0.35">
      <c r="A120">
        <v>354</v>
      </c>
      <c r="B120">
        <v>-3957.45</v>
      </c>
      <c r="C120">
        <f t="shared" si="25"/>
        <v>107.89920000000001</v>
      </c>
      <c r="D120">
        <f t="shared" si="18"/>
        <v>-1206.2307599999999</v>
      </c>
      <c r="E120">
        <f t="shared" si="19"/>
        <v>121.28951849489999</v>
      </c>
      <c r="F120">
        <f t="shared" si="20"/>
        <v>120.69786230712</v>
      </c>
      <c r="G120">
        <f t="shared" si="21"/>
        <v>1519.0295184949</v>
      </c>
      <c r="H120">
        <f t="shared" si="22"/>
        <v>120.69786230712</v>
      </c>
      <c r="I120">
        <v>1</v>
      </c>
      <c r="J120">
        <f t="shared" si="23"/>
        <v>108.99490291283161</v>
      </c>
      <c r="K120">
        <f t="shared" si="24"/>
        <v>1217.5595184949</v>
      </c>
      <c r="M120">
        <v>3341.6938500000001</v>
      </c>
      <c r="N120">
        <f t="shared" si="26"/>
        <v>396</v>
      </c>
      <c r="O120">
        <f t="shared" si="27"/>
        <v>397</v>
      </c>
      <c r="P120" cm="1">
        <f t="array" ref="P120">INDEX($C$2:$C$14395,$N120,0)</f>
        <v>361.18800000000005</v>
      </c>
      <c r="Q120" cm="1">
        <f t="array" ref="Q120">INDEX($C$2:$C$14395,$O120,0)</f>
        <v>0</v>
      </c>
      <c r="R120" cm="1">
        <f t="array" ref="R120">INDEX($D$2:$D$14395,$N120,0)</f>
        <v>-1209.0989280000001</v>
      </c>
      <c r="S120" cm="1">
        <f t="array" ref="S120">INDEX($D$2:$D$14395,$O120,0)</f>
        <v>0</v>
      </c>
      <c r="T120">
        <f t="shared" si="28"/>
        <v>-11186.524612498735</v>
      </c>
      <c r="U120">
        <f t="shared" si="29"/>
        <v>1124.8330160982791</v>
      </c>
      <c r="V120">
        <f t="shared" si="30"/>
        <v>1119.3460257758484</v>
      </c>
      <c r="W120">
        <f t="shared" si="31"/>
        <v>2354.848016098279</v>
      </c>
      <c r="X120">
        <f t="shared" si="32"/>
        <v>2522.5730160982794</v>
      </c>
      <c r="Y120">
        <f t="shared" si="33"/>
        <v>1119.3460257758484</v>
      </c>
      <c r="Z120">
        <f t="shared" si="34"/>
        <v>1010.8133571981706</v>
      </c>
      <c r="AA120">
        <f t="shared" si="35"/>
        <v>2221.1030160982791</v>
      </c>
    </row>
    <row r="121" spans="1:27" x14ac:dyDescent="0.35">
      <c r="A121">
        <v>357</v>
      </c>
      <c r="B121">
        <v>-3957.48</v>
      </c>
      <c r="C121">
        <f t="shared" si="25"/>
        <v>108.81360000000001</v>
      </c>
      <c r="D121">
        <f t="shared" si="18"/>
        <v>-1206.239904</v>
      </c>
      <c r="E121">
        <f t="shared" si="19"/>
        <v>121.29043794696001</v>
      </c>
      <c r="F121">
        <f t="shared" si="20"/>
        <v>120.698777274048</v>
      </c>
      <c r="G121">
        <f t="shared" si="21"/>
        <v>1519.0304379469601</v>
      </c>
      <c r="H121">
        <f t="shared" si="22"/>
        <v>120.698777274048</v>
      </c>
      <c r="I121">
        <v>1</v>
      </c>
      <c r="J121">
        <f t="shared" si="23"/>
        <v>108.99572916384867</v>
      </c>
      <c r="K121">
        <f t="shared" si="24"/>
        <v>1217.5604379469601</v>
      </c>
      <c r="M121">
        <v>3377.8179840000003</v>
      </c>
      <c r="N121">
        <f t="shared" si="26"/>
        <v>396</v>
      </c>
      <c r="O121">
        <f t="shared" si="27"/>
        <v>397</v>
      </c>
      <c r="P121" cm="1">
        <f t="array" ref="P121">INDEX($C$2:$C$14395,$N121,0)</f>
        <v>361.18800000000005</v>
      </c>
      <c r="Q121" cm="1">
        <f t="array" ref="Q121">INDEX($C$2:$C$14395,$O121,0)</f>
        <v>0</v>
      </c>
      <c r="R121" cm="1">
        <f t="array" ref="R121">INDEX($D$2:$D$14395,$N121,0)</f>
        <v>-1209.0989280000001</v>
      </c>
      <c r="S121" cm="1">
        <f t="array" ref="S121">INDEX($D$2:$D$14395,$O121,0)</f>
        <v>0</v>
      </c>
      <c r="T121">
        <f t="shared" si="28"/>
        <v>-11307.452361190077</v>
      </c>
      <c r="U121">
        <f t="shared" si="29"/>
        <v>1136.9926035485653</v>
      </c>
      <c r="V121">
        <f t="shared" si="30"/>
        <v>1131.4462981654015</v>
      </c>
      <c r="W121">
        <f t="shared" si="31"/>
        <v>2367.0076035485654</v>
      </c>
      <c r="X121">
        <f t="shared" si="32"/>
        <v>2534.7326035485653</v>
      </c>
      <c r="Y121">
        <f t="shared" si="33"/>
        <v>1131.4462981654015</v>
      </c>
      <c r="Z121">
        <f t="shared" si="34"/>
        <v>1021.7403776864229</v>
      </c>
      <c r="AA121">
        <f t="shared" si="35"/>
        <v>2233.2626035485655</v>
      </c>
    </row>
    <row r="122" spans="1:27" x14ac:dyDescent="0.35">
      <c r="A122">
        <v>360</v>
      </c>
      <c r="B122">
        <v>-3957.49</v>
      </c>
      <c r="C122">
        <f t="shared" si="25"/>
        <v>109.72800000000001</v>
      </c>
      <c r="D122">
        <f t="shared" si="18"/>
        <v>-1206.2429520000001</v>
      </c>
      <c r="E122">
        <f t="shared" si="19"/>
        <v>121.29074443098</v>
      </c>
      <c r="F122">
        <f t="shared" si="20"/>
        <v>120.69908226302402</v>
      </c>
      <c r="G122">
        <f t="shared" si="21"/>
        <v>1519.0307444309801</v>
      </c>
      <c r="H122">
        <f t="shared" si="22"/>
        <v>120.69908226302402</v>
      </c>
      <c r="I122">
        <v>1</v>
      </c>
      <c r="J122">
        <f t="shared" si="23"/>
        <v>108.99600458085435</v>
      </c>
      <c r="K122">
        <f t="shared" si="24"/>
        <v>1217.5607444309799</v>
      </c>
      <c r="M122">
        <v>3415.9179840000002</v>
      </c>
      <c r="N122">
        <f t="shared" si="26"/>
        <v>396</v>
      </c>
      <c r="O122">
        <f t="shared" si="27"/>
        <v>397</v>
      </c>
      <c r="P122" cm="1">
        <f t="array" ref="P122">INDEX($C$2:$C$14395,$N122,0)</f>
        <v>361.18800000000005</v>
      </c>
      <c r="Q122" cm="1">
        <f t="array" ref="Q122">INDEX($C$2:$C$14395,$O122,0)</f>
        <v>0</v>
      </c>
      <c r="R122" cm="1">
        <f t="array" ref="R122">INDEX($D$2:$D$14395,$N122,0)</f>
        <v>-1209.0989280000001</v>
      </c>
      <c r="S122" cm="1">
        <f t="array" ref="S122">INDEX($D$2:$D$14395,$O122,0)</f>
        <v>0</v>
      </c>
      <c r="T122">
        <f t="shared" si="28"/>
        <v>-11434.994442202735</v>
      </c>
      <c r="U122">
        <f t="shared" si="29"/>
        <v>1149.8172786495904</v>
      </c>
      <c r="V122">
        <f t="shared" si="30"/>
        <v>1144.2084138756902</v>
      </c>
      <c r="W122">
        <f t="shared" si="31"/>
        <v>2379.8322786495905</v>
      </c>
      <c r="X122">
        <f t="shared" si="32"/>
        <v>2547.5572786495904</v>
      </c>
      <c r="Y122">
        <f t="shared" si="33"/>
        <v>1144.2084138756902</v>
      </c>
      <c r="Z122">
        <f t="shared" si="34"/>
        <v>1033.2650686479394</v>
      </c>
      <c r="AA122">
        <f t="shared" si="35"/>
        <v>2246.0872786495902</v>
      </c>
    </row>
    <row r="123" spans="1:27" x14ac:dyDescent="0.35">
      <c r="A123">
        <v>363</v>
      </c>
      <c r="B123">
        <v>-3957.49</v>
      </c>
      <c r="C123">
        <f t="shared" si="25"/>
        <v>110.64240000000001</v>
      </c>
      <c r="D123">
        <f t="shared" si="18"/>
        <v>-1206.2429520000001</v>
      </c>
      <c r="E123">
        <f t="shared" si="19"/>
        <v>121.29074443098</v>
      </c>
      <c r="F123">
        <f t="shared" si="20"/>
        <v>120.69908226302402</v>
      </c>
      <c r="G123">
        <f t="shared" si="21"/>
        <v>1519.0307444309801</v>
      </c>
      <c r="H123">
        <f t="shared" si="22"/>
        <v>120.69908226302402</v>
      </c>
      <c r="I123">
        <v>1</v>
      </c>
      <c r="J123">
        <f t="shared" si="23"/>
        <v>108.99600458085435</v>
      </c>
      <c r="K123">
        <f t="shared" si="24"/>
        <v>1217.5607444309799</v>
      </c>
      <c r="M123">
        <v>3454.0179840000001</v>
      </c>
      <c r="N123">
        <f t="shared" si="26"/>
        <v>396</v>
      </c>
      <c r="O123">
        <f t="shared" si="27"/>
        <v>397</v>
      </c>
      <c r="P123" cm="1">
        <f t="array" ref="P123">INDEX($C$2:$C$14395,$N123,0)</f>
        <v>361.18800000000005</v>
      </c>
      <c r="Q123" cm="1">
        <f t="array" ref="Q123">INDEX($C$2:$C$14395,$O123,0)</f>
        <v>0</v>
      </c>
      <c r="R123" cm="1">
        <f t="array" ref="R123">INDEX($D$2:$D$14395,$N123,0)</f>
        <v>-1209.0989280000001</v>
      </c>
      <c r="S123" cm="1">
        <f t="array" ref="S123">INDEX($D$2:$D$14395,$O123,0)</f>
        <v>0</v>
      </c>
      <c r="T123">
        <f t="shared" si="28"/>
        <v>-11562.536523215393</v>
      </c>
      <c r="U123">
        <f t="shared" si="29"/>
        <v>1162.6419537506158</v>
      </c>
      <c r="V123">
        <f t="shared" si="30"/>
        <v>1156.9705295859787</v>
      </c>
      <c r="W123">
        <f t="shared" si="31"/>
        <v>2392.6569537506157</v>
      </c>
      <c r="X123">
        <f t="shared" si="32"/>
        <v>2560.381953750616</v>
      </c>
      <c r="Y123">
        <f t="shared" si="33"/>
        <v>1156.9705295859787</v>
      </c>
      <c r="Z123">
        <f t="shared" si="34"/>
        <v>1044.7897596094558</v>
      </c>
      <c r="AA123">
        <f t="shared" si="35"/>
        <v>2258.9119537506158</v>
      </c>
    </row>
    <row r="124" spans="1:27" x14ac:dyDescent="0.35">
      <c r="A124">
        <v>366</v>
      </c>
      <c r="B124">
        <v>-3957.51</v>
      </c>
      <c r="C124">
        <f t="shared" si="25"/>
        <v>111.55680000000001</v>
      </c>
      <c r="D124">
        <f t="shared" si="18"/>
        <v>-1206.2490480000001</v>
      </c>
      <c r="E124">
        <f t="shared" si="19"/>
        <v>121.29135739902001</v>
      </c>
      <c r="F124">
        <f t="shared" si="20"/>
        <v>120.69969224097601</v>
      </c>
      <c r="G124">
        <f t="shared" si="21"/>
        <v>1519.03135739902</v>
      </c>
      <c r="H124">
        <f t="shared" si="22"/>
        <v>120.69969224097601</v>
      </c>
      <c r="I124">
        <v>1</v>
      </c>
      <c r="J124">
        <f t="shared" si="23"/>
        <v>108.99655541486568</v>
      </c>
      <c r="K124">
        <f t="shared" si="24"/>
        <v>1217.5613573990199</v>
      </c>
      <c r="M124">
        <v>3492.117984</v>
      </c>
      <c r="N124">
        <f t="shared" si="26"/>
        <v>396</v>
      </c>
      <c r="O124">
        <f t="shared" si="27"/>
        <v>397</v>
      </c>
      <c r="P124" cm="1">
        <f t="array" ref="P124">INDEX($C$2:$C$14395,$N124,0)</f>
        <v>361.18800000000005</v>
      </c>
      <c r="Q124" cm="1">
        <f t="array" ref="Q124">INDEX($C$2:$C$14395,$O124,0)</f>
        <v>0</v>
      </c>
      <c r="R124" cm="1">
        <f t="array" ref="R124">INDEX($D$2:$D$14395,$N124,0)</f>
        <v>-1209.0989280000001</v>
      </c>
      <c r="S124" cm="1">
        <f t="array" ref="S124">INDEX($D$2:$D$14395,$O124,0)</f>
        <v>0</v>
      </c>
      <c r="T124">
        <f t="shared" si="28"/>
        <v>-11690.078604228051</v>
      </c>
      <c r="U124">
        <f t="shared" si="29"/>
        <v>1175.4666288516412</v>
      </c>
      <c r="V124">
        <f t="shared" si="30"/>
        <v>1169.7326452962673</v>
      </c>
      <c r="W124">
        <f t="shared" si="31"/>
        <v>2405.4816288516413</v>
      </c>
      <c r="X124">
        <f t="shared" si="32"/>
        <v>2573.2066288516412</v>
      </c>
      <c r="Y124">
        <f t="shared" si="33"/>
        <v>1169.7326452962673</v>
      </c>
      <c r="Z124">
        <f t="shared" si="34"/>
        <v>1056.3144505709724</v>
      </c>
      <c r="AA124">
        <f t="shared" si="35"/>
        <v>2271.7366288516414</v>
      </c>
    </row>
    <row r="125" spans="1:27" x14ac:dyDescent="0.35">
      <c r="A125">
        <v>369</v>
      </c>
      <c r="B125">
        <v>-3957.57</v>
      </c>
      <c r="C125">
        <f t="shared" si="25"/>
        <v>112.47120000000001</v>
      </c>
      <c r="D125">
        <f t="shared" si="18"/>
        <v>-1206.2673360000001</v>
      </c>
      <c r="E125">
        <f t="shared" si="19"/>
        <v>121.29319630314002</v>
      </c>
      <c r="F125">
        <f t="shared" si="20"/>
        <v>120.70152217483202</v>
      </c>
      <c r="G125">
        <f t="shared" si="21"/>
        <v>1519.0331963031401</v>
      </c>
      <c r="H125">
        <f t="shared" si="22"/>
        <v>120.70152217483202</v>
      </c>
      <c r="I125">
        <v>1</v>
      </c>
      <c r="J125">
        <f t="shared" si="23"/>
        <v>108.99820791689979</v>
      </c>
      <c r="K125">
        <f t="shared" si="24"/>
        <v>1217.5631963031401</v>
      </c>
      <c r="M125">
        <v>3522.521784</v>
      </c>
      <c r="N125">
        <f t="shared" si="26"/>
        <v>396</v>
      </c>
      <c r="O125">
        <f t="shared" si="27"/>
        <v>397</v>
      </c>
      <c r="P125" cm="1">
        <f t="array" ref="P125">INDEX($C$2:$C$14395,$N125,0)</f>
        <v>361.18800000000005</v>
      </c>
      <c r="Q125" cm="1">
        <f t="array" ref="Q125">INDEX($C$2:$C$14395,$O125,0)</f>
        <v>0</v>
      </c>
      <c r="R125" cm="1">
        <f t="array" ref="R125">INDEX($D$2:$D$14395,$N125,0)</f>
        <v>-1209.0989280000001</v>
      </c>
      <c r="S125" cm="1">
        <f t="array" ref="S125">INDEX($D$2:$D$14395,$O125,0)</f>
        <v>0</v>
      </c>
      <c r="T125">
        <f t="shared" si="28"/>
        <v>-11791.857184876151</v>
      </c>
      <c r="U125">
        <f t="shared" si="29"/>
        <v>1185.7007195822591</v>
      </c>
      <c r="V125">
        <f t="shared" si="30"/>
        <v>1179.9168136330775</v>
      </c>
      <c r="W125">
        <f t="shared" si="31"/>
        <v>2415.7157195822592</v>
      </c>
      <c r="X125">
        <f t="shared" si="32"/>
        <v>2583.4407195822591</v>
      </c>
      <c r="Y125">
        <f t="shared" si="33"/>
        <v>1179.9168136330775</v>
      </c>
      <c r="Z125">
        <f t="shared" si="34"/>
        <v>1065.5111539582624</v>
      </c>
      <c r="AA125">
        <f t="shared" si="35"/>
        <v>2281.9707195822593</v>
      </c>
    </row>
    <row r="126" spans="1:27" x14ac:dyDescent="0.35">
      <c r="A126">
        <v>372</v>
      </c>
      <c r="B126">
        <v>-3957.63</v>
      </c>
      <c r="C126">
        <f t="shared" si="25"/>
        <v>113.38560000000001</v>
      </c>
      <c r="D126">
        <f t="shared" si="18"/>
        <v>-1206.2856240000001</v>
      </c>
      <c r="E126">
        <f t="shared" si="19"/>
        <v>121.29503520726001</v>
      </c>
      <c r="F126">
        <f t="shared" si="20"/>
        <v>120.70335210868802</v>
      </c>
      <c r="G126">
        <f t="shared" si="21"/>
        <v>1519.0350352072601</v>
      </c>
      <c r="H126">
        <f t="shared" si="22"/>
        <v>120.70335210868802</v>
      </c>
      <c r="I126">
        <v>1</v>
      </c>
      <c r="J126">
        <f t="shared" si="23"/>
        <v>108.99986041893385</v>
      </c>
      <c r="K126">
        <f t="shared" si="24"/>
        <v>1217.5650352072601</v>
      </c>
      <c r="M126">
        <v>3545.2293840000002</v>
      </c>
      <c r="N126">
        <f t="shared" si="26"/>
        <v>396</v>
      </c>
      <c r="O126">
        <f t="shared" si="27"/>
        <v>397</v>
      </c>
      <c r="P126" cm="1">
        <f t="array" ref="P126">INDEX($C$2:$C$14395,$N126,0)</f>
        <v>361.18800000000005</v>
      </c>
      <c r="Q126" cm="1">
        <f t="array" ref="Q126">INDEX($C$2:$C$14395,$O126,0)</f>
        <v>0</v>
      </c>
      <c r="R126" cm="1">
        <f t="array" ref="R126">INDEX($D$2:$D$14395,$N126,0)</f>
        <v>-1209.0989280000001</v>
      </c>
      <c r="S126" cm="1">
        <f t="array" ref="S126">INDEX($D$2:$D$14395,$O126,0)</f>
        <v>0</v>
      </c>
      <c r="T126">
        <f t="shared" si="28"/>
        <v>-11867.872265159696</v>
      </c>
      <c r="U126">
        <f t="shared" si="29"/>
        <v>1193.3442259424705</v>
      </c>
      <c r="V126">
        <f t="shared" si="30"/>
        <v>1187.5230345964096</v>
      </c>
      <c r="W126">
        <f t="shared" si="31"/>
        <v>2423.3592259424704</v>
      </c>
      <c r="X126">
        <f t="shared" si="32"/>
        <v>2591.0842259424708</v>
      </c>
      <c r="Y126">
        <f t="shared" si="33"/>
        <v>1187.5230345964096</v>
      </c>
      <c r="Z126">
        <f t="shared" si="34"/>
        <v>1072.3798697713264</v>
      </c>
      <c r="AA126">
        <f t="shared" si="35"/>
        <v>2289.6142259424705</v>
      </c>
    </row>
    <row r="127" spans="1:27" x14ac:dyDescent="0.35">
      <c r="A127">
        <v>375</v>
      </c>
      <c r="B127">
        <v>-3957.68</v>
      </c>
      <c r="C127">
        <f t="shared" si="25"/>
        <v>114.30000000000001</v>
      </c>
      <c r="D127">
        <f t="shared" si="18"/>
        <v>-1206.300864</v>
      </c>
      <c r="E127">
        <f t="shared" si="19"/>
        <v>121.29656762736002</v>
      </c>
      <c r="F127">
        <f t="shared" si="20"/>
        <v>120.70487705356801</v>
      </c>
      <c r="G127">
        <f t="shared" si="21"/>
        <v>1519.03656762736</v>
      </c>
      <c r="H127">
        <f t="shared" si="22"/>
        <v>120.70487705356801</v>
      </c>
      <c r="I127">
        <v>1</v>
      </c>
      <c r="J127">
        <f t="shared" si="23"/>
        <v>109.00123750396226</v>
      </c>
      <c r="K127">
        <f t="shared" si="24"/>
        <v>1217.56656762736</v>
      </c>
      <c r="M127">
        <v>3575.6331840000003</v>
      </c>
      <c r="N127">
        <f t="shared" si="26"/>
        <v>396</v>
      </c>
      <c r="O127">
        <f t="shared" si="27"/>
        <v>397</v>
      </c>
      <c r="P127" cm="1">
        <f t="array" ref="P127">INDEX($C$2:$C$14395,$N127,0)</f>
        <v>361.18800000000005</v>
      </c>
      <c r="Q127" cm="1">
        <f t="array" ref="Q127">INDEX($C$2:$C$14395,$O127,0)</f>
        <v>0</v>
      </c>
      <c r="R127" cm="1">
        <f t="array" ref="R127">INDEX($D$2:$D$14395,$N127,0)</f>
        <v>-1209.0989280000001</v>
      </c>
      <c r="S127" cm="1">
        <f t="array" ref="S127">INDEX($D$2:$D$14395,$O127,0)</f>
        <v>0</v>
      </c>
      <c r="T127">
        <f t="shared" si="28"/>
        <v>-11969.650845807799</v>
      </c>
      <c r="U127">
        <f t="shared" si="29"/>
        <v>1203.5783166730887</v>
      </c>
      <c r="V127">
        <f t="shared" si="30"/>
        <v>1197.7072029332201</v>
      </c>
      <c r="W127">
        <f t="shared" si="31"/>
        <v>2433.5933166730888</v>
      </c>
      <c r="X127">
        <f t="shared" si="32"/>
        <v>2601.3183166730887</v>
      </c>
      <c r="Y127">
        <f t="shared" si="33"/>
        <v>1197.7072029332201</v>
      </c>
      <c r="Z127">
        <f t="shared" si="34"/>
        <v>1081.5765731586166</v>
      </c>
      <c r="AA127">
        <f t="shared" si="35"/>
        <v>2299.8483166730884</v>
      </c>
    </row>
    <row r="128" spans="1:27" x14ac:dyDescent="0.35">
      <c r="A128">
        <v>378</v>
      </c>
      <c r="B128">
        <v>-3957.69</v>
      </c>
      <c r="C128">
        <f t="shared" si="25"/>
        <v>115.21440000000001</v>
      </c>
      <c r="D128">
        <f t="shared" si="18"/>
        <v>-1206.3039120000001</v>
      </c>
      <c r="E128">
        <f t="shared" si="19"/>
        <v>121.29687411138002</v>
      </c>
      <c r="F128">
        <f t="shared" si="20"/>
        <v>120.70518204254402</v>
      </c>
      <c r="G128">
        <f t="shared" si="21"/>
        <v>1519.03687411138</v>
      </c>
      <c r="H128">
        <f t="shared" si="22"/>
        <v>120.70518204254402</v>
      </c>
      <c r="I128">
        <v>1</v>
      </c>
      <c r="J128">
        <f t="shared" si="23"/>
        <v>109.00151292096794</v>
      </c>
      <c r="K128">
        <f t="shared" si="24"/>
        <v>1217.56687411138</v>
      </c>
      <c r="M128">
        <v>3613.7331840000002</v>
      </c>
      <c r="N128">
        <f t="shared" si="26"/>
        <v>396</v>
      </c>
      <c r="O128">
        <f t="shared" si="27"/>
        <v>397</v>
      </c>
      <c r="P128" cm="1">
        <f t="array" ref="P128">INDEX($C$2:$C$14395,$N128,0)</f>
        <v>361.18800000000005</v>
      </c>
      <c r="Q128" cm="1">
        <f t="array" ref="Q128">INDEX($C$2:$C$14395,$O128,0)</f>
        <v>0</v>
      </c>
      <c r="R128" cm="1">
        <f t="array" ref="R128">INDEX($D$2:$D$14395,$N128,0)</f>
        <v>-1209.0989280000001</v>
      </c>
      <c r="S128" cm="1">
        <f t="array" ref="S128">INDEX($D$2:$D$14395,$O128,0)</f>
        <v>0</v>
      </c>
      <c r="T128">
        <f t="shared" si="28"/>
        <v>-12097.192926820457</v>
      </c>
      <c r="U128">
        <f t="shared" si="29"/>
        <v>1216.4029917741141</v>
      </c>
      <c r="V128">
        <f t="shared" si="30"/>
        <v>1210.4693186435088</v>
      </c>
      <c r="W128">
        <f t="shared" si="31"/>
        <v>2446.4179917741139</v>
      </c>
      <c r="X128">
        <f t="shared" si="32"/>
        <v>2614.1429917741143</v>
      </c>
      <c r="Y128">
        <f t="shared" si="33"/>
        <v>1210.4693186435088</v>
      </c>
      <c r="Z128">
        <f t="shared" si="34"/>
        <v>1093.101264120133</v>
      </c>
      <c r="AA128">
        <f t="shared" si="35"/>
        <v>2312.6729917741141</v>
      </c>
    </row>
    <row r="129" spans="1:27" x14ac:dyDescent="0.35">
      <c r="A129">
        <v>381</v>
      </c>
      <c r="B129">
        <v>-3957.7</v>
      </c>
      <c r="C129">
        <f t="shared" si="25"/>
        <v>116.12880000000001</v>
      </c>
      <c r="D129">
        <f t="shared" si="18"/>
        <v>-1206.3069600000001</v>
      </c>
      <c r="E129">
        <f t="shared" si="19"/>
        <v>121.29718059540002</v>
      </c>
      <c r="F129">
        <f t="shared" si="20"/>
        <v>120.70548703152001</v>
      </c>
      <c r="G129">
        <f t="shared" si="21"/>
        <v>1519.0371805954001</v>
      </c>
      <c r="H129">
        <f t="shared" si="22"/>
        <v>120.70548703152001</v>
      </c>
      <c r="I129">
        <v>1</v>
      </c>
      <c r="J129">
        <f t="shared" si="23"/>
        <v>109.00178833797362</v>
      </c>
      <c r="K129">
        <f t="shared" si="24"/>
        <v>1217.5671805954</v>
      </c>
      <c r="M129">
        <v>3651.8331840000001</v>
      </c>
      <c r="N129">
        <f t="shared" si="26"/>
        <v>396</v>
      </c>
      <c r="O129">
        <f t="shared" si="27"/>
        <v>397</v>
      </c>
      <c r="P129" cm="1">
        <f t="array" ref="P129">INDEX($C$2:$C$14395,$N129,0)</f>
        <v>361.18800000000005</v>
      </c>
      <c r="Q129" cm="1">
        <f t="array" ref="Q129">INDEX($C$2:$C$14395,$O129,0)</f>
        <v>0</v>
      </c>
      <c r="R129" cm="1">
        <f t="array" ref="R129">INDEX($D$2:$D$14395,$N129,0)</f>
        <v>-1209.0989280000001</v>
      </c>
      <c r="S129" cm="1">
        <f t="array" ref="S129">INDEX($D$2:$D$14395,$O129,0)</f>
        <v>0</v>
      </c>
      <c r="T129">
        <f t="shared" si="28"/>
        <v>-12224.735007833115</v>
      </c>
      <c r="U129">
        <f t="shared" si="29"/>
        <v>1229.2276668751392</v>
      </c>
      <c r="V129">
        <f t="shared" si="30"/>
        <v>1223.2314343537971</v>
      </c>
      <c r="W129">
        <f t="shared" si="31"/>
        <v>2459.2426668751395</v>
      </c>
      <c r="X129">
        <f t="shared" si="32"/>
        <v>2626.967666875139</v>
      </c>
      <c r="Y129">
        <f t="shared" si="33"/>
        <v>1223.2314343537971</v>
      </c>
      <c r="Z129">
        <f t="shared" si="34"/>
        <v>1104.6259550816496</v>
      </c>
      <c r="AA129">
        <f t="shared" si="35"/>
        <v>2325.4976668751392</v>
      </c>
    </row>
    <row r="130" spans="1:27" x14ac:dyDescent="0.35">
      <c r="A130">
        <v>384</v>
      </c>
      <c r="B130">
        <v>-3957.72</v>
      </c>
      <c r="C130">
        <f t="shared" si="25"/>
        <v>117.04320000000001</v>
      </c>
      <c r="D130">
        <f t="shared" si="18"/>
        <v>-1206.313056</v>
      </c>
      <c r="E130">
        <f t="shared" si="19"/>
        <v>121.29779356344001</v>
      </c>
      <c r="F130">
        <f t="shared" si="20"/>
        <v>120.706097009472</v>
      </c>
      <c r="G130">
        <f t="shared" si="21"/>
        <v>1519.0377935634401</v>
      </c>
      <c r="H130">
        <f t="shared" si="22"/>
        <v>120.706097009472</v>
      </c>
      <c r="I130">
        <v>1</v>
      </c>
      <c r="J130">
        <f t="shared" si="23"/>
        <v>109.00233917198497</v>
      </c>
      <c r="K130">
        <f t="shared" si="24"/>
        <v>1217.5677935634401</v>
      </c>
      <c r="M130">
        <v>3689.933184</v>
      </c>
      <c r="N130">
        <f t="shared" si="26"/>
        <v>396</v>
      </c>
      <c r="O130">
        <f t="shared" si="27"/>
        <v>397</v>
      </c>
      <c r="P130" cm="1">
        <f t="array" ref="P130">INDEX($C$2:$C$14395,$N130,0)</f>
        <v>361.18800000000005</v>
      </c>
      <c r="Q130" cm="1">
        <f t="array" ref="Q130">INDEX($C$2:$C$14395,$O130,0)</f>
        <v>0</v>
      </c>
      <c r="R130" cm="1">
        <f t="array" ref="R130">INDEX($D$2:$D$14395,$N130,0)</f>
        <v>-1209.0989280000001</v>
      </c>
      <c r="S130" cm="1">
        <f t="array" ref="S130">INDEX($D$2:$D$14395,$O130,0)</f>
        <v>0</v>
      </c>
      <c r="T130">
        <f t="shared" si="28"/>
        <v>-12352.277088845773</v>
      </c>
      <c r="U130">
        <f t="shared" si="29"/>
        <v>1242.0523419761646</v>
      </c>
      <c r="V130">
        <f t="shared" si="30"/>
        <v>1235.9935500640859</v>
      </c>
      <c r="W130">
        <f t="shared" si="31"/>
        <v>2472.0673419761647</v>
      </c>
      <c r="X130">
        <f t="shared" si="32"/>
        <v>2639.7923419761646</v>
      </c>
      <c r="Y130">
        <f t="shared" si="33"/>
        <v>1235.9935500640859</v>
      </c>
      <c r="Z130">
        <f t="shared" si="34"/>
        <v>1116.150646043166</v>
      </c>
      <c r="AA130">
        <f t="shared" si="35"/>
        <v>2338.3223419761644</v>
      </c>
    </row>
    <row r="131" spans="1:27" x14ac:dyDescent="0.35">
      <c r="A131">
        <v>387</v>
      </c>
      <c r="B131">
        <v>-3957.74</v>
      </c>
      <c r="C131">
        <f t="shared" si="25"/>
        <v>117.9576</v>
      </c>
      <c r="D131">
        <f t="shared" ref="D131:D194" si="36">B131*0.3048</f>
        <v>-1206.319152</v>
      </c>
      <c r="E131">
        <f t="shared" ref="E131:E194" si="37">D131*-1*1025*9.81/10^5</f>
        <v>121.29840653148</v>
      </c>
      <c r="F131">
        <f t="shared" ref="F131:F194" si="38">1020*D131*-1*9.81/10^5</f>
        <v>120.70670698742401</v>
      </c>
      <c r="G131">
        <f t="shared" ref="G131:G194" si="39">1397.74+E131</f>
        <v>1519.0384065314799</v>
      </c>
      <c r="H131">
        <f t="shared" ref="H131:H194" si="40">F131</f>
        <v>120.70670698742401</v>
      </c>
      <c r="I131">
        <v>1</v>
      </c>
      <c r="J131">
        <f t="shared" ref="J131:J194" si="41">921.1*D131*-1*9.81/10^5</f>
        <v>109.00289000599632</v>
      </c>
      <c r="K131">
        <f t="shared" ref="K131:K194" si="42">1096.27+E131</f>
        <v>1217.5684065314799</v>
      </c>
      <c r="M131">
        <v>3728.0331840000003</v>
      </c>
      <c r="N131">
        <f t="shared" si="26"/>
        <v>396</v>
      </c>
      <c r="O131">
        <f t="shared" si="27"/>
        <v>397</v>
      </c>
      <c r="P131" cm="1">
        <f t="array" ref="P131">INDEX($C$2:$C$14395,$N131,0)</f>
        <v>361.18800000000005</v>
      </c>
      <c r="Q131" cm="1">
        <f t="array" ref="Q131">INDEX($C$2:$C$14395,$O131,0)</f>
        <v>0</v>
      </c>
      <c r="R131" cm="1">
        <f t="array" ref="R131">INDEX($D$2:$D$14395,$N131,0)</f>
        <v>-1209.0989280000001</v>
      </c>
      <c r="S131" cm="1">
        <f t="array" ref="S131">INDEX($D$2:$D$14395,$O131,0)</f>
        <v>0</v>
      </c>
      <c r="T131">
        <f t="shared" si="28"/>
        <v>-12479.819169858431</v>
      </c>
      <c r="U131">
        <f t="shared" si="29"/>
        <v>1254.8770170771897</v>
      </c>
      <c r="V131">
        <f t="shared" si="30"/>
        <v>1248.7556657743744</v>
      </c>
      <c r="W131">
        <f t="shared" si="31"/>
        <v>2484.8920170771898</v>
      </c>
      <c r="X131">
        <f t="shared" si="32"/>
        <v>2652.6170170771898</v>
      </c>
      <c r="Y131">
        <f t="shared" si="33"/>
        <v>1248.7556657743744</v>
      </c>
      <c r="Z131">
        <f t="shared" si="34"/>
        <v>1127.6753370046827</v>
      </c>
      <c r="AA131">
        <f t="shared" si="35"/>
        <v>2351.14701707719</v>
      </c>
    </row>
    <row r="132" spans="1:27" x14ac:dyDescent="0.35">
      <c r="A132">
        <v>390</v>
      </c>
      <c r="B132">
        <v>-3957.76</v>
      </c>
      <c r="C132">
        <f t="shared" ref="C132:C195" si="43">A132*0.3048</f>
        <v>118.872</v>
      </c>
      <c r="D132">
        <f t="shared" si="36"/>
        <v>-1206.3252480000001</v>
      </c>
      <c r="E132">
        <f t="shared" si="37"/>
        <v>121.29901949952001</v>
      </c>
      <c r="F132">
        <f t="shared" si="38"/>
        <v>120.70731696537602</v>
      </c>
      <c r="G132">
        <f t="shared" si="39"/>
        <v>1519.03901949952</v>
      </c>
      <c r="H132">
        <f t="shared" si="40"/>
        <v>120.70731696537602</v>
      </c>
      <c r="I132">
        <v>1</v>
      </c>
      <c r="J132">
        <f t="shared" si="41"/>
        <v>109.0034408400077</v>
      </c>
      <c r="K132">
        <f t="shared" si="42"/>
        <v>1217.56901949952</v>
      </c>
      <c r="M132">
        <v>3766.1331840000003</v>
      </c>
      <c r="N132">
        <f t="shared" ref="N132:N195" si="44">MATCH($M132,$C$2:$C$14395,1)</f>
        <v>396</v>
      </c>
      <c r="O132">
        <f t="shared" ref="O132:O195" si="45">N132+1</f>
        <v>397</v>
      </c>
      <c r="P132" cm="1">
        <f t="array" ref="P132">INDEX($C$2:$C$14395,$N132,0)</f>
        <v>361.18800000000005</v>
      </c>
      <c r="Q132" cm="1">
        <f t="array" ref="Q132">INDEX($C$2:$C$14395,$O132,0)</f>
        <v>0</v>
      </c>
      <c r="R132" cm="1">
        <f t="array" ref="R132">INDEX($D$2:$D$14395,$N132,0)</f>
        <v>-1209.0989280000001</v>
      </c>
      <c r="S132" cm="1">
        <f t="array" ref="S132">INDEX($D$2:$D$14395,$O132,0)</f>
        <v>0</v>
      </c>
      <c r="T132">
        <f t="shared" ref="T132:T195" si="46">FORECAST(M132,R132:S132,P132:Q132)</f>
        <v>-12607.361250871088</v>
      </c>
      <c r="U132">
        <f t="shared" ref="U132:U195" si="47">1025*T132*-1*9.81/10^5</f>
        <v>1267.7016921782151</v>
      </c>
      <c r="V132">
        <f t="shared" ref="V132:V195" si="48">1020*T132*-1*9.81/10^5</f>
        <v>1261.5177814846631</v>
      </c>
      <c r="W132">
        <f t="shared" ref="W132:W195" si="49">1230.015+U132</f>
        <v>2497.7166921782155</v>
      </c>
      <c r="X132">
        <f t="shared" ref="X132:X195" si="50">1397.74+U132</f>
        <v>2665.4416921782149</v>
      </c>
      <c r="Y132">
        <f t="shared" ref="Y132:Y195" si="51">V132</f>
        <v>1261.5177814846631</v>
      </c>
      <c r="Z132">
        <f t="shared" ref="Z132:Z195" si="52">921.1*T132*-1*9.81/10^5</f>
        <v>1139.2000279661991</v>
      </c>
      <c r="AA132">
        <f t="shared" ref="AA132:AA195" si="53">1096.27+U132</f>
        <v>2363.9716921782151</v>
      </c>
    </row>
    <row r="133" spans="1:27" x14ac:dyDescent="0.35">
      <c r="A133">
        <v>393</v>
      </c>
      <c r="B133">
        <v>-3957.79</v>
      </c>
      <c r="C133">
        <f t="shared" si="43"/>
        <v>119.7864</v>
      </c>
      <c r="D133">
        <f t="shared" si="36"/>
        <v>-1206.334392</v>
      </c>
      <c r="E133">
        <f t="shared" si="37"/>
        <v>121.29993895158</v>
      </c>
      <c r="F133">
        <f t="shared" si="38"/>
        <v>120.70823193230402</v>
      </c>
      <c r="G133">
        <f t="shared" si="39"/>
        <v>1519.0399389515801</v>
      </c>
      <c r="H133">
        <f t="shared" si="40"/>
        <v>120.70823193230402</v>
      </c>
      <c r="I133">
        <v>1</v>
      </c>
      <c r="J133">
        <f t="shared" si="41"/>
        <v>109.00426709102474</v>
      </c>
      <c r="K133">
        <f t="shared" si="42"/>
        <v>1217.5699389515801</v>
      </c>
      <c r="M133">
        <v>3804.2331840000002</v>
      </c>
      <c r="N133">
        <f t="shared" si="44"/>
        <v>396</v>
      </c>
      <c r="O133">
        <f t="shared" si="45"/>
        <v>397</v>
      </c>
      <c r="P133" cm="1">
        <f t="array" ref="P133">INDEX($C$2:$C$14395,$N133,0)</f>
        <v>361.18800000000005</v>
      </c>
      <c r="Q133" cm="1">
        <f t="array" ref="Q133">INDEX($C$2:$C$14395,$O133,0)</f>
        <v>0</v>
      </c>
      <c r="R133" cm="1">
        <f t="array" ref="R133">INDEX($D$2:$D$14395,$N133,0)</f>
        <v>-1209.0989280000001</v>
      </c>
      <c r="S133" cm="1">
        <f t="array" ref="S133">INDEX($D$2:$D$14395,$O133,0)</f>
        <v>0</v>
      </c>
      <c r="T133">
        <f t="shared" si="46"/>
        <v>-12734.903331883746</v>
      </c>
      <c r="U133">
        <f t="shared" si="47"/>
        <v>1280.5263672792405</v>
      </c>
      <c r="V133">
        <f t="shared" si="48"/>
        <v>1274.2798971949514</v>
      </c>
      <c r="W133">
        <f t="shared" si="49"/>
        <v>2510.5413672792406</v>
      </c>
      <c r="X133">
        <f t="shared" si="50"/>
        <v>2678.2663672792405</v>
      </c>
      <c r="Y133">
        <f t="shared" si="51"/>
        <v>1274.2798971949514</v>
      </c>
      <c r="Z133">
        <f t="shared" si="52"/>
        <v>1150.7247189277155</v>
      </c>
      <c r="AA133">
        <f t="shared" si="53"/>
        <v>2376.7963672792403</v>
      </c>
    </row>
    <row r="134" spans="1:27" x14ac:dyDescent="0.35">
      <c r="A134">
        <v>396</v>
      </c>
      <c r="B134">
        <v>-3957.82</v>
      </c>
      <c r="C134">
        <f t="shared" si="43"/>
        <v>120.7008</v>
      </c>
      <c r="D134">
        <f t="shared" si="36"/>
        <v>-1206.3435360000001</v>
      </c>
      <c r="E134">
        <f t="shared" si="37"/>
        <v>121.30085840364002</v>
      </c>
      <c r="F134">
        <f t="shared" si="38"/>
        <v>120.70914689923201</v>
      </c>
      <c r="G134">
        <f t="shared" si="39"/>
        <v>1519.04085840364</v>
      </c>
      <c r="H134">
        <f t="shared" si="40"/>
        <v>120.70914689923201</v>
      </c>
      <c r="I134">
        <v>1</v>
      </c>
      <c r="J134">
        <f t="shared" si="41"/>
        <v>109.00509334204176</v>
      </c>
      <c r="K134">
        <f t="shared" si="42"/>
        <v>1217.5708584036399</v>
      </c>
      <c r="M134">
        <v>3842.3331840000001</v>
      </c>
      <c r="N134">
        <f t="shared" si="44"/>
        <v>396</v>
      </c>
      <c r="O134">
        <f t="shared" si="45"/>
        <v>397</v>
      </c>
      <c r="P134" cm="1">
        <f t="array" ref="P134">INDEX($C$2:$C$14395,$N134,0)</f>
        <v>361.18800000000005</v>
      </c>
      <c r="Q134" cm="1">
        <f t="array" ref="Q134">INDEX($C$2:$C$14395,$O134,0)</f>
        <v>0</v>
      </c>
      <c r="R134" cm="1">
        <f t="array" ref="R134">INDEX($D$2:$D$14395,$N134,0)</f>
        <v>-1209.0989280000001</v>
      </c>
      <c r="S134" cm="1">
        <f t="array" ref="S134">INDEX($D$2:$D$14395,$O134,0)</f>
        <v>0</v>
      </c>
      <c r="T134">
        <f t="shared" si="46"/>
        <v>-12862.445412896404</v>
      </c>
      <c r="U134">
        <f t="shared" si="47"/>
        <v>1293.3510423802657</v>
      </c>
      <c r="V134">
        <f t="shared" si="48"/>
        <v>1287.04201290524</v>
      </c>
      <c r="W134">
        <f t="shared" si="49"/>
        <v>2523.3660423802658</v>
      </c>
      <c r="X134">
        <f t="shared" si="50"/>
        <v>2691.0910423802657</v>
      </c>
      <c r="Y134">
        <f t="shared" si="51"/>
        <v>1287.04201290524</v>
      </c>
      <c r="Z134">
        <f t="shared" si="52"/>
        <v>1162.2494098892321</v>
      </c>
      <c r="AA134">
        <f t="shared" si="53"/>
        <v>2389.6210423802659</v>
      </c>
    </row>
    <row r="135" spans="1:27" x14ac:dyDescent="0.35">
      <c r="A135">
        <v>399</v>
      </c>
      <c r="B135">
        <v>-3957.86</v>
      </c>
      <c r="C135">
        <f t="shared" si="43"/>
        <v>121.6152</v>
      </c>
      <c r="D135">
        <f t="shared" si="36"/>
        <v>-1206.355728</v>
      </c>
      <c r="E135">
        <f t="shared" si="37"/>
        <v>121.30208433972</v>
      </c>
      <c r="F135">
        <f t="shared" si="38"/>
        <v>120.710366855136</v>
      </c>
      <c r="G135">
        <f t="shared" si="39"/>
        <v>1519.0420843397201</v>
      </c>
      <c r="H135">
        <f t="shared" si="40"/>
        <v>120.710366855136</v>
      </c>
      <c r="I135">
        <v>1</v>
      </c>
      <c r="J135">
        <f t="shared" si="41"/>
        <v>109.00619501006449</v>
      </c>
      <c r="K135">
        <f t="shared" si="42"/>
        <v>1217.57208433972</v>
      </c>
      <c r="M135">
        <v>3880.433184</v>
      </c>
      <c r="N135">
        <f t="shared" si="44"/>
        <v>396</v>
      </c>
      <c r="O135">
        <f t="shared" si="45"/>
        <v>397</v>
      </c>
      <c r="P135" cm="1">
        <f t="array" ref="P135">INDEX($C$2:$C$14395,$N135,0)</f>
        <v>361.18800000000005</v>
      </c>
      <c r="Q135" cm="1">
        <f t="array" ref="Q135">INDEX($C$2:$C$14395,$O135,0)</f>
        <v>0</v>
      </c>
      <c r="R135" cm="1">
        <f t="array" ref="R135">INDEX($D$2:$D$14395,$N135,0)</f>
        <v>-1209.0989280000001</v>
      </c>
      <c r="S135" cm="1">
        <f t="array" ref="S135">INDEX($D$2:$D$14395,$O135,0)</f>
        <v>0</v>
      </c>
      <c r="T135">
        <f t="shared" si="46"/>
        <v>-12989.987493909062</v>
      </c>
      <c r="U135">
        <f t="shared" si="47"/>
        <v>1306.1757174812913</v>
      </c>
      <c r="V135">
        <f t="shared" si="48"/>
        <v>1299.8041286155287</v>
      </c>
      <c r="W135">
        <f t="shared" si="49"/>
        <v>2536.1907174812914</v>
      </c>
      <c r="X135">
        <f t="shared" si="50"/>
        <v>2703.9157174812913</v>
      </c>
      <c r="Y135">
        <f t="shared" si="51"/>
        <v>1299.8041286155287</v>
      </c>
      <c r="Z135">
        <f t="shared" si="52"/>
        <v>1173.7741008507485</v>
      </c>
      <c r="AA135">
        <f t="shared" si="53"/>
        <v>2402.4457174812915</v>
      </c>
    </row>
    <row r="136" spans="1:27" x14ac:dyDescent="0.35">
      <c r="A136">
        <v>402</v>
      </c>
      <c r="B136">
        <v>-3957.9</v>
      </c>
      <c r="C136">
        <f t="shared" si="43"/>
        <v>122.5296</v>
      </c>
      <c r="D136">
        <f t="shared" si="36"/>
        <v>-1206.3679200000001</v>
      </c>
      <c r="E136">
        <f t="shared" si="37"/>
        <v>121.30331027580003</v>
      </c>
      <c r="F136">
        <f t="shared" si="38"/>
        <v>120.71158681104002</v>
      </c>
      <c r="G136">
        <f t="shared" si="39"/>
        <v>1519.0433102758</v>
      </c>
      <c r="H136">
        <f t="shared" si="40"/>
        <v>120.71158681104002</v>
      </c>
      <c r="I136">
        <v>1</v>
      </c>
      <c r="J136">
        <f t="shared" si="41"/>
        <v>109.00729667808722</v>
      </c>
      <c r="K136">
        <f t="shared" si="42"/>
        <v>1217.5733102757999</v>
      </c>
      <c r="M136">
        <v>3918.5331840000003</v>
      </c>
      <c r="N136">
        <f t="shared" si="44"/>
        <v>396</v>
      </c>
      <c r="O136">
        <f t="shared" si="45"/>
        <v>397</v>
      </c>
      <c r="P136" cm="1">
        <f t="array" ref="P136">INDEX($C$2:$C$14395,$N136,0)</f>
        <v>361.18800000000005</v>
      </c>
      <c r="Q136" cm="1">
        <f t="array" ref="Q136">INDEX($C$2:$C$14395,$O136,0)</f>
        <v>0</v>
      </c>
      <c r="R136" cm="1">
        <f t="array" ref="R136">INDEX($D$2:$D$14395,$N136,0)</f>
        <v>-1209.0989280000001</v>
      </c>
      <c r="S136" cm="1">
        <f t="array" ref="S136">INDEX($D$2:$D$14395,$O136,0)</f>
        <v>0</v>
      </c>
      <c r="T136">
        <f t="shared" si="46"/>
        <v>-13117.529574921722</v>
      </c>
      <c r="U136">
        <f t="shared" si="47"/>
        <v>1319.0003925823166</v>
      </c>
      <c r="V136">
        <f t="shared" si="48"/>
        <v>1312.5662443258175</v>
      </c>
      <c r="W136">
        <f t="shared" si="49"/>
        <v>2549.015392582317</v>
      </c>
      <c r="X136">
        <f t="shared" si="50"/>
        <v>2716.7403925823164</v>
      </c>
      <c r="Y136">
        <f t="shared" si="51"/>
        <v>1312.5662443258175</v>
      </c>
      <c r="Z136">
        <f t="shared" si="52"/>
        <v>1185.2987918122651</v>
      </c>
      <c r="AA136">
        <f t="shared" si="53"/>
        <v>2415.2703925823166</v>
      </c>
    </row>
    <row r="137" spans="1:27" x14ac:dyDescent="0.35">
      <c r="A137">
        <v>405</v>
      </c>
      <c r="B137">
        <v>-3957.95</v>
      </c>
      <c r="C137">
        <f t="shared" si="43"/>
        <v>123.444</v>
      </c>
      <c r="D137">
        <f t="shared" si="36"/>
        <v>-1206.3831600000001</v>
      </c>
      <c r="E137">
        <f t="shared" si="37"/>
        <v>121.30484269590002</v>
      </c>
      <c r="F137">
        <f t="shared" si="38"/>
        <v>120.71311175592</v>
      </c>
      <c r="G137">
        <f t="shared" si="39"/>
        <v>1519.0448426959001</v>
      </c>
      <c r="H137">
        <f t="shared" si="40"/>
        <v>120.71311175592</v>
      </c>
      <c r="I137">
        <v>1</v>
      </c>
      <c r="J137">
        <f t="shared" si="41"/>
        <v>109.00867376311562</v>
      </c>
      <c r="K137">
        <f t="shared" si="42"/>
        <v>1217.5748426959001</v>
      </c>
      <c r="M137">
        <v>3956.6331840000003</v>
      </c>
      <c r="N137">
        <f t="shared" si="44"/>
        <v>396</v>
      </c>
      <c r="O137">
        <f t="shared" si="45"/>
        <v>397</v>
      </c>
      <c r="P137" cm="1">
        <f t="array" ref="P137">INDEX($C$2:$C$14395,$N137,0)</f>
        <v>361.18800000000005</v>
      </c>
      <c r="Q137" cm="1">
        <f t="array" ref="Q137">INDEX($C$2:$C$14395,$O137,0)</f>
        <v>0</v>
      </c>
      <c r="R137" cm="1">
        <f t="array" ref="R137">INDEX($D$2:$D$14395,$N137,0)</f>
        <v>-1209.0989280000001</v>
      </c>
      <c r="S137" cm="1">
        <f t="array" ref="S137">INDEX($D$2:$D$14395,$O137,0)</f>
        <v>0</v>
      </c>
      <c r="T137">
        <f t="shared" si="46"/>
        <v>-13245.07165593438</v>
      </c>
      <c r="U137">
        <f t="shared" si="47"/>
        <v>1331.8250676833418</v>
      </c>
      <c r="V137">
        <f t="shared" si="48"/>
        <v>1325.328360036106</v>
      </c>
      <c r="W137">
        <f t="shared" si="49"/>
        <v>2561.8400676833417</v>
      </c>
      <c r="X137">
        <f t="shared" si="50"/>
        <v>2729.565067683342</v>
      </c>
      <c r="Y137">
        <f t="shared" si="51"/>
        <v>1325.328360036106</v>
      </c>
      <c r="Z137">
        <f t="shared" si="52"/>
        <v>1196.8234827737815</v>
      </c>
      <c r="AA137">
        <f t="shared" si="53"/>
        <v>2428.0950676833418</v>
      </c>
    </row>
    <row r="138" spans="1:27" x14ac:dyDescent="0.35">
      <c r="A138">
        <v>408</v>
      </c>
      <c r="B138">
        <v>-3958</v>
      </c>
      <c r="C138">
        <f t="shared" si="43"/>
        <v>124.3584</v>
      </c>
      <c r="D138">
        <f t="shared" si="36"/>
        <v>-1206.3984</v>
      </c>
      <c r="E138">
        <f t="shared" si="37"/>
        <v>121.30637511600001</v>
      </c>
      <c r="F138">
        <f t="shared" si="38"/>
        <v>120.7146367008</v>
      </c>
      <c r="G138">
        <f t="shared" si="39"/>
        <v>1519.046375116</v>
      </c>
      <c r="H138">
        <f t="shared" si="40"/>
        <v>120.7146367008</v>
      </c>
      <c r="I138">
        <v>1</v>
      </c>
      <c r="J138">
        <f t="shared" si="41"/>
        <v>109.01005084814402</v>
      </c>
      <c r="K138">
        <f t="shared" si="42"/>
        <v>1217.576375116</v>
      </c>
      <c r="M138">
        <v>3994.7331840000002</v>
      </c>
      <c r="N138">
        <f t="shared" si="44"/>
        <v>396</v>
      </c>
      <c r="O138">
        <f t="shared" si="45"/>
        <v>397</v>
      </c>
      <c r="P138" cm="1">
        <f t="array" ref="P138">INDEX($C$2:$C$14395,$N138,0)</f>
        <v>361.18800000000005</v>
      </c>
      <c r="Q138" cm="1">
        <f t="array" ref="Q138">INDEX($C$2:$C$14395,$O138,0)</f>
        <v>0</v>
      </c>
      <c r="R138" cm="1">
        <f t="array" ref="R138">INDEX($D$2:$D$14395,$N138,0)</f>
        <v>-1209.0989280000001</v>
      </c>
      <c r="S138" cm="1">
        <f t="array" ref="S138">INDEX($D$2:$D$14395,$O138,0)</f>
        <v>0</v>
      </c>
      <c r="T138">
        <f t="shared" si="46"/>
        <v>-13372.613736947038</v>
      </c>
      <c r="U138">
        <f t="shared" si="47"/>
        <v>1344.6497427843669</v>
      </c>
      <c r="V138">
        <f t="shared" si="48"/>
        <v>1338.0904757463945</v>
      </c>
      <c r="W138">
        <f t="shared" si="49"/>
        <v>2574.6647427843673</v>
      </c>
      <c r="X138">
        <f t="shared" si="50"/>
        <v>2742.3897427843667</v>
      </c>
      <c r="Y138">
        <f t="shared" si="51"/>
        <v>1338.0904757463945</v>
      </c>
      <c r="Z138">
        <f t="shared" si="52"/>
        <v>1208.3481737352981</v>
      </c>
      <c r="AA138">
        <f t="shared" si="53"/>
        <v>2440.9197427843669</v>
      </c>
    </row>
    <row r="139" spans="1:27" x14ac:dyDescent="0.35">
      <c r="A139">
        <v>411</v>
      </c>
      <c r="B139">
        <v>-3958.03</v>
      </c>
      <c r="C139">
        <f t="shared" si="43"/>
        <v>125.2728</v>
      </c>
      <c r="D139">
        <f t="shared" si="36"/>
        <v>-1206.4075440000001</v>
      </c>
      <c r="E139">
        <f t="shared" si="37"/>
        <v>121.30729456806002</v>
      </c>
      <c r="F139">
        <f t="shared" si="38"/>
        <v>120.71555166772801</v>
      </c>
      <c r="G139">
        <f t="shared" si="39"/>
        <v>1519.0472945680601</v>
      </c>
      <c r="H139">
        <f t="shared" si="40"/>
        <v>120.71555166772801</v>
      </c>
      <c r="I139">
        <v>1</v>
      </c>
      <c r="J139">
        <f t="shared" si="41"/>
        <v>109.01087709916108</v>
      </c>
      <c r="K139">
        <f t="shared" si="42"/>
        <v>1217.5772945680601</v>
      </c>
      <c r="M139">
        <v>4032.8331840000001</v>
      </c>
      <c r="N139">
        <f t="shared" si="44"/>
        <v>396</v>
      </c>
      <c r="O139">
        <f t="shared" si="45"/>
        <v>397</v>
      </c>
      <c r="P139" cm="1">
        <f t="array" ref="P139">INDEX($C$2:$C$14395,$N139,0)</f>
        <v>361.18800000000005</v>
      </c>
      <c r="Q139" cm="1">
        <f t="array" ref="Q139">INDEX($C$2:$C$14395,$O139,0)</f>
        <v>0</v>
      </c>
      <c r="R139" cm="1">
        <f t="array" ref="R139">INDEX($D$2:$D$14395,$N139,0)</f>
        <v>-1209.0989280000001</v>
      </c>
      <c r="S139" cm="1">
        <f t="array" ref="S139">INDEX($D$2:$D$14395,$O139,0)</f>
        <v>0</v>
      </c>
      <c r="T139">
        <f t="shared" si="46"/>
        <v>-13500.155817959696</v>
      </c>
      <c r="U139">
        <f t="shared" si="47"/>
        <v>1357.4744178853923</v>
      </c>
      <c r="V139">
        <f t="shared" si="48"/>
        <v>1350.8525914566831</v>
      </c>
      <c r="W139">
        <f t="shared" si="49"/>
        <v>2587.4894178853924</v>
      </c>
      <c r="X139">
        <f t="shared" si="50"/>
        <v>2755.2144178853923</v>
      </c>
      <c r="Y139">
        <f t="shared" si="51"/>
        <v>1350.8525914566831</v>
      </c>
      <c r="Z139">
        <f t="shared" si="52"/>
        <v>1219.8728646968145</v>
      </c>
      <c r="AA139">
        <f t="shared" si="53"/>
        <v>2453.7444178853921</v>
      </c>
    </row>
    <row r="140" spans="1:27" x14ac:dyDescent="0.35">
      <c r="A140">
        <v>414</v>
      </c>
      <c r="B140">
        <v>-3958.06</v>
      </c>
      <c r="C140">
        <f t="shared" si="43"/>
        <v>126.1872</v>
      </c>
      <c r="D140">
        <f t="shared" si="36"/>
        <v>-1206.416688</v>
      </c>
      <c r="E140">
        <f t="shared" si="37"/>
        <v>121.30821402012002</v>
      </c>
      <c r="F140">
        <f t="shared" si="38"/>
        <v>120.716466634656</v>
      </c>
      <c r="G140">
        <f t="shared" si="39"/>
        <v>1519.04821402012</v>
      </c>
      <c r="H140">
        <f t="shared" si="40"/>
        <v>120.716466634656</v>
      </c>
      <c r="I140">
        <v>1</v>
      </c>
      <c r="J140">
        <f t="shared" si="41"/>
        <v>109.01170335017808</v>
      </c>
      <c r="K140">
        <f t="shared" si="42"/>
        <v>1217.57821402012</v>
      </c>
      <c r="M140">
        <v>4070.933184</v>
      </c>
      <c r="N140">
        <f t="shared" si="44"/>
        <v>396</v>
      </c>
      <c r="O140">
        <f t="shared" si="45"/>
        <v>397</v>
      </c>
      <c r="P140" cm="1">
        <f t="array" ref="P140">INDEX($C$2:$C$14395,$N140,0)</f>
        <v>361.18800000000005</v>
      </c>
      <c r="Q140" cm="1">
        <f t="array" ref="Q140">INDEX($C$2:$C$14395,$O140,0)</f>
        <v>0</v>
      </c>
      <c r="R140" cm="1">
        <f t="array" ref="R140">INDEX($D$2:$D$14395,$N140,0)</f>
        <v>-1209.0989280000001</v>
      </c>
      <c r="S140" cm="1">
        <f t="array" ref="S140">INDEX($D$2:$D$14395,$O140,0)</f>
        <v>0</v>
      </c>
      <c r="T140">
        <f t="shared" si="46"/>
        <v>-13627.697898972354</v>
      </c>
      <c r="U140">
        <f t="shared" si="47"/>
        <v>1370.2990929864177</v>
      </c>
      <c r="V140">
        <f t="shared" si="48"/>
        <v>1363.6147071669718</v>
      </c>
      <c r="W140">
        <f t="shared" si="49"/>
        <v>2600.3140929864176</v>
      </c>
      <c r="X140">
        <f t="shared" si="50"/>
        <v>2768.0390929864179</v>
      </c>
      <c r="Y140">
        <f t="shared" si="51"/>
        <v>1363.6147071669718</v>
      </c>
      <c r="Z140">
        <f t="shared" si="52"/>
        <v>1231.3975556583312</v>
      </c>
      <c r="AA140">
        <f t="shared" si="53"/>
        <v>2466.5690929864177</v>
      </c>
    </row>
    <row r="141" spans="1:27" x14ac:dyDescent="0.35">
      <c r="A141">
        <v>417</v>
      </c>
      <c r="B141">
        <v>-3958.09</v>
      </c>
      <c r="C141">
        <f t="shared" si="43"/>
        <v>127.1016</v>
      </c>
      <c r="D141">
        <f t="shared" si="36"/>
        <v>-1206.4258320000001</v>
      </c>
      <c r="E141">
        <f t="shared" si="37"/>
        <v>121.30913347218004</v>
      </c>
      <c r="F141">
        <f t="shared" si="38"/>
        <v>120.71738160158404</v>
      </c>
      <c r="G141">
        <f t="shared" si="39"/>
        <v>1519.0491334721801</v>
      </c>
      <c r="H141">
        <f t="shared" si="40"/>
        <v>120.71738160158404</v>
      </c>
      <c r="I141">
        <v>1</v>
      </c>
      <c r="J141">
        <f t="shared" si="41"/>
        <v>109.01252960119514</v>
      </c>
      <c r="K141">
        <f t="shared" si="42"/>
        <v>1217.57913347218</v>
      </c>
      <c r="M141">
        <v>4109.0331839999999</v>
      </c>
      <c r="N141">
        <f t="shared" si="44"/>
        <v>396</v>
      </c>
      <c r="O141">
        <f t="shared" si="45"/>
        <v>397</v>
      </c>
      <c r="P141" cm="1">
        <f t="array" ref="P141">INDEX($C$2:$C$14395,$N141,0)</f>
        <v>361.18800000000005</v>
      </c>
      <c r="Q141" cm="1">
        <f t="array" ref="Q141">INDEX($C$2:$C$14395,$O141,0)</f>
        <v>0</v>
      </c>
      <c r="R141" cm="1">
        <f t="array" ref="R141">INDEX($D$2:$D$14395,$N141,0)</f>
        <v>-1209.0989280000001</v>
      </c>
      <c r="S141" cm="1">
        <f t="array" ref="S141">INDEX($D$2:$D$14395,$O141,0)</f>
        <v>0</v>
      </c>
      <c r="T141">
        <f t="shared" si="46"/>
        <v>-13755.239979985012</v>
      </c>
      <c r="U141">
        <f t="shared" si="47"/>
        <v>1383.1237680874428</v>
      </c>
      <c r="V141">
        <f t="shared" si="48"/>
        <v>1376.3768228772601</v>
      </c>
      <c r="W141">
        <f t="shared" si="49"/>
        <v>2613.1387680874432</v>
      </c>
      <c r="X141">
        <f t="shared" si="50"/>
        <v>2780.8637680874426</v>
      </c>
      <c r="Y141">
        <f t="shared" si="51"/>
        <v>1376.3768228772601</v>
      </c>
      <c r="Z141">
        <f t="shared" si="52"/>
        <v>1242.9222466198476</v>
      </c>
      <c r="AA141">
        <f t="shared" si="53"/>
        <v>2479.3937680874428</v>
      </c>
    </row>
    <row r="142" spans="1:27" x14ac:dyDescent="0.35">
      <c r="A142">
        <v>420</v>
      </c>
      <c r="B142">
        <v>-3956.55</v>
      </c>
      <c r="C142">
        <f t="shared" si="43"/>
        <v>128.01600000000002</v>
      </c>
      <c r="D142">
        <f t="shared" si="36"/>
        <v>-1205.9564400000002</v>
      </c>
      <c r="E142">
        <f t="shared" si="37"/>
        <v>121.26193493310002</v>
      </c>
      <c r="F142">
        <f t="shared" si="38"/>
        <v>120.67041329928003</v>
      </c>
      <c r="G142">
        <f t="shared" si="39"/>
        <v>1519.0019349331001</v>
      </c>
      <c r="H142">
        <f t="shared" si="40"/>
        <v>120.67041329928003</v>
      </c>
      <c r="I142">
        <v>1</v>
      </c>
      <c r="J142">
        <f t="shared" si="41"/>
        <v>108.97011538232043</v>
      </c>
      <c r="K142">
        <f t="shared" si="42"/>
        <v>1217.5319349331</v>
      </c>
      <c r="M142">
        <v>4147.1331840000003</v>
      </c>
      <c r="N142">
        <f t="shared" si="44"/>
        <v>396</v>
      </c>
      <c r="O142">
        <f t="shared" si="45"/>
        <v>397</v>
      </c>
      <c r="P142" cm="1">
        <f t="array" ref="P142">INDEX($C$2:$C$14395,$N142,0)</f>
        <v>361.18800000000005</v>
      </c>
      <c r="Q142" cm="1">
        <f t="array" ref="Q142">INDEX($C$2:$C$14395,$O142,0)</f>
        <v>0</v>
      </c>
      <c r="R142" cm="1">
        <f t="array" ref="R142">INDEX($D$2:$D$14395,$N142,0)</f>
        <v>-1209.0989280000001</v>
      </c>
      <c r="S142" cm="1">
        <f t="array" ref="S142">INDEX($D$2:$D$14395,$O142,0)</f>
        <v>0</v>
      </c>
      <c r="T142">
        <f t="shared" si="46"/>
        <v>-13882.782060997672</v>
      </c>
      <c r="U142">
        <f t="shared" si="47"/>
        <v>1395.9484431884684</v>
      </c>
      <c r="V142">
        <f t="shared" si="48"/>
        <v>1389.1389385875491</v>
      </c>
      <c r="W142">
        <f t="shared" si="49"/>
        <v>2625.9634431884688</v>
      </c>
      <c r="X142">
        <f t="shared" si="50"/>
        <v>2793.6884431884682</v>
      </c>
      <c r="Y142">
        <f t="shared" si="51"/>
        <v>1389.1389385875491</v>
      </c>
      <c r="Z142">
        <f t="shared" si="52"/>
        <v>1254.4469375813644</v>
      </c>
      <c r="AA142">
        <f t="shared" si="53"/>
        <v>2492.2184431884684</v>
      </c>
    </row>
    <row r="143" spans="1:27" x14ac:dyDescent="0.35">
      <c r="A143">
        <v>423</v>
      </c>
      <c r="B143">
        <v>-3956.59</v>
      </c>
      <c r="C143">
        <f t="shared" si="43"/>
        <v>128.93040000000002</v>
      </c>
      <c r="D143">
        <f t="shared" si="36"/>
        <v>-1205.9686320000001</v>
      </c>
      <c r="E143">
        <f t="shared" si="37"/>
        <v>121.26316086918003</v>
      </c>
      <c r="F143">
        <f t="shared" si="38"/>
        <v>120.67163325518403</v>
      </c>
      <c r="G143">
        <f t="shared" si="39"/>
        <v>1519.00316086918</v>
      </c>
      <c r="H143">
        <f t="shared" si="40"/>
        <v>120.67163325518403</v>
      </c>
      <c r="I143">
        <v>1</v>
      </c>
      <c r="J143">
        <f t="shared" si="41"/>
        <v>108.97121705034314</v>
      </c>
      <c r="K143">
        <f t="shared" si="42"/>
        <v>1217.5331608691799</v>
      </c>
      <c r="M143">
        <v>4185.2331840000006</v>
      </c>
      <c r="N143">
        <f t="shared" si="44"/>
        <v>396</v>
      </c>
      <c r="O143">
        <f t="shared" si="45"/>
        <v>397</v>
      </c>
      <c r="P143" cm="1">
        <f t="array" ref="P143">INDEX($C$2:$C$14395,$N143,0)</f>
        <v>361.18800000000005</v>
      </c>
      <c r="Q143" cm="1">
        <f t="array" ref="Q143">INDEX($C$2:$C$14395,$O143,0)</f>
        <v>0</v>
      </c>
      <c r="R143" cm="1">
        <f t="array" ref="R143">INDEX($D$2:$D$14395,$N143,0)</f>
        <v>-1209.0989280000001</v>
      </c>
      <c r="S143" cm="1">
        <f t="array" ref="S143">INDEX($D$2:$D$14395,$O143,0)</f>
        <v>0</v>
      </c>
      <c r="T143">
        <f t="shared" si="46"/>
        <v>-14010.324142010331</v>
      </c>
      <c r="U143">
        <f t="shared" si="47"/>
        <v>1408.7731182894938</v>
      </c>
      <c r="V143">
        <f t="shared" si="48"/>
        <v>1401.9010542978378</v>
      </c>
      <c r="W143">
        <f t="shared" si="49"/>
        <v>2638.7881182894939</v>
      </c>
      <c r="X143">
        <f t="shared" si="50"/>
        <v>2806.5131182894938</v>
      </c>
      <c r="Y143">
        <f t="shared" si="51"/>
        <v>1401.9010542978378</v>
      </c>
      <c r="Z143">
        <f t="shared" si="52"/>
        <v>1265.9716285428808</v>
      </c>
      <c r="AA143">
        <f t="shared" si="53"/>
        <v>2505.0431182894936</v>
      </c>
    </row>
    <row r="144" spans="1:27" x14ac:dyDescent="0.35">
      <c r="A144">
        <v>426</v>
      </c>
      <c r="B144">
        <v>-3956.63</v>
      </c>
      <c r="C144">
        <f t="shared" si="43"/>
        <v>129.84480000000002</v>
      </c>
      <c r="D144">
        <f t="shared" si="36"/>
        <v>-1205.980824</v>
      </c>
      <c r="E144">
        <f t="shared" si="37"/>
        <v>121.26438680525999</v>
      </c>
      <c r="F144">
        <f t="shared" si="38"/>
        <v>120.672853211088</v>
      </c>
      <c r="G144">
        <f t="shared" si="39"/>
        <v>1519.0043868052601</v>
      </c>
      <c r="H144">
        <f t="shared" si="40"/>
        <v>120.672853211088</v>
      </c>
      <c r="I144">
        <v>1</v>
      </c>
      <c r="J144">
        <f t="shared" si="41"/>
        <v>108.97231871836586</v>
      </c>
      <c r="K144">
        <f t="shared" si="42"/>
        <v>1217.5343868052601</v>
      </c>
      <c r="M144">
        <v>4223.3331840000001</v>
      </c>
      <c r="N144">
        <f t="shared" si="44"/>
        <v>396</v>
      </c>
      <c r="O144">
        <f t="shared" si="45"/>
        <v>397</v>
      </c>
      <c r="P144" cm="1">
        <f t="array" ref="P144">INDEX($C$2:$C$14395,$N144,0)</f>
        <v>361.18800000000005</v>
      </c>
      <c r="Q144" cm="1">
        <f t="array" ref="Q144">INDEX($C$2:$C$14395,$O144,0)</f>
        <v>0</v>
      </c>
      <c r="R144" cm="1">
        <f t="array" ref="R144">INDEX($D$2:$D$14395,$N144,0)</f>
        <v>-1209.0989280000001</v>
      </c>
      <c r="S144" cm="1">
        <f t="array" ref="S144">INDEX($D$2:$D$14395,$O144,0)</f>
        <v>0</v>
      </c>
      <c r="T144">
        <f t="shared" si="46"/>
        <v>-14137.866223022987</v>
      </c>
      <c r="U144">
        <f t="shared" si="47"/>
        <v>1421.597793390519</v>
      </c>
      <c r="V144">
        <f t="shared" si="48"/>
        <v>1414.6631700081261</v>
      </c>
      <c r="W144">
        <f t="shared" si="49"/>
        <v>2651.6127933905191</v>
      </c>
      <c r="X144">
        <f t="shared" si="50"/>
        <v>2819.337793390519</v>
      </c>
      <c r="Y144">
        <f t="shared" si="51"/>
        <v>1414.6631700081261</v>
      </c>
      <c r="Z144">
        <f t="shared" si="52"/>
        <v>1277.496319504397</v>
      </c>
      <c r="AA144">
        <f t="shared" si="53"/>
        <v>2517.8677933905192</v>
      </c>
    </row>
    <row r="145" spans="1:27" x14ac:dyDescent="0.35">
      <c r="A145">
        <v>429</v>
      </c>
      <c r="B145">
        <v>-3956.67</v>
      </c>
      <c r="C145">
        <f t="shared" si="43"/>
        <v>130.75919999999999</v>
      </c>
      <c r="D145">
        <f t="shared" si="36"/>
        <v>-1205.9930160000001</v>
      </c>
      <c r="E145">
        <f t="shared" si="37"/>
        <v>121.26561274134001</v>
      </c>
      <c r="F145">
        <f t="shared" si="38"/>
        <v>120.67407316699202</v>
      </c>
      <c r="G145">
        <f t="shared" si="39"/>
        <v>1519.00561274134</v>
      </c>
      <c r="H145">
        <f t="shared" si="40"/>
        <v>120.67407316699202</v>
      </c>
      <c r="I145">
        <v>1</v>
      </c>
      <c r="J145">
        <f t="shared" si="41"/>
        <v>108.97342038638858</v>
      </c>
      <c r="K145">
        <f t="shared" si="42"/>
        <v>1217.5356127413399</v>
      </c>
      <c r="M145">
        <v>4261.4331840000004</v>
      </c>
      <c r="N145">
        <f t="shared" si="44"/>
        <v>396</v>
      </c>
      <c r="O145">
        <f t="shared" si="45"/>
        <v>397</v>
      </c>
      <c r="P145" cm="1">
        <f t="array" ref="P145">INDEX($C$2:$C$14395,$N145,0)</f>
        <v>361.18800000000005</v>
      </c>
      <c r="Q145" cm="1">
        <f t="array" ref="Q145">INDEX($C$2:$C$14395,$O145,0)</f>
        <v>0</v>
      </c>
      <c r="R145" cm="1">
        <f t="array" ref="R145">INDEX($D$2:$D$14395,$N145,0)</f>
        <v>-1209.0989280000001</v>
      </c>
      <c r="S145" cm="1">
        <f t="array" ref="S145">INDEX($D$2:$D$14395,$O145,0)</f>
        <v>0</v>
      </c>
      <c r="T145">
        <f t="shared" si="46"/>
        <v>-14265.408304035647</v>
      </c>
      <c r="U145">
        <f t="shared" si="47"/>
        <v>1434.4224684915444</v>
      </c>
      <c r="V145">
        <f t="shared" si="48"/>
        <v>1427.4252857184151</v>
      </c>
      <c r="W145">
        <f t="shared" si="49"/>
        <v>2664.4374684915447</v>
      </c>
      <c r="X145">
        <f t="shared" si="50"/>
        <v>2832.1624684915441</v>
      </c>
      <c r="Y145">
        <f t="shared" si="51"/>
        <v>1427.4252857184151</v>
      </c>
      <c r="Z145">
        <f t="shared" si="52"/>
        <v>1289.0210104659138</v>
      </c>
      <c r="AA145">
        <f t="shared" si="53"/>
        <v>2530.6924684915443</v>
      </c>
    </row>
    <row r="146" spans="1:27" x14ac:dyDescent="0.35">
      <c r="A146">
        <v>432</v>
      </c>
      <c r="B146">
        <v>-3956.69</v>
      </c>
      <c r="C146">
        <f t="shared" si="43"/>
        <v>131.67359999999999</v>
      </c>
      <c r="D146">
        <f t="shared" si="36"/>
        <v>-1205.999112</v>
      </c>
      <c r="E146">
        <f t="shared" si="37"/>
        <v>121.26622570938001</v>
      </c>
      <c r="F146">
        <f t="shared" si="38"/>
        <v>120.67468314494401</v>
      </c>
      <c r="G146">
        <f t="shared" si="39"/>
        <v>1519.00622570938</v>
      </c>
      <c r="H146">
        <f t="shared" si="40"/>
        <v>120.67468314494401</v>
      </c>
      <c r="I146">
        <v>1</v>
      </c>
      <c r="J146">
        <f t="shared" si="41"/>
        <v>108.97397122039992</v>
      </c>
      <c r="K146">
        <f t="shared" si="42"/>
        <v>1217.53622570938</v>
      </c>
      <c r="M146">
        <v>4299.5331839999999</v>
      </c>
      <c r="N146">
        <f t="shared" si="44"/>
        <v>396</v>
      </c>
      <c r="O146">
        <f t="shared" si="45"/>
        <v>397</v>
      </c>
      <c r="P146" cm="1">
        <f t="array" ref="P146">INDEX($C$2:$C$14395,$N146,0)</f>
        <v>361.18800000000005</v>
      </c>
      <c r="Q146" cm="1">
        <f t="array" ref="Q146">INDEX($C$2:$C$14395,$O146,0)</f>
        <v>0</v>
      </c>
      <c r="R146" cm="1">
        <f t="array" ref="R146">INDEX($D$2:$D$14395,$N146,0)</f>
        <v>-1209.0989280000001</v>
      </c>
      <c r="S146" cm="1">
        <f t="array" ref="S146">INDEX($D$2:$D$14395,$O146,0)</f>
        <v>0</v>
      </c>
      <c r="T146">
        <f t="shared" si="46"/>
        <v>-14392.950385048303</v>
      </c>
      <c r="U146">
        <f t="shared" si="47"/>
        <v>1447.2471435925695</v>
      </c>
      <c r="V146">
        <f t="shared" si="48"/>
        <v>1440.1874014287034</v>
      </c>
      <c r="W146">
        <f t="shared" si="49"/>
        <v>2677.2621435925694</v>
      </c>
      <c r="X146">
        <f t="shared" si="50"/>
        <v>2844.9871435925697</v>
      </c>
      <c r="Y146">
        <f t="shared" si="51"/>
        <v>1440.1874014287034</v>
      </c>
      <c r="Z146">
        <f t="shared" si="52"/>
        <v>1300.54570142743</v>
      </c>
      <c r="AA146">
        <f t="shared" si="53"/>
        <v>2543.5171435925695</v>
      </c>
    </row>
    <row r="147" spans="1:27" x14ac:dyDescent="0.35">
      <c r="A147">
        <v>435</v>
      </c>
      <c r="B147">
        <v>-3956.71</v>
      </c>
      <c r="C147">
        <f t="shared" si="43"/>
        <v>132.58799999999999</v>
      </c>
      <c r="D147">
        <f t="shared" si="36"/>
        <v>-1206.005208</v>
      </c>
      <c r="E147">
        <f t="shared" si="37"/>
        <v>121.26683867742003</v>
      </c>
      <c r="F147">
        <f t="shared" si="38"/>
        <v>120.67529312289601</v>
      </c>
      <c r="G147">
        <f t="shared" si="39"/>
        <v>1519.0068386774201</v>
      </c>
      <c r="H147">
        <f t="shared" si="40"/>
        <v>120.67529312289601</v>
      </c>
      <c r="I147">
        <v>1</v>
      </c>
      <c r="J147">
        <f t="shared" si="41"/>
        <v>108.97452205441131</v>
      </c>
      <c r="K147">
        <f t="shared" si="42"/>
        <v>1217.5368386774201</v>
      </c>
      <c r="M147">
        <v>4329.9423180000003</v>
      </c>
      <c r="N147">
        <f t="shared" si="44"/>
        <v>396</v>
      </c>
      <c r="O147">
        <f t="shared" si="45"/>
        <v>397</v>
      </c>
      <c r="P147" cm="1">
        <f t="array" ref="P147">INDEX($C$2:$C$14395,$N147,0)</f>
        <v>361.18800000000005</v>
      </c>
      <c r="Q147" cm="1">
        <f t="array" ref="Q147">INDEX($C$2:$C$14395,$O147,0)</f>
        <v>0</v>
      </c>
      <c r="R147" cm="1">
        <f t="array" ref="R147">INDEX($D$2:$D$14395,$N147,0)</f>
        <v>-1209.0989280000001</v>
      </c>
      <c r="S147" cm="1">
        <f t="array" ref="S147">INDEX($D$2:$D$14395,$O147,0)</f>
        <v>0</v>
      </c>
      <c r="T147">
        <f t="shared" si="46"/>
        <v>-14494.746821587747</v>
      </c>
      <c r="U147">
        <f t="shared" si="47"/>
        <v>1457.4830297777021</v>
      </c>
      <c r="V147">
        <f t="shared" si="48"/>
        <v>1450.373356461713</v>
      </c>
      <c r="W147">
        <f t="shared" si="49"/>
        <v>2687.498029777702</v>
      </c>
      <c r="X147">
        <f t="shared" si="50"/>
        <v>2855.2230297777023</v>
      </c>
      <c r="Y147">
        <f t="shared" si="51"/>
        <v>1450.373356461713</v>
      </c>
      <c r="Z147">
        <f t="shared" si="52"/>
        <v>1309.7440182714549</v>
      </c>
      <c r="AA147">
        <f t="shared" si="53"/>
        <v>2553.7530297777021</v>
      </c>
    </row>
    <row r="148" spans="1:27" x14ac:dyDescent="0.35">
      <c r="A148">
        <v>438</v>
      </c>
      <c r="B148">
        <v>-3956.73</v>
      </c>
      <c r="C148">
        <f t="shared" si="43"/>
        <v>133.50239999999999</v>
      </c>
      <c r="D148">
        <f t="shared" si="36"/>
        <v>-1206.0113040000001</v>
      </c>
      <c r="E148">
        <f t="shared" si="37"/>
        <v>121.26745164546001</v>
      </c>
      <c r="F148">
        <f t="shared" si="38"/>
        <v>120.67590310084803</v>
      </c>
      <c r="G148">
        <f t="shared" si="39"/>
        <v>1519.0074516454599</v>
      </c>
      <c r="H148">
        <f t="shared" si="40"/>
        <v>120.67590310084803</v>
      </c>
      <c r="I148">
        <v>1</v>
      </c>
      <c r="J148">
        <f t="shared" si="41"/>
        <v>108.97507288842264</v>
      </c>
      <c r="K148">
        <f t="shared" si="42"/>
        <v>1217.5374516454599</v>
      </c>
      <c r="M148">
        <v>4352.660586</v>
      </c>
      <c r="N148">
        <f t="shared" si="44"/>
        <v>396</v>
      </c>
      <c r="O148">
        <f t="shared" si="45"/>
        <v>397</v>
      </c>
      <c r="P148" cm="1">
        <f t="array" ref="P148">INDEX($C$2:$C$14395,$N148,0)</f>
        <v>361.18800000000005</v>
      </c>
      <c r="Q148" cm="1">
        <f t="array" ref="Q148">INDEX($C$2:$C$14395,$O148,0)</f>
        <v>0</v>
      </c>
      <c r="R148" cm="1">
        <f t="array" ref="R148">INDEX($D$2:$D$14395,$N148,0)</f>
        <v>-1209.0989280000001</v>
      </c>
      <c r="S148" cm="1">
        <f t="array" ref="S148">INDEX($D$2:$D$14395,$O148,0)</f>
        <v>0</v>
      </c>
      <c r="T148">
        <f t="shared" si="46"/>
        <v>-14570.797613653975</v>
      </c>
      <c r="U148">
        <f t="shared" si="47"/>
        <v>1465.1301270469414</v>
      </c>
      <c r="V148">
        <f t="shared" si="48"/>
        <v>1457.9831508174441</v>
      </c>
      <c r="W148">
        <f t="shared" si="49"/>
        <v>2695.1451270469415</v>
      </c>
      <c r="X148">
        <f t="shared" si="50"/>
        <v>2862.8701270469414</v>
      </c>
      <c r="Y148">
        <f t="shared" si="51"/>
        <v>1457.9831508174441</v>
      </c>
      <c r="Z148">
        <f t="shared" si="52"/>
        <v>1316.6159609979879</v>
      </c>
      <c r="AA148">
        <f t="shared" si="53"/>
        <v>2561.4001270469416</v>
      </c>
    </row>
    <row r="149" spans="1:27" x14ac:dyDescent="0.35">
      <c r="A149">
        <v>441</v>
      </c>
      <c r="B149">
        <v>-3956.76</v>
      </c>
      <c r="C149">
        <f t="shared" si="43"/>
        <v>134.41679999999999</v>
      </c>
      <c r="D149">
        <f t="shared" si="36"/>
        <v>-1206.0204480000002</v>
      </c>
      <c r="E149">
        <f t="shared" si="37"/>
        <v>121.26837109752002</v>
      </c>
      <c r="F149">
        <f t="shared" si="38"/>
        <v>120.67681806777603</v>
      </c>
      <c r="G149">
        <f t="shared" si="39"/>
        <v>1519.00837109752</v>
      </c>
      <c r="H149">
        <f t="shared" si="40"/>
        <v>120.67681806777603</v>
      </c>
      <c r="I149">
        <v>1</v>
      </c>
      <c r="J149">
        <f t="shared" si="41"/>
        <v>108.9758991394397</v>
      </c>
      <c r="K149">
        <f t="shared" si="42"/>
        <v>1217.53837109752</v>
      </c>
      <c r="M149">
        <v>4375.3773300000003</v>
      </c>
      <c r="N149">
        <f t="shared" si="44"/>
        <v>396</v>
      </c>
      <c r="O149">
        <f t="shared" si="45"/>
        <v>397</v>
      </c>
      <c r="P149" cm="1">
        <f t="array" ref="P149">INDEX($C$2:$C$14395,$N149,0)</f>
        <v>361.18800000000005</v>
      </c>
      <c r="Q149" cm="1">
        <f t="array" ref="Q149">INDEX($C$2:$C$14395,$O149,0)</f>
        <v>0</v>
      </c>
      <c r="R149" cm="1">
        <f t="array" ref="R149">INDEX($D$2:$D$14395,$N149,0)</f>
        <v>-1209.0989280000001</v>
      </c>
      <c r="S149" cm="1">
        <f t="array" ref="S149">INDEX($D$2:$D$14395,$O149,0)</f>
        <v>0</v>
      </c>
      <c r="T149">
        <f t="shared" si="46"/>
        <v>-14646.843304036964</v>
      </c>
      <c r="U149">
        <f t="shared" si="47"/>
        <v>1472.7767113291768</v>
      </c>
      <c r="V149">
        <f t="shared" si="48"/>
        <v>1465.5924346885467</v>
      </c>
      <c r="W149">
        <f t="shared" si="49"/>
        <v>2702.7917113291769</v>
      </c>
      <c r="X149">
        <f t="shared" si="50"/>
        <v>2870.5167113291768</v>
      </c>
      <c r="Y149">
        <f t="shared" si="51"/>
        <v>1465.5924346885467</v>
      </c>
      <c r="Z149">
        <f t="shared" si="52"/>
        <v>1323.4874427368827</v>
      </c>
      <c r="AA149">
        <f t="shared" si="53"/>
        <v>2569.046711329177</v>
      </c>
    </row>
    <row r="150" spans="1:27" x14ac:dyDescent="0.35">
      <c r="A150">
        <v>444</v>
      </c>
      <c r="B150">
        <v>-3956.79</v>
      </c>
      <c r="C150">
        <f t="shared" si="43"/>
        <v>135.3312</v>
      </c>
      <c r="D150">
        <f t="shared" si="36"/>
        <v>-1206.0295920000001</v>
      </c>
      <c r="E150">
        <f t="shared" si="37"/>
        <v>121.26929054958001</v>
      </c>
      <c r="F150">
        <f t="shared" si="38"/>
        <v>120.677733034704</v>
      </c>
      <c r="G150">
        <f t="shared" si="39"/>
        <v>1519.0092905495801</v>
      </c>
      <c r="H150">
        <f t="shared" si="40"/>
        <v>120.677733034704</v>
      </c>
      <c r="I150">
        <v>1</v>
      </c>
      <c r="J150">
        <f t="shared" si="41"/>
        <v>108.97672539045675</v>
      </c>
      <c r="K150">
        <f t="shared" si="42"/>
        <v>1217.5392905495801</v>
      </c>
      <c r="M150">
        <v>4398.0925500000003</v>
      </c>
      <c r="N150">
        <f t="shared" si="44"/>
        <v>396</v>
      </c>
      <c r="O150">
        <f t="shared" si="45"/>
        <v>397</v>
      </c>
      <c r="P150" cm="1">
        <f t="array" ref="P150">INDEX($C$2:$C$14395,$N150,0)</f>
        <v>361.18800000000005</v>
      </c>
      <c r="Q150" cm="1">
        <f t="array" ref="Q150">INDEX($C$2:$C$14395,$O150,0)</f>
        <v>0</v>
      </c>
      <c r="R150" cm="1">
        <f t="array" ref="R150">INDEX($D$2:$D$14395,$N150,0)</f>
        <v>-1209.0989280000001</v>
      </c>
      <c r="S150" cm="1">
        <f t="array" ref="S150">INDEX($D$2:$D$14395,$O150,0)</f>
        <v>0</v>
      </c>
      <c r="T150">
        <f t="shared" si="46"/>
        <v>-14722.883892736711</v>
      </c>
      <c r="U150">
        <f t="shared" si="47"/>
        <v>1480.4227826244082</v>
      </c>
      <c r="V150">
        <f t="shared" si="48"/>
        <v>1473.2012080750205</v>
      </c>
      <c r="W150">
        <f t="shared" si="49"/>
        <v>2710.4377826244081</v>
      </c>
      <c r="X150">
        <f t="shared" si="50"/>
        <v>2878.1627826244085</v>
      </c>
      <c r="Y150">
        <f t="shared" si="51"/>
        <v>1473.2012080750205</v>
      </c>
      <c r="Z150">
        <f t="shared" si="52"/>
        <v>1330.358463488139</v>
      </c>
      <c r="AA150">
        <f t="shared" si="53"/>
        <v>2576.6927826244082</v>
      </c>
    </row>
    <row r="151" spans="1:27" x14ac:dyDescent="0.35">
      <c r="A151">
        <v>447</v>
      </c>
      <c r="B151">
        <v>-3956.84</v>
      </c>
      <c r="C151">
        <f t="shared" si="43"/>
        <v>136.2456</v>
      </c>
      <c r="D151">
        <f t="shared" si="36"/>
        <v>-1206.044832</v>
      </c>
      <c r="E151">
        <f t="shared" si="37"/>
        <v>121.27082296968001</v>
      </c>
      <c r="F151">
        <f t="shared" si="38"/>
        <v>120.67925797958402</v>
      </c>
      <c r="G151">
        <f t="shared" si="39"/>
        <v>1519.01082296968</v>
      </c>
      <c r="H151">
        <f t="shared" si="40"/>
        <v>120.67925797958402</v>
      </c>
      <c r="I151">
        <v>1</v>
      </c>
      <c r="J151">
        <f t="shared" si="41"/>
        <v>108.97810247548513</v>
      </c>
      <c r="K151">
        <f t="shared" si="42"/>
        <v>1217.54082296968</v>
      </c>
      <c r="M151">
        <v>4420.8054840000304</v>
      </c>
      <c r="N151">
        <f t="shared" si="44"/>
        <v>396</v>
      </c>
      <c r="O151">
        <f t="shared" si="45"/>
        <v>397</v>
      </c>
      <c r="P151" cm="1">
        <f t="array" ref="P151">INDEX($C$2:$C$14395,$N151,0)</f>
        <v>361.18800000000005</v>
      </c>
      <c r="Q151" cm="1">
        <f t="array" ref="Q151">INDEX($C$2:$C$14395,$O151,0)</f>
        <v>0</v>
      </c>
      <c r="R151" cm="1">
        <f t="array" ref="R151">INDEX($D$2:$D$14395,$N151,0)</f>
        <v>-1209.0989280000001</v>
      </c>
      <c r="S151" cm="1">
        <f t="array" ref="S151">INDEX($D$2:$D$14395,$O151,0)</f>
        <v>0</v>
      </c>
      <c r="T151">
        <f t="shared" si="46"/>
        <v>-14798.916828911697</v>
      </c>
      <c r="U151">
        <f t="shared" si="47"/>
        <v>1488.0680844391436</v>
      </c>
      <c r="V151">
        <f t="shared" si="48"/>
        <v>1480.8092157345623</v>
      </c>
      <c r="W151">
        <f t="shared" si="49"/>
        <v>2718.0830844391439</v>
      </c>
      <c r="X151">
        <f t="shared" si="50"/>
        <v>2885.8080844391434</v>
      </c>
      <c r="Y151">
        <f t="shared" si="51"/>
        <v>1480.8092157345623</v>
      </c>
      <c r="Z151">
        <f t="shared" si="52"/>
        <v>1337.2287927579464</v>
      </c>
      <c r="AA151">
        <f t="shared" si="53"/>
        <v>2584.3380844391436</v>
      </c>
    </row>
    <row r="152" spans="1:27" x14ac:dyDescent="0.35">
      <c r="A152">
        <v>450</v>
      </c>
      <c r="B152">
        <v>-3956.89</v>
      </c>
      <c r="C152">
        <f t="shared" si="43"/>
        <v>137.16</v>
      </c>
      <c r="D152">
        <f t="shared" si="36"/>
        <v>-1206.060072</v>
      </c>
      <c r="E152">
        <f t="shared" si="37"/>
        <v>121.27235538977999</v>
      </c>
      <c r="F152">
        <f t="shared" si="38"/>
        <v>120.680782924464</v>
      </c>
      <c r="G152">
        <f t="shared" si="39"/>
        <v>1519.0123553897799</v>
      </c>
      <c r="H152">
        <f t="shared" si="40"/>
        <v>120.680782924464</v>
      </c>
      <c r="I152">
        <v>1</v>
      </c>
      <c r="J152">
        <f t="shared" si="41"/>
        <v>108.97947956051354</v>
      </c>
      <c r="K152">
        <f t="shared" si="42"/>
        <v>1217.5423553897799</v>
      </c>
      <c r="M152">
        <v>4443.5161320000307</v>
      </c>
      <c r="N152">
        <f t="shared" si="44"/>
        <v>396</v>
      </c>
      <c r="O152">
        <f t="shared" si="45"/>
        <v>397</v>
      </c>
      <c r="P152" cm="1">
        <f t="array" ref="P152">INDEX($C$2:$C$14395,$N152,0)</f>
        <v>361.18800000000005</v>
      </c>
      <c r="Q152" cm="1">
        <f t="array" ref="Q152">INDEX($C$2:$C$14395,$O152,0)</f>
        <v>0</v>
      </c>
      <c r="R152" cm="1">
        <f t="array" ref="R152">INDEX($D$2:$D$14395,$N152,0)</f>
        <v>-1209.0989280000001</v>
      </c>
      <c r="S152" cm="1">
        <f t="array" ref="S152">INDEX($D$2:$D$14395,$O152,0)</f>
        <v>0</v>
      </c>
      <c r="T152">
        <f t="shared" si="46"/>
        <v>-14874.942112561723</v>
      </c>
      <c r="U152">
        <f t="shared" si="47"/>
        <v>1495.7126167733627</v>
      </c>
      <c r="V152">
        <f t="shared" si="48"/>
        <v>1488.416457667151</v>
      </c>
      <c r="W152">
        <f t="shared" si="49"/>
        <v>2725.7276167733626</v>
      </c>
      <c r="X152">
        <f t="shared" si="50"/>
        <v>2893.4526167733629</v>
      </c>
      <c r="Y152">
        <f t="shared" si="51"/>
        <v>1488.416457667151</v>
      </c>
      <c r="Z152">
        <f t="shared" si="52"/>
        <v>1344.0984305462873</v>
      </c>
      <c r="AA152">
        <f t="shared" si="53"/>
        <v>2591.9826167733627</v>
      </c>
    </row>
    <row r="153" spans="1:27" x14ac:dyDescent="0.35">
      <c r="A153">
        <v>453</v>
      </c>
      <c r="B153">
        <v>-3956.94</v>
      </c>
      <c r="C153">
        <f t="shared" si="43"/>
        <v>138.0744</v>
      </c>
      <c r="D153">
        <f t="shared" si="36"/>
        <v>-1206.0753120000002</v>
      </c>
      <c r="E153">
        <f t="shared" si="37"/>
        <v>121.27388780988002</v>
      </c>
      <c r="F153">
        <f t="shared" si="38"/>
        <v>120.68230786934402</v>
      </c>
      <c r="G153">
        <f t="shared" si="39"/>
        <v>1519.0138878098801</v>
      </c>
      <c r="H153">
        <f t="shared" si="40"/>
        <v>120.68230786934402</v>
      </c>
      <c r="I153">
        <v>1</v>
      </c>
      <c r="J153">
        <f t="shared" si="41"/>
        <v>108.98085664554195</v>
      </c>
      <c r="K153">
        <f t="shared" si="42"/>
        <v>1217.5438878098801</v>
      </c>
      <c r="M153">
        <v>4466.2435440000309</v>
      </c>
      <c r="N153">
        <f t="shared" si="44"/>
        <v>396</v>
      </c>
      <c r="O153">
        <f t="shared" si="45"/>
        <v>397</v>
      </c>
      <c r="P153" cm="1">
        <f t="array" ref="P153">INDEX($C$2:$C$14395,$N153,0)</f>
        <v>361.18800000000005</v>
      </c>
      <c r="Q153" cm="1">
        <f t="array" ref="Q153">INDEX($C$2:$C$14395,$O153,0)</f>
        <v>0</v>
      </c>
      <c r="R153" cm="1">
        <f t="array" ref="R153">INDEX($D$2:$D$14395,$N153,0)</f>
        <v>-1209.0989280000001</v>
      </c>
      <c r="S153" cm="1">
        <f t="array" ref="S153">INDEX($D$2:$D$14395,$O153,0)</f>
        <v>0</v>
      </c>
      <c r="T153">
        <f t="shared" si="46"/>
        <v>-14951.023514727394</v>
      </c>
      <c r="U153">
        <f t="shared" si="47"/>
        <v>1503.3627919646262</v>
      </c>
      <c r="V153">
        <f t="shared" si="48"/>
        <v>1496.0293149306524</v>
      </c>
      <c r="W153">
        <f t="shared" si="49"/>
        <v>2733.3777919646263</v>
      </c>
      <c r="X153">
        <f t="shared" si="50"/>
        <v>2901.1027919646262</v>
      </c>
      <c r="Y153">
        <f t="shared" si="51"/>
        <v>1496.0293149306524</v>
      </c>
      <c r="Z153">
        <f t="shared" si="52"/>
        <v>1350.9731391986511</v>
      </c>
      <c r="AA153">
        <f t="shared" si="53"/>
        <v>2599.6327919646264</v>
      </c>
    </row>
    <row r="154" spans="1:27" x14ac:dyDescent="0.35">
      <c r="A154">
        <v>456</v>
      </c>
      <c r="B154">
        <v>-3956.98</v>
      </c>
      <c r="C154">
        <f t="shared" si="43"/>
        <v>138.9888</v>
      </c>
      <c r="D154">
        <f t="shared" si="36"/>
        <v>-1206.0875040000001</v>
      </c>
      <c r="E154">
        <f t="shared" si="37"/>
        <v>121.27511374596001</v>
      </c>
      <c r="F154">
        <f t="shared" si="38"/>
        <v>120.68352782524802</v>
      </c>
      <c r="G154">
        <f t="shared" si="39"/>
        <v>1519.01511374596</v>
      </c>
      <c r="H154">
        <f t="shared" si="40"/>
        <v>120.68352782524802</v>
      </c>
      <c r="I154">
        <v>1</v>
      </c>
      <c r="J154">
        <f t="shared" si="41"/>
        <v>108.98195831356466</v>
      </c>
      <c r="K154">
        <f t="shared" si="42"/>
        <v>1217.54511374596</v>
      </c>
      <c r="M154">
        <v>4488.987720000031</v>
      </c>
      <c r="N154">
        <f t="shared" si="44"/>
        <v>396</v>
      </c>
      <c r="O154">
        <f t="shared" si="45"/>
        <v>397</v>
      </c>
      <c r="P154" cm="1">
        <f t="array" ref="P154">INDEX($C$2:$C$14395,$N154,0)</f>
        <v>361.18800000000005</v>
      </c>
      <c r="Q154" cm="1">
        <f t="array" ref="Q154">INDEX($C$2:$C$14395,$O154,0)</f>
        <v>0</v>
      </c>
      <c r="R154" cm="1">
        <f t="array" ref="R154">INDEX($D$2:$D$14395,$N154,0)</f>
        <v>-1209.0989280000001</v>
      </c>
      <c r="S154" cm="1">
        <f t="array" ref="S154">INDEX($D$2:$D$14395,$O154,0)</f>
        <v>0</v>
      </c>
      <c r="T154">
        <f t="shared" si="46"/>
        <v>-15027.161035408712</v>
      </c>
      <c r="U154">
        <f t="shared" si="47"/>
        <v>1511.0186100129345</v>
      </c>
      <c r="V154">
        <f t="shared" si="48"/>
        <v>1503.6477875250664</v>
      </c>
      <c r="W154">
        <f t="shared" si="49"/>
        <v>2741.0336100129343</v>
      </c>
      <c r="X154">
        <f t="shared" si="50"/>
        <v>2908.7586100129347</v>
      </c>
      <c r="Y154">
        <f t="shared" si="51"/>
        <v>1503.6477875250664</v>
      </c>
      <c r="Z154">
        <f t="shared" si="52"/>
        <v>1357.852918715038</v>
      </c>
      <c r="AA154">
        <f t="shared" si="53"/>
        <v>2607.2886100129344</v>
      </c>
    </row>
    <row r="155" spans="1:27" x14ac:dyDescent="0.35">
      <c r="A155">
        <v>459</v>
      </c>
      <c r="B155">
        <v>-3957.03</v>
      </c>
      <c r="C155">
        <f t="shared" si="43"/>
        <v>139.9032</v>
      </c>
      <c r="D155">
        <f t="shared" si="36"/>
        <v>-1206.102744</v>
      </c>
      <c r="E155">
        <f t="shared" si="37"/>
        <v>121.27664616606</v>
      </c>
      <c r="F155">
        <f t="shared" si="38"/>
        <v>120.68505277012802</v>
      </c>
      <c r="G155">
        <f t="shared" si="39"/>
        <v>1519.0166461660601</v>
      </c>
      <c r="H155">
        <f t="shared" si="40"/>
        <v>120.68505277012802</v>
      </c>
      <c r="I155">
        <v>1</v>
      </c>
      <c r="J155">
        <f t="shared" si="41"/>
        <v>108.98333539859304</v>
      </c>
      <c r="K155">
        <f t="shared" si="42"/>
        <v>1217.5466461660599</v>
      </c>
      <c r="M155">
        <v>4511.7158940000008</v>
      </c>
      <c r="N155">
        <f t="shared" si="44"/>
        <v>396</v>
      </c>
      <c r="O155">
        <f t="shared" si="45"/>
        <v>397</v>
      </c>
      <c r="P155" cm="1">
        <f t="array" ref="P155">INDEX($C$2:$C$14395,$N155,0)</f>
        <v>361.18800000000005</v>
      </c>
      <c r="Q155" cm="1">
        <f t="array" ref="Q155">INDEX($C$2:$C$14395,$O155,0)</f>
        <v>0</v>
      </c>
      <c r="R155" cm="1">
        <f t="array" ref="R155">INDEX($D$2:$D$14395,$N155,0)</f>
        <v>-1209.0989280000001</v>
      </c>
      <c r="S155" cm="1">
        <f t="array" ref="S155">INDEX($D$2:$D$14395,$O155,0)</f>
        <v>0</v>
      </c>
      <c r="T155">
        <f t="shared" si="46"/>
        <v>-15103.244988415901</v>
      </c>
      <c r="U155">
        <f t="shared" si="47"/>
        <v>1518.6690416976899</v>
      </c>
      <c r="V155">
        <f t="shared" si="48"/>
        <v>1511.2609000308719</v>
      </c>
      <c r="W155">
        <f t="shared" si="49"/>
        <v>2748.6840416976902</v>
      </c>
      <c r="X155">
        <f t="shared" si="50"/>
        <v>2916.4090416976896</v>
      </c>
      <c r="Y155">
        <f t="shared" si="51"/>
        <v>1511.2609000308719</v>
      </c>
      <c r="Z155">
        <f t="shared" si="52"/>
        <v>1364.727857861212</v>
      </c>
      <c r="AA155">
        <f t="shared" si="53"/>
        <v>2614.9390416976898</v>
      </c>
    </row>
    <row r="156" spans="1:27" x14ac:dyDescent="0.35">
      <c r="A156">
        <v>462</v>
      </c>
      <c r="B156">
        <v>-3957.07</v>
      </c>
      <c r="C156">
        <f t="shared" si="43"/>
        <v>140.8176</v>
      </c>
      <c r="D156">
        <f t="shared" si="36"/>
        <v>-1206.1149360000002</v>
      </c>
      <c r="E156">
        <f t="shared" si="37"/>
        <v>121.27787210214002</v>
      </c>
      <c r="F156">
        <f t="shared" si="38"/>
        <v>120.686272726032</v>
      </c>
      <c r="G156">
        <f t="shared" si="39"/>
        <v>1519.01787210214</v>
      </c>
      <c r="H156">
        <f t="shared" si="40"/>
        <v>120.686272726032</v>
      </c>
      <c r="I156">
        <v>1</v>
      </c>
      <c r="J156">
        <f t="shared" si="41"/>
        <v>108.98443706661578</v>
      </c>
      <c r="K156">
        <f t="shared" si="42"/>
        <v>1217.54787210214</v>
      </c>
      <c r="M156">
        <v>4534.4280660000004</v>
      </c>
      <c r="N156">
        <f t="shared" si="44"/>
        <v>396</v>
      </c>
      <c r="O156">
        <f t="shared" si="45"/>
        <v>397</v>
      </c>
      <c r="P156" cm="1">
        <f t="array" ref="P156">INDEX($C$2:$C$14395,$N156,0)</f>
        <v>361.18800000000005</v>
      </c>
      <c r="Q156" cm="1">
        <f t="array" ref="Q156">INDEX($C$2:$C$14395,$O156,0)</f>
        <v>0</v>
      </c>
      <c r="R156" cm="1">
        <f t="array" ref="R156">INDEX($D$2:$D$14395,$N156,0)</f>
        <v>-1209.0989280000001</v>
      </c>
      <c r="S156" cm="1">
        <f t="array" ref="S156">INDEX($D$2:$D$14395,$O156,0)</f>
        <v>0</v>
      </c>
      <c r="T156">
        <f t="shared" si="46"/>
        <v>-15179.275373749166</v>
      </c>
      <c r="U156">
        <f t="shared" si="47"/>
        <v>1526.3140870189131</v>
      </c>
      <c r="V156">
        <f t="shared" si="48"/>
        <v>1518.8686524480891</v>
      </c>
      <c r="W156">
        <f t="shared" si="49"/>
        <v>2756.329087018913</v>
      </c>
      <c r="X156">
        <f t="shared" si="50"/>
        <v>2924.0540870189134</v>
      </c>
      <c r="Y156">
        <f t="shared" si="51"/>
        <v>1518.8686524480891</v>
      </c>
      <c r="Z156">
        <f t="shared" si="52"/>
        <v>1371.5979566371909</v>
      </c>
      <c r="AA156">
        <f t="shared" si="53"/>
        <v>2622.5840870189131</v>
      </c>
    </row>
    <row r="157" spans="1:27" x14ac:dyDescent="0.35">
      <c r="A157">
        <v>465</v>
      </c>
      <c r="B157">
        <v>-3957.12</v>
      </c>
      <c r="C157">
        <f t="shared" si="43"/>
        <v>141.732</v>
      </c>
      <c r="D157">
        <f t="shared" si="36"/>
        <v>-1206.1301760000001</v>
      </c>
      <c r="E157">
        <f t="shared" si="37"/>
        <v>121.27940452224003</v>
      </c>
      <c r="F157">
        <f t="shared" si="38"/>
        <v>120.68779767091202</v>
      </c>
      <c r="G157">
        <f t="shared" si="39"/>
        <v>1519.0194045222399</v>
      </c>
      <c r="H157">
        <f t="shared" si="40"/>
        <v>120.68779767091202</v>
      </c>
      <c r="I157">
        <v>1</v>
      </c>
      <c r="J157">
        <f t="shared" si="41"/>
        <v>108.98581415164416</v>
      </c>
      <c r="K157">
        <f t="shared" si="42"/>
        <v>1217.5494045222399</v>
      </c>
      <c r="M157">
        <v>4564.8341520000004</v>
      </c>
      <c r="N157">
        <f t="shared" si="44"/>
        <v>396</v>
      </c>
      <c r="O157">
        <f t="shared" si="45"/>
        <v>397</v>
      </c>
      <c r="P157" cm="1">
        <f t="array" ref="P157">INDEX($C$2:$C$14395,$N157,0)</f>
        <v>361.18800000000005</v>
      </c>
      <c r="Q157" cm="1">
        <f t="array" ref="Q157">INDEX($C$2:$C$14395,$O157,0)</f>
        <v>0</v>
      </c>
      <c r="R157" cm="1">
        <f t="array" ref="R157">INDEX($D$2:$D$14395,$N157,0)</f>
        <v>-1209.0989280000001</v>
      </c>
      <c r="S157" cm="1">
        <f t="array" ref="S157">INDEX($D$2:$D$14395,$O157,0)</f>
        <v>0</v>
      </c>
      <c r="T157">
        <f t="shared" si="46"/>
        <v>-15281.061606922127</v>
      </c>
      <c r="U157">
        <f t="shared" si="47"/>
        <v>1536.5489472300371</v>
      </c>
      <c r="V157">
        <f t="shared" si="48"/>
        <v>1529.053586511842</v>
      </c>
      <c r="W157">
        <f t="shared" si="49"/>
        <v>2766.5639472300372</v>
      </c>
      <c r="X157">
        <f t="shared" si="50"/>
        <v>2934.2889472300371</v>
      </c>
      <c r="Y157">
        <f t="shared" si="51"/>
        <v>1529.053586511842</v>
      </c>
      <c r="Z157">
        <f t="shared" si="52"/>
        <v>1380.7953515059392</v>
      </c>
      <c r="AA157">
        <f t="shared" si="53"/>
        <v>2632.8189472300373</v>
      </c>
    </row>
    <row r="158" spans="1:27" x14ac:dyDescent="0.35">
      <c r="A158">
        <v>468</v>
      </c>
      <c r="B158">
        <v>-3957.17</v>
      </c>
      <c r="C158">
        <f t="shared" si="43"/>
        <v>142.6464</v>
      </c>
      <c r="D158">
        <f t="shared" si="36"/>
        <v>-1206.1454160000001</v>
      </c>
      <c r="E158">
        <f t="shared" si="37"/>
        <v>121.28093694234001</v>
      </c>
      <c r="F158">
        <f t="shared" si="38"/>
        <v>120.68932261579202</v>
      </c>
      <c r="G158">
        <f t="shared" si="39"/>
        <v>1519.0209369423401</v>
      </c>
      <c r="H158">
        <f t="shared" si="40"/>
        <v>120.68932261579202</v>
      </c>
      <c r="I158">
        <v>1</v>
      </c>
      <c r="J158">
        <f t="shared" si="41"/>
        <v>108.98719123667259</v>
      </c>
      <c r="K158">
        <f t="shared" si="42"/>
        <v>1217.5509369423401</v>
      </c>
      <c r="M158">
        <v>4602.9341519999998</v>
      </c>
      <c r="N158">
        <f t="shared" si="44"/>
        <v>396</v>
      </c>
      <c r="O158">
        <f t="shared" si="45"/>
        <v>397</v>
      </c>
      <c r="P158" cm="1">
        <f t="array" ref="P158">INDEX($C$2:$C$14395,$N158,0)</f>
        <v>361.18800000000005</v>
      </c>
      <c r="Q158" cm="1">
        <f t="array" ref="Q158">INDEX($C$2:$C$14395,$O158,0)</f>
        <v>0</v>
      </c>
      <c r="R158" cm="1">
        <f t="array" ref="R158">INDEX($D$2:$D$14395,$N158,0)</f>
        <v>-1209.0989280000001</v>
      </c>
      <c r="S158" cm="1">
        <f t="array" ref="S158">INDEX($D$2:$D$14395,$O158,0)</f>
        <v>0</v>
      </c>
      <c r="T158">
        <f t="shared" si="46"/>
        <v>-15408.603687934785</v>
      </c>
      <c r="U158">
        <f t="shared" si="47"/>
        <v>1549.3736223310625</v>
      </c>
      <c r="V158">
        <f t="shared" si="48"/>
        <v>1541.8157022221305</v>
      </c>
      <c r="W158">
        <f t="shared" si="49"/>
        <v>2779.3886223310628</v>
      </c>
      <c r="X158">
        <f t="shared" si="50"/>
        <v>2947.1136223310623</v>
      </c>
      <c r="Y158">
        <f t="shared" si="51"/>
        <v>1541.8157022221305</v>
      </c>
      <c r="Z158">
        <f t="shared" si="52"/>
        <v>1392.3200424674556</v>
      </c>
      <c r="AA158">
        <f t="shared" si="53"/>
        <v>2645.6436223310625</v>
      </c>
    </row>
    <row r="159" spans="1:27" x14ac:dyDescent="0.35">
      <c r="A159">
        <v>471</v>
      </c>
      <c r="B159">
        <v>-3957.22</v>
      </c>
      <c r="C159">
        <f t="shared" si="43"/>
        <v>143.5608</v>
      </c>
      <c r="D159">
        <f t="shared" si="36"/>
        <v>-1206.160656</v>
      </c>
      <c r="E159">
        <f t="shared" si="37"/>
        <v>121.28246936244001</v>
      </c>
      <c r="F159">
        <f t="shared" si="38"/>
        <v>120.690847560672</v>
      </c>
      <c r="G159">
        <f t="shared" si="39"/>
        <v>1519.02246936244</v>
      </c>
      <c r="H159">
        <f t="shared" si="40"/>
        <v>120.690847560672</v>
      </c>
      <c r="I159">
        <v>1</v>
      </c>
      <c r="J159">
        <f t="shared" si="41"/>
        <v>108.98856832170097</v>
      </c>
      <c r="K159">
        <f t="shared" si="42"/>
        <v>1217.55246936244</v>
      </c>
      <c r="M159">
        <v>4633.4118660000004</v>
      </c>
      <c r="N159">
        <f t="shared" si="44"/>
        <v>396</v>
      </c>
      <c r="O159">
        <f t="shared" si="45"/>
        <v>397</v>
      </c>
      <c r="P159" cm="1">
        <f t="array" ref="P159">INDEX($C$2:$C$14395,$N159,0)</f>
        <v>361.18800000000005</v>
      </c>
      <c r="Q159" cm="1">
        <f t="array" ref="Q159">INDEX($C$2:$C$14395,$O159,0)</f>
        <v>0</v>
      </c>
      <c r="R159" cm="1">
        <f t="array" ref="R159">INDEX($D$2:$D$14395,$N159,0)</f>
        <v>-1209.0989280000001</v>
      </c>
      <c r="S159" cm="1">
        <f t="array" ref="S159">INDEX($D$2:$D$14395,$O159,0)</f>
        <v>0</v>
      </c>
      <c r="T159">
        <f t="shared" si="46"/>
        <v>-15510.629700220052</v>
      </c>
      <c r="U159">
        <f t="shared" si="47"/>
        <v>1559.6325929313766</v>
      </c>
      <c r="V159">
        <f t="shared" si="48"/>
        <v>1552.0246290634188</v>
      </c>
      <c r="W159">
        <f t="shared" si="49"/>
        <v>2789.6475929313765</v>
      </c>
      <c r="X159">
        <f t="shared" si="50"/>
        <v>2957.3725929313769</v>
      </c>
      <c r="Y159">
        <f t="shared" si="51"/>
        <v>1552.0246290634188</v>
      </c>
      <c r="Z159">
        <f t="shared" si="52"/>
        <v>1401.539103755211</v>
      </c>
      <c r="AA159">
        <f t="shared" si="53"/>
        <v>2655.9025929313766</v>
      </c>
    </row>
    <row r="160" spans="1:27" x14ac:dyDescent="0.35">
      <c r="A160">
        <v>474</v>
      </c>
      <c r="B160">
        <v>-3957.26</v>
      </c>
      <c r="C160">
        <f t="shared" si="43"/>
        <v>144.4752</v>
      </c>
      <c r="D160">
        <f t="shared" si="36"/>
        <v>-1206.1728480000002</v>
      </c>
      <c r="E160">
        <f t="shared" si="37"/>
        <v>121.28369529852002</v>
      </c>
      <c r="F160">
        <f t="shared" si="38"/>
        <v>120.69206751657602</v>
      </c>
      <c r="G160">
        <f t="shared" si="39"/>
        <v>1519.0236952985201</v>
      </c>
      <c r="H160">
        <f t="shared" si="40"/>
        <v>120.69206751657602</v>
      </c>
      <c r="I160">
        <v>1</v>
      </c>
      <c r="J160">
        <f t="shared" si="41"/>
        <v>108.98966998972371</v>
      </c>
      <c r="K160">
        <f t="shared" si="42"/>
        <v>1217.5536952985201</v>
      </c>
      <c r="M160">
        <v>4656.2672940000002</v>
      </c>
      <c r="N160">
        <f t="shared" si="44"/>
        <v>396</v>
      </c>
      <c r="O160">
        <f t="shared" si="45"/>
        <v>397</v>
      </c>
      <c r="P160" cm="1">
        <f t="array" ref="P160">INDEX($C$2:$C$14395,$N160,0)</f>
        <v>361.18800000000005</v>
      </c>
      <c r="Q160" cm="1">
        <f t="array" ref="Q160">INDEX($C$2:$C$14395,$O160,0)</f>
        <v>0</v>
      </c>
      <c r="R160" cm="1">
        <f t="array" ref="R160">INDEX($D$2:$D$14395,$N160,0)</f>
        <v>-1209.0989280000001</v>
      </c>
      <c r="S160" cm="1">
        <f t="array" ref="S160">INDEX($D$2:$D$14395,$O160,0)</f>
        <v>0</v>
      </c>
      <c r="T160">
        <f t="shared" si="46"/>
        <v>-15587.139643777924</v>
      </c>
      <c r="U160">
        <f t="shared" si="47"/>
        <v>1567.3258590309795</v>
      </c>
      <c r="V160">
        <f t="shared" si="48"/>
        <v>1559.6803670357067</v>
      </c>
      <c r="W160">
        <f t="shared" si="49"/>
        <v>2797.3408590309796</v>
      </c>
      <c r="X160">
        <f t="shared" si="50"/>
        <v>2965.0658590309795</v>
      </c>
      <c r="Y160">
        <f t="shared" si="51"/>
        <v>1559.6803670357067</v>
      </c>
      <c r="Z160">
        <f t="shared" si="52"/>
        <v>1408.4525353692054</v>
      </c>
      <c r="AA160">
        <f t="shared" si="53"/>
        <v>2663.5958590309792</v>
      </c>
    </row>
    <row r="161" spans="1:27" x14ac:dyDescent="0.35">
      <c r="A161">
        <v>477</v>
      </c>
      <c r="B161">
        <v>-3957.3</v>
      </c>
      <c r="C161">
        <f t="shared" si="43"/>
        <v>145.3896</v>
      </c>
      <c r="D161">
        <f t="shared" si="36"/>
        <v>-1206.1850400000001</v>
      </c>
      <c r="E161">
        <f t="shared" si="37"/>
        <v>121.28492123460001</v>
      </c>
      <c r="F161">
        <f t="shared" si="38"/>
        <v>120.69328747248001</v>
      </c>
      <c r="G161">
        <f t="shared" si="39"/>
        <v>1519.0249212346</v>
      </c>
      <c r="H161">
        <f t="shared" si="40"/>
        <v>120.69328747248001</v>
      </c>
      <c r="I161">
        <v>1</v>
      </c>
      <c r="J161">
        <f t="shared" si="41"/>
        <v>108.99077165774642</v>
      </c>
      <c r="K161">
        <f t="shared" si="42"/>
        <v>1217.5549212346</v>
      </c>
      <c r="M161">
        <v>4686.7450079999999</v>
      </c>
      <c r="N161">
        <f t="shared" si="44"/>
        <v>396</v>
      </c>
      <c r="O161">
        <f t="shared" si="45"/>
        <v>397</v>
      </c>
      <c r="P161" cm="1">
        <f t="array" ref="P161">INDEX($C$2:$C$14395,$N161,0)</f>
        <v>361.18800000000005</v>
      </c>
      <c r="Q161" cm="1">
        <f t="array" ref="Q161">INDEX($C$2:$C$14395,$O161,0)</f>
        <v>0</v>
      </c>
      <c r="R161" cm="1">
        <f t="array" ref="R161">INDEX($D$2:$D$14395,$N161,0)</f>
        <v>-1209.0989280000001</v>
      </c>
      <c r="S161" cm="1">
        <f t="array" ref="S161">INDEX($D$2:$D$14395,$O161,0)</f>
        <v>0</v>
      </c>
      <c r="T161">
        <f t="shared" si="46"/>
        <v>-15689.165656063189</v>
      </c>
      <c r="U161">
        <f t="shared" si="47"/>
        <v>1577.584829631294</v>
      </c>
      <c r="V161">
        <f t="shared" si="48"/>
        <v>1569.8892938769948</v>
      </c>
      <c r="W161">
        <f t="shared" si="49"/>
        <v>2807.5998296312941</v>
      </c>
      <c r="X161">
        <f t="shared" si="50"/>
        <v>2975.3248296312941</v>
      </c>
      <c r="Y161">
        <f t="shared" si="51"/>
        <v>1569.8892938769948</v>
      </c>
      <c r="Z161">
        <f t="shared" si="52"/>
        <v>1417.6715966569609</v>
      </c>
      <c r="AA161">
        <f t="shared" si="53"/>
        <v>2673.8548296312938</v>
      </c>
    </row>
    <row r="162" spans="1:27" x14ac:dyDescent="0.35">
      <c r="A162">
        <v>480</v>
      </c>
      <c r="B162">
        <v>-3957.34</v>
      </c>
      <c r="C162">
        <f t="shared" si="43"/>
        <v>146.304</v>
      </c>
      <c r="D162">
        <f t="shared" si="36"/>
        <v>-1206.1972320000002</v>
      </c>
      <c r="E162">
        <f t="shared" si="37"/>
        <v>121.28614717068004</v>
      </c>
      <c r="F162">
        <f t="shared" si="38"/>
        <v>120.69450742838403</v>
      </c>
      <c r="G162">
        <f t="shared" si="39"/>
        <v>1519.0261471706801</v>
      </c>
      <c r="H162">
        <f t="shared" si="40"/>
        <v>120.69450742838403</v>
      </c>
      <c r="I162">
        <v>1</v>
      </c>
      <c r="J162">
        <f t="shared" si="41"/>
        <v>108.99187332576916</v>
      </c>
      <c r="K162">
        <f t="shared" si="42"/>
        <v>1217.5561471706801</v>
      </c>
      <c r="M162">
        <v>4724.8450080000002</v>
      </c>
      <c r="N162">
        <f t="shared" si="44"/>
        <v>396</v>
      </c>
      <c r="O162">
        <f t="shared" si="45"/>
        <v>397</v>
      </c>
      <c r="P162" cm="1">
        <f t="array" ref="P162">INDEX($C$2:$C$14395,$N162,0)</f>
        <v>361.18800000000005</v>
      </c>
      <c r="Q162" cm="1">
        <f t="array" ref="Q162">INDEX($C$2:$C$14395,$O162,0)</f>
        <v>0</v>
      </c>
      <c r="R162" cm="1">
        <f t="array" ref="R162">INDEX($D$2:$D$14395,$N162,0)</f>
        <v>-1209.0989280000001</v>
      </c>
      <c r="S162" cm="1">
        <f t="array" ref="S162">INDEX($D$2:$D$14395,$O162,0)</f>
        <v>0</v>
      </c>
      <c r="T162">
        <f t="shared" si="46"/>
        <v>-15816.707737075849</v>
      </c>
      <c r="U162">
        <f t="shared" si="47"/>
        <v>1590.4095047323194</v>
      </c>
      <c r="V162">
        <f t="shared" si="48"/>
        <v>1582.6514095872838</v>
      </c>
      <c r="W162">
        <f t="shared" si="49"/>
        <v>2820.4245047323193</v>
      </c>
      <c r="X162">
        <f t="shared" si="50"/>
        <v>2988.1495047323197</v>
      </c>
      <c r="Y162">
        <f t="shared" si="51"/>
        <v>1582.6514095872838</v>
      </c>
      <c r="Z162">
        <f t="shared" si="52"/>
        <v>1429.1962876184778</v>
      </c>
      <c r="AA162">
        <f t="shared" si="53"/>
        <v>2686.6795047323194</v>
      </c>
    </row>
    <row r="163" spans="1:27" x14ac:dyDescent="0.35">
      <c r="A163">
        <v>483</v>
      </c>
      <c r="B163">
        <v>-3957.37</v>
      </c>
      <c r="C163">
        <f t="shared" si="43"/>
        <v>147.2184</v>
      </c>
      <c r="D163">
        <f t="shared" si="36"/>
        <v>-1206.2063760000001</v>
      </c>
      <c r="E163">
        <f t="shared" si="37"/>
        <v>121.28706662274003</v>
      </c>
      <c r="F163">
        <f t="shared" si="38"/>
        <v>120.69542239531201</v>
      </c>
      <c r="G163">
        <f t="shared" si="39"/>
        <v>1519.02706662274</v>
      </c>
      <c r="H163">
        <f t="shared" si="40"/>
        <v>120.69542239531201</v>
      </c>
      <c r="I163">
        <v>1</v>
      </c>
      <c r="J163">
        <f t="shared" si="41"/>
        <v>108.99269957678618</v>
      </c>
      <c r="K163">
        <f t="shared" si="42"/>
        <v>1217.55706662274</v>
      </c>
      <c r="M163">
        <v>4762.9450079999997</v>
      </c>
      <c r="N163">
        <f t="shared" si="44"/>
        <v>396</v>
      </c>
      <c r="O163">
        <f t="shared" si="45"/>
        <v>397</v>
      </c>
      <c r="P163" cm="1">
        <f t="array" ref="P163">INDEX($C$2:$C$14395,$N163,0)</f>
        <v>361.18800000000005</v>
      </c>
      <c r="Q163" cm="1">
        <f t="array" ref="Q163">INDEX($C$2:$C$14395,$O163,0)</f>
        <v>0</v>
      </c>
      <c r="R163" cm="1">
        <f t="array" ref="R163">INDEX($D$2:$D$14395,$N163,0)</f>
        <v>-1209.0989280000001</v>
      </c>
      <c r="S163" cm="1">
        <f t="array" ref="S163">INDEX($D$2:$D$14395,$O163,0)</f>
        <v>0</v>
      </c>
      <c r="T163">
        <f t="shared" si="46"/>
        <v>-15944.249818088505</v>
      </c>
      <c r="U163">
        <f t="shared" si="47"/>
        <v>1603.2341798333446</v>
      </c>
      <c r="V163">
        <f t="shared" si="48"/>
        <v>1595.4135252975721</v>
      </c>
      <c r="W163">
        <f t="shared" si="49"/>
        <v>2833.2491798333449</v>
      </c>
      <c r="X163">
        <f t="shared" si="50"/>
        <v>3000.9741798333444</v>
      </c>
      <c r="Y163">
        <f t="shared" si="51"/>
        <v>1595.4135252975721</v>
      </c>
      <c r="Z163">
        <f t="shared" si="52"/>
        <v>1440.7209785799939</v>
      </c>
      <c r="AA163">
        <f t="shared" si="53"/>
        <v>2699.5041798333446</v>
      </c>
    </row>
    <row r="164" spans="1:27" x14ac:dyDescent="0.35">
      <c r="A164">
        <v>486</v>
      </c>
      <c r="B164">
        <v>-3957.41</v>
      </c>
      <c r="C164">
        <f t="shared" si="43"/>
        <v>148.1328</v>
      </c>
      <c r="D164">
        <f t="shared" si="36"/>
        <v>-1206.218568</v>
      </c>
      <c r="E164">
        <f t="shared" si="37"/>
        <v>121.28829255882</v>
      </c>
      <c r="F164">
        <f t="shared" si="38"/>
        <v>120.696642351216</v>
      </c>
      <c r="G164">
        <f t="shared" si="39"/>
        <v>1519.0282925588201</v>
      </c>
      <c r="H164">
        <f t="shared" si="40"/>
        <v>120.696642351216</v>
      </c>
      <c r="I164">
        <v>1</v>
      </c>
      <c r="J164">
        <f t="shared" si="41"/>
        <v>108.99380124480891</v>
      </c>
      <c r="K164">
        <f t="shared" si="42"/>
        <v>1217.5582925588201</v>
      </c>
      <c r="M164">
        <v>4801.0450080000001</v>
      </c>
      <c r="N164">
        <f t="shared" si="44"/>
        <v>396</v>
      </c>
      <c r="O164">
        <f t="shared" si="45"/>
        <v>397</v>
      </c>
      <c r="P164" cm="1">
        <f t="array" ref="P164">INDEX($C$2:$C$14395,$N164,0)</f>
        <v>361.18800000000005</v>
      </c>
      <c r="Q164" cm="1">
        <f t="array" ref="Q164">INDEX($C$2:$C$14395,$O164,0)</f>
        <v>0</v>
      </c>
      <c r="R164" cm="1">
        <f t="array" ref="R164">INDEX($D$2:$D$14395,$N164,0)</f>
        <v>-1209.0989280000001</v>
      </c>
      <c r="S164" cm="1">
        <f t="array" ref="S164">INDEX($D$2:$D$14395,$O164,0)</f>
        <v>0</v>
      </c>
      <c r="T164">
        <f t="shared" si="46"/>
        <v>-16071.791899101165</v>
      </c>
      <c r="U164">
        <f t="shared" si="47"/>
        <v>1616.0588549343699</v>
      </c>
      <c r="V164">
        <f t="shared" si="48"/>
        <v>1608.1756410078608</v>
      </c>
      <c r="W164">
        <f t="shared" si="49"/>
        <v>2846.07385493437</v>
      </c>
      <c r="X164">
        <f t="shared" si="50"/>
        <v>3013.79885493437</v>
      </c>
      <c r="Y164">
        <f t="shared" si="51"/>
        <v>1608.1756410078608</v>
      </c>
      <c r="Z164">
        <f t="shared" si="52"/>
        <v>1452.2456695415103</v>
      </c>
      <c r="AA164">
        <f t="shared" si="53"/>
        <v>2712.3288549343697</v>
      </c>
    </row>
    <row r="165" spans="1:27" x14ac:dyDescent="0.35">
      <c r="A165">
        <v>489</v>
      </c>
      <c r="B165">
        <v>-3957.45</v>
      </c>
      <c r="C165">
        <f t="shared" si="43"/>
        <v>149.0472</v>
      </c>
      <c r="D165">
        <f t="shared" si="36"/>
        <v>-1206.2307599999999</v>
      </c>
      <c r="E165">
        <f t="shared" si="37"/>
        <v>121.28951849489999</v>
      </c>
      <c r="F165">
        <f t="shared" si="38"/>
        <v>120.69786230712</v>
      </c>
      <c r="G165">
        <f t="shared" si="39"/>
        <v>1519.0295184949</v>
      </c>
      <c r="H165">
        <f t="shared" si="40"/>
        <v>120.69786230712</v>
      </c>
      <c r="I165">
        <v>1</v>
      </c>
      <c r="J165">
        <f t="shared" si="41"/>
        <v>108.99490291283161</v>
      </c>
      <c r="K165">
        <f t="shared" si="42"/>
        <v>1217.5595184949</v>
      </c>
      <c r="M165">
        <v>4831.451094</v>
      </c>
      <c r="N165">
        <f t="shared" si="44"/>
        <v>396</v>
      </c>
      <c r="O165">
        <f t="shared" si="45"/>
        <v>397</v>
      </c>
      <c r="P165" cm="1">
        <f t="array" ref="P165">INDEX($C$2:$C$14395,$N165,0)</f>
        <v>361.18800000000005</v>
      </c>
      <c r="Q165" cm="1">
        <f t="array" ref="Q165">INDEX($C$2:$C$14395,$O165,0)</f>
        <v>0</v>
      </c>
      <c r="R165" cm="1">
        <f t="array" ref="R165">INDEX($D$2:$D$14395,$N165,0)</f>
        <v>-1209.0989280000001</v>
      </c>
      <c r="S165" cm="1">
        <f t="array" ref="S165">INDEX($D$2:$D$14395,$O165,0)</f>
        <v>0</v>
      </c>
      <c r="T165">
        <f t="shared" si="46"/>
        <v>-16173.578132274126</v>
      </c>
      <c r="U165">
        <f t="shared" si="47"/>
        <v>1626.2937151454939</v>
      </c>
      <c r="V165">
        <f t="shared" si="48"/>
        <v>1618.3605750716138</v>
      </c>
      <c r="W165">
        <f t="shared" si="49"/>
        <v>2856.3087151454938</v>
      </c>
      <c r="X165">
        <f t="shared" si="50"/>
        <v>3024.0337151454942</v>
      </c>
      <c r="Y165">
        <f t="shared" si="51"/>
        <v>1618.3605750716138</v>
      </c>
      <c r="Z165">
        <f t="shared" si="52"/>
        <v>1461.4430644102583</v>
      </c>
      <c r="AA165">
        <f t="shared" si="53"/>
        <v>2722.5637151454939</v>
      </c>
    </row>
    <row r="166" spans="1:27" x14ac:dyDescent="0.35">
      <c r="A166">
        <v>492</v>
      </c>
      <c r="B166">
        <v>-3957.49</v>
      </c>
      <c r="C166">
        <f t="shared" si="43"/>
        <v>149.9616</v>
      </c>
      <c r="D166">
        <f t="shared" si="36"/>
        <v>-1206.2429520000001</v>
      </c>
      <c r="E166">
        <f t="shared" si="37"/>
        <v>121.29074443098</v>
      </c>
      <c r="F166">
        <f t="shared" si="38"/>
        <v>120.69908226302402</v>
      </c>
      <c r="G166">
        <f t="shared" si="39"/>
        <v>1519.0307444309801</v>
      </c>
      <c r="H166">
        <f t="shared" si="40"/>
        <v>120.69908226302402</v>
      </c>
      <c r="I166">
        <v>1</v>
      </c>
      <c r="J166">
        <f t="shared" si="41"/>
        <v>108.99600458085435</v>
      </c>
      <c r="K166">
        <f t="shared" si="42"/>
        <v>1217.5607444309799</v>
      </c>
      <c r="M166">
        <v>4854.1632660000005</v>
      </c>
      <c r="N166">
        <f t="shared" si="44"/>
        <v>396</v>
      </c>
      <c r="O166">
        <f t="shared" si="45"/>
        <v>397</v>
      </c>
      <c r="P166" cm="1">
        <f t="array" ref="P166">INDEX($C$2:$C$14395,$N166,0)</f>
        <v>361.18800000000005</v>
      </c>
      <c r="Q166" cm="1">
        <f t="array" ref="Q166">INDEX($C$2:$C$14395,$O166,0)</f>
        <v>0</v>
      </c>
      <c r="R166" cm="1">
        <f t="array" ref="R166">INDEX($D$2:$D$14395,$N166,0)</f>
        <v>-1209.0989280000001</v>
      </c>
      <c r="S166" cm="1">
        <f t="array" ref="S166">INDEX($D$2:$D$14395,$O166,0)</f>
        <v>0</v>
      </c>
      <c r="T166">
        <f t="shared" si="46"/>
        <v>-16249.608517607394</v>
      </c>
      <c r="U166">
        <f t="shared" si="47"/>
        <v>1633.9387604667174</v>
      </c>
      <c r="V166">
        <f t="shared" si="48"/>
        <v>1625.9683274888314</v>
      </c>
      <c r="W166">
        <f t="shared" si="49"/>
        <v>2863.9537604667175</v>
      </c>
      <c r="X166">
        <f t="shared" si="50"/>
        <v>3031.6787604667174</v>
      </c>
      <c r="Y166">
        <f t="shared" si="51"/>
        <v>1625.9683274888314</v>
      </c>
      <c r="Z166">
        <f t="shared" si="52"/>
        <v>1468.3131631862377</v>
      </c>
      <c r="AA166">
        <f t="shared" si="53"/>
        <v>2730.2087604667176</v>
      </c>
    </row>
    <row r="167" spans="1:27" x14ac:dyDescent="0.35">
      <c r="A167">
        <v>495</v>
      </c>
      <c r="B167">
        <v>-3957.54</v>
      </c>
      <c r="C167">
        <f t="shared" si="43"/>
        <v>150.876</v>
      </c>
      <c r="D167">
        <f t="shared" si="36"/>
        <v>-1206.258192</v>
      </c>
      <c r="E167">
        <f t="shared" si="37"/>
        <v>121.29227685108</v>
      </c>
      <c r="F167">
        <f t="shared" si="38"/>
        <v>120.70060720790401</v>
      </c>
      <c r="G167">
        <f t="shared" si="39"/>
        <v>1519.03227685108</v>
      </c>
      <c r="H167">
        <f t="shared" si="40"/>
        <v>120.70060720790401</v>
      </c>
      <c r="I167">
        <v>1</v>
      </c>
      <c r="J167">
        <f t="shared" si="41"/>
        <v>108.99738166588273</v>
      </c>
      <c r="K167">
        <f t="shared" si="42"/>
        <v>1217.56227685108</v>
      </c>
      <c r="M167">
        <v>4884.5693520000004</v>
      </c>
      <c r="N167">
        <f t="shared" si="44"/>
        <v>396</v>
      </c>
      <c r="O167">
        <f t="shared" si="45"/>
        <v>397</v>
      </c>
      <c r="P167" cm="1">
        <f t="array" ref="P167">INDEX($C$2:$C$14395,$N167,0)</f>
        <v>361.18800000000005</v>
      </c>
      <c r="Q167" cm="1">
        <f t="array" ref="Q167">INDEX($C$2:$C$14395,$O167,0)</f>
        <v>0</v>
      </c>
      <c r="R167" cm="1">
        <f t="array" ref="R167">INDEX($D$2:$D$14395,$N167,0)</f>
        <v>-1209.0989280000001</v>
      </c>
      <c r="S167" cm="1">
        <f t="array" ref="S167">INDEX($D$2:$D$14395,$O167,0)</f>
        <v>0</v>
      </c>
      <c r="T167">
        <f t="shared" si="46"/>
        <v>-16351.394750780355</v>
      </c>
      <c r="U167">
        <f t="shared" si="47"/>
        <v>1644.1736206778417</v>
      </c>
      <c r="V167">
        <f t="shared" si="48"/>
        <v>1636.1532615525839</v>
      </c>
      <c r="W167">
        <f t="shared" si="49"/>
        <v>2874.1886206778418</v>
      </c>
      <c r="X167">
        <f t="shared" si="50"/>
        <v>3041.9136206778417</v>
      </c>
      <c r="Y167">
        <f t="shared" si="51"/>
        <v>1636.1532615525839</v>
      </c>
      <c r="Z167">
        <f t="shared" si="52"/>
        <v>1477.5105580549855</v>
      </c>
      <c r="AA167">
        <f t="shared" si="53"/>
        <v>2740.4436206778419</v>
      </c>
    </row>
    <row r="168" spans="1:27" x14ac:dyDescent="0.35">
      <c r="A168">
        <v>498</v>
      </c>
      <c r="B168">
        <v>-3957.58</v>
      </c>
      <c r="C168">
        <f t="shared" si="43"/>
        <v>151.79040000000001</v>
      </c>
      <c r="D168">
        <f t="shared" si="36"/>
        <v>-1206.2703840000001</v>
      </c>
      <c r="E168">
        <f t="shared" si="37"/>
        <v>121.29350278716002</v>
      </c>
      <c r="F168">
        <f t="shared" si="38"/>
        <v>120.70182716380803</v>
      </c>
      <c r="G168">
        <f t="shared" si="39"/>
        <v>1519.0335027871599</v>
      </c>
      <c r="H168">
        <f t="shared" si="40"/>
        <v>120.70182716380803</v>
      </c>
      <c r="I168">
        <v>1</v>
      </c>
      <c r="J168">
        <f t="shared" si="41"/>
        <v>108.99848333390545</v>
      </c>
      <c r="K168">
        <f t="shared" si="42"/>
        <v>1217.5635027871599</v>
      </c>
      <c r="M168">
        <v>4922.6693519999999</v>
      </c>
      <c r="N168">
        <f t="shared" si="44"/>
        <v>396</v>
      </c>
      <c r="O168">
        <f t="shared" si="45"/>
        <v>397</v>
      </c>
      <c r="P168" cm="1">
        <f t="array" ref="P168">INDEX($C$2:$C$14395,$N168,0)</f>
        <v>361.18800000000005</v>
      </c>
      <c r="Q168" cm="1">
        <f t="array" ref="Q168">INDEX($C$2:$C$14395,$O168,0)</f>
        <v>0</v>
      </c>
      <c r="R168" cm="1">
        <f t="array" ref="R168">INDEX($D$2:$D$14395,$N168,0)</f>
        <v>-1209.0989280000001</v>
      </c>
      <c r="S168" cm="1">
        <f t="array" ref="S168">INDEX($D$2:$D$14395,$O168,0)</f>
        <v>0</v>
      </c>
      <c r="T168">
        <f t="shared" si="46"/>
        <v>-16478.936831793013</v>
      </c>
      <c r="U168">
        <f t="shared" si="47"/>
        <v>1656.9982957788673</v>
      </c>
      <c r="V168">
        <f t="shared" si="48"/>
        <v>1648.9153772628727</v>
      </c>
      <c r="W168">
        <f t="shared" si="49"/>
        <v>2887.0132957788674</v>
      </c>
      <c r="X168">
        <f t="shared" si="50"/>
        <v>3054.7382957788673</v>
      </c>
      <c r="Y168">
        <f t="shared" si="51"/>
        <v>1648.9153772628727</v>
      </c>
      <c r="Z168">
        <f t="shared" si="52"/>
        <v>1489.0352490165019</v>
      </c>
      <c r="AA168">
        <f t="shared" si="53"/>
        <v>2753.2682957788675</v>
      </c>
    </row>
    <row r="169" spans="1:27" x14ac:dyDescent="0.35">
      <c r="A169">
        <v>501</v>
      </c>
      <c r="B169">
        <v>-3957.64</v>
      </c>
      <c r="C169">
        <f t="shared" si="43"/>
        <v>152.70480000000001</v>
      </c>
      <c r="D169">
        <f t="shared" si="36"/>
        <v>-1206.2886720000001</v>
      </c>
      <c r="E169">
        <f t="shared" si="37"/>
        <v>121.29534169128</v>
      </c>
      <c r="F169">
        <f t="shared" si="38"/>
        <v>120.70365709766403</v>
      </c>
      <c r="G169">
        <f t="shared" si="39"/>
        <v>1519.0353416912801</v>
      </c>
      <c r="H169">
        <f t="shared" si="40"/>
        <v>120.70365709766403</v>
      </c>
      <c r="I169">
        <v>1</v>
      </c>
      <c r="J169">
        <f t="shared" si="41"/>
        <v>109.00013583593956</v>
      </c>
      <c r="K169">
        <f t="shared" si="42"/>
        <v>1217.5653416912801</v>
      </c>
      <c r="M169">
        <v>4953.0777239999998</v>
      </c>
      <c r="N169">
        <f t="shared" si="44"/>
        <v>396</v>
      </c>
      <c r="O169">
        <f t="shared" si="45"/>
        <v>397</v>
      </c>
      <c r="P169" cm="1">
        <f t="array" ref="P169">INDEX($C$2:$C$14395,$N169,0)</f>
        <v>361.18800000000005</v>
      </c>
      <c r="Q169" cm="1">
        <f t="array" ref="Q169">INDEX($C$2:$C$14395,$O169,0)</f>
        <v>0</v>
      </c>
      <c r="R169" cm="1">
        <f t="array" ref="R169">INDEX($D$2:$D$14395,$N169,0)</f>
        <v>-1209.0989280000001</v>
      </c>
      <c r="S169" cm="1">
        <f t="array" ref="S169">INDEX($D$2:$D$14395,$O169,0)</f>
        <v>0</v>
      </c>
      <c r="T169">
        <f t="shared" si="46"/>
        <v>-16580.730717490835</v>
      </c>
      <c r="U169">
        <f t="shared" si="47"/>
        <v>1667.2339254704973</v>
      </c>
      <c r="V169">
        <f t="shared" si="48"/>
        <v>1659.1010770535681</v>
      </c>
      <c r="W169">
        <f t="shared" si="49"/>
        <v>2897.2489254704974</v>
      </c>
      <c r="X169">
        <f t="shared" si="50"/>
        <v>3064.9739254704973</v>
      </c>
      <c r="Y169">
        <f t="shared" si="51"/>
        <v>1659.1010770535681</v>
      </c>
      <c r="Z169">
        <f t="shared" si="52"/>
        <v>1498.2333353667075</v>
      </c>
      <c r="AA169">
        <f t="shared" si="53"/>
        <v>2763.5039254704971</v>
      </c>
    </row>
    <row r="170" spans="1:27" x14ac:dyDescent="0.35">
      <c r="A170">
        <v>504</v>
      </c>
      <c r="B170">
        <v>-3957.7</v>
      </c>
      <c r="C170">
        <f t="shared" si="43"/>
        <v>153.61920000000001</v>
      </c>
      <c r="D170">
        <f t="shared" si="36"/>
        <v>-1206.3069600000001</v>
      </c>
      <c r="E170">
        <f t="shared" si="37"/>
        <v>121.29718059540002</v>
      </c>
      <c r="F170">
        <f t="shared" si="38"/>
        <v>120.70548703152001</v>
      </c>
      <c r="G170">
        <f t="shared" si="39"/>
        <v>1519.0371805954001</v>
      </c>
      <c r="H170">
        <f t="shared" si="40"/>
        <v>120.70548703152001</v>
      </c>
      <c r="I170">
        <v>1</v>
      </c>
      <c r="J170">
        <f t="shared" si="41"/>
        <v>109.00178833797362</v>
      </c>
      <c r="K170">
        <f t="shared" si="42"/>
        <v>1217.5671805954</v>
      </c>
      <c r="M170">
        <v>4975.7944680000001</v>
      </c>
      <c r="N170">
        <f t="shared" si="44"/>
        <v>396</v>
      </c>
      <c r="O170">
        <f t="shared" si="45"/>
        <v>397</v>
      </c>
      <c r="P170" cm="1">
        <f t="array" ref="P170">INDEX($C$2:$C$14395,$N170,0)</f>
        <v>361.18800000000005</v>
      </c>
      <c r="Q170" cm="1">
        <f t="array" ref="Q170">INDEX($C$2:$C$14395,$O170,0)</f>
        <v>0</v>
      </c>
      <c r="R170" cm="1">
        <f t="array" ref="R170">INDEX($D$2:$D$14395,$N170,0)</f>
        <v>-1209.0989280000001</v>
      </c>
      <c r="S170" cm="1">
        <f t="array" ref="S170">INDEX($D$2:$D$14395,$O170,0)</f>
        <v>0</v>
      </c>
      <c r="T170">
        <f t="shared" si="46"/>
        <v>-16656.776407873822</v>
      </c>
      <c r="U170">
        <f t="shared" si="47"/>
        <v>1674.8805097527329</v>
      </c>
      <c r="V170">
        <f t="shared" si="48"/>
        <v>1666.7103609246703</v>
      </c>
      <c r="W170">
        <f t="shared" si="49"/>
        <v>2904.8955097527332</v>
      </c>
      <c r="X170">
        <f t="shared" si="50"/>
        <v>3072.6205097527327</v>
      </c>
      <c r="Y170">
        <f t="shared" si="51"/>
        <v>1666.7103609246703</v>
      </c>
      <c r="Z170">
        <f t="shared" si="52"/>
        <v>1505.104817105602</v>
      </c>
      <c r="AA170">
        <f t="shared" si="53"/>
        <v>2771.1505097527329</v>
      </c>
    </row>
    <row r="171" spans="1:27" x14ac:dyDescent="0.35">
      <c r="A171">
        <v>507</v>
      </c>
      <c r="B171">
        <v>-3957.76</v>
      </c>
      <c r="C171">
        <f t="shared" si="43"/>
        <v>154.53360000000001</v>
      </c>
      <c r="D171">
        <f t="shared" si="36"/>
        <v>-1206.3252480000001</v>
      </c>
      <c r="E171">
        <f t="shared" si="37"/>
        <v>121.29901949952001</v>
      </c>
      <c r="F171">
        <f t="shared" si="38"/>
        <v>120.70731696537602</v>
      </c>
      <c r="G171">
        <f t="shared" si="39"/>
        <v>1519.03901949952</v>
      </c>
      <c r="H171">
        <f t="shared" si="40"/>
        <v>120.70731696537602</v>
      </c>
      <c r="I171">
        <v>1</v>
      </c>
      <c r="J171">
        <f t="shared" si="41"/>
        <v>109.0034408400077</v>
      </c>
      <c r="K171">
        <f t="shared" si="42"/>
        <v>1217.56901949952</v>
      </c>
      <c r="M171">
        <v>4998.5134979999993</v>
      </c>
      <c r="N171">
        <f t="shared" si="44"/>
        <v>396</v>
      </c>
      <c r="O171">
        <f t="shared" si="45"/>
        <v>397</v>
      </c>
      <c r="P171" cm="1">
        <f t="array" ref="P171">INDEX($C$2:$C$14395,$N171,0)</f>
        <v>361.18800000000005</v>
      </c>
      <c r="Q171" cm="1">
        <f t="array" ref="Q171">INDEX($C$2:$C$14395,$O171,0)</f>
        <v>0</v>
      </c>
      <c r="R171" cm="1">
        <f t="array" ref="R171">INDEX($D$2:$D$14395,$N171,0)</f>
        <v>-1209.0989280000001</v>
      </c>
      <c r="S171" cm="1">
        <f t="array" ref="S171">INDEX($D$2:$D$14395,$O171,0)</f>
        <v>0</v>
      </c>
      <c r="T171">
        <f t="shared" si="46"/>
        <v>-16732.829750781668</v>
      </c>
      <c r="U171">
        <f t="shared" si="47"/>
        <v>1682.5278635154737</v>
      </c>
      <c r="V171">
        <f t="shared" si="48"/>
        <v>1674.3204105227151</v>
      </c>
      <c r="W171">
        <f t="shared" si="49"/>
        <v>2912.542863515474</v>
      </c>
      <c r="X171">
        <f t="shared" si="50"/>
        <v>3080.2678635154734</v>
      </c>
      <c r="Y171">
        <f t="shared" si="51"/>
        <v>1674.3204105227151</v>
      </c>
      <c r="Z171">
        <f t="shared" si="52"/>
        <v>1511.9769903259539</v>
      </c>
      <c r="AA171">
        <f t="shared" si="53"/>
        <v>2778.7978635154736</v>
      </c>
    </row>
    <row r="172" spans="1:27" x14ac:dyDescent="0.35">
      <c r="A172">
        <v>510</v>
      </c>
      <c r="B172">
        <v>-3957.81</v>
      </c>
      <c r="C172">
        <f t="shared" si="43"/>
        <v>155.44800000000001</v>
      </c>
      <c r="D172">
        <f t="shared" si="36"/>
        <v>-1206.3404880000001</v>
      </c>
      <c r="E172">
        <f t="shared" si="37"/>
        <v>121.30055191962002</v>
      </c>
      <c r="F172">
        <f t="shared" si="38"/>
        <v>120.708841910256</v>
      </c>
      <c r="G172">
        <f t="shared" si="39"/>
        <v>1519.0405519196199</v>
      </c>
      <c r="H172">
        <f t="shared" si="40"/>
        <v>120.708841910256</v>
      </c>
      <c r="I172">
        <v>1</v>
      </c>
      <c r="J172">
        <f t="shared" si="41"/>
        <v>109.00481792503608</v>
      </c>
      <c r="K172">
        <f t="shared" si="42"/>
        <v>1217.5705519196199</v>
      </c>
      <c r="M172">
        <v>5021.2348140000004</v>
      </c>
      <c r="N172">
        <f t="shared" si="44"/>
        <v>396</v>
      </c>
      <c r="O172">
        <f t="shared" si="45"/>
        <v>397</v>
      </c>
      <c r="P172" cm="1">
        <f t="array" ref="P172">INDEX($C$2:$C$14395,$N172,0)</f>
        <v>361.18800000000005</v>
      </c>
      <c r="Q172" cm="1">
        <f t="array" ref="Q172">INDEX($C$2:$C$14395,$O172,0)</f>
        <v>0</v>
      </c>
      <c r="R172" cm="1">
        <f t="array" ref="R172">INDEX($D$2:$D$14395,$N172,0)</f>
        <v>-1209.0989280000001</v>
      </c>
      <c r="S172" cm="1">
        <f t="array" ref="S172">INDEX($D$2:$D$14395,$O172,0)</f>
        <v>0</v>
      </c>
      <c r="T172">
        <f t="shared" si="46"/>
        <v>-16808.89074621438</v>
      </c>
      <c r="U172">
        <f t="shared" si="47"/>
        <v>1690.1759867587214</v>
      </c>
      <c r="V172">
        <f t="shared" si="48"/>
        <v>1681.9312258477032</v>
      </c>
      <c r="W172">
        <f t="shared" si="49"/>
        <v>2920.1909867587215</v>
      </c>
      <c r="X172">
        <f t="shared" si="50"/>
        <v>3087.9159867587214</v>
      </c>
      <c r="Y172">
        <f t="shared" si="51"/>
        <v>1681.9312258477032</v>
      </c>
      <c r="Z172">
        <f t="shared" si="52"/>
        <v>1518.8498550277641</v>
      </c>
      <c r="AA172">
        <f t="shared" si="53"/>
        <v>2786.4459867587211</v>
      </c>
    </row>
    <row r="173" spans="1:27" x14ac:dyDescent="0.35">
      <c r="A173">
        <v>513</v>
      </c>
      <c r="B173">
        <v>-3957.85</v>
      </c>
      <c r="C173">
        <f t="shared" si="43"/>
        <v>156.36240000000001</v>
      </c>
      <c r="D173">
        <f t="shared" si="36"/>
        <v>-1206.35268</v>
      </c>
      <c r="E173">
        <f t="shared" si="37"/>
        <v>121.30177785570001</v>
      </c>
      <c r="F173">
        <f t="shared" si="38"/>
        <v>120.71006186616</v>
      </c>
      <c r="G173">
        <f t="shared" si="39"/>
        <v>1519.0417778557</v>
      </c>
      <c r="H173">
        <f t="shared" si="40"/>
        <v>120.71006186616</v>
      </c>
      <c r="I173">
        <v>1</v>
      </c>
      <c r="J173">
        <f t="shared" si="41"/>
        <v>109.00591959305881</v>
      </c>
      <c r="K173">
        <f t="shared" si="42"/>
        <v>1217.5717778557</v>
      </c>
      <c r="M173">
        <v>5043.9607020000003</v>
      </c>
      <c r="N173">
        <f t="shared" si="44"/>
        <v>396</v>
      </c>
      <c r="O173">
        <f t="shared" si="45"/>
        <v>397</v>
      </c>
      <c r="P173" cm="1">
        <f t="array" ref="P173">INDEX($C$2:$C$14395,$N173,0)</f>
        <v>361.18800000000005</v>
      </c>
      <c r="Q173" cm="1">
        <f t="array" ref="Q173">INDEX($C$2:$C$14395,$O173,0)</f>
        <v>0</v>
      </c>
      <c r="R173" cm="1">
        <f t="array" ref="R173">INDEX($D$2:$D$14395,$N173,0)</f>
        <v>-1209.0989280000001</v>
      </c>
      <c r="S173" cm="1">
        <f t="array" ref="S173">INDEX($D$2:$D$14395,$O173,0)</f>
        <v>0</v>
      </c>
      <c r="T173">
        <f t="shared" si="46"/>
        <v>-16884.967046696813</v>
      </c>
      <c r="U173">
        <f t="shared" si="47"/>
        <v>1697.8256489629814</v>
      </c>
      <c r="V173">
        <f t="shared" si="48"/>
        <v>1689.5435726265766</v>
      </c>
      <c r="W173">
        <f t="shared" si="49"/>
        <v>2927.8406489629815</v>
      </c>
      <c r="X173">
        <f t="shared" si="50"/>
        <v>3095.5656489629814</v>
      </c>
      <c r="Y173">
        <f t="shared" si="51"/>
        <v>1689.5435726265766</v>
      </c>
      <c r="Z173">
        <f t="shared" si="52"/>
        <v>1525.7241026924899</v>
      </c>
      <c r="AA173">
        <f t="shared" si="53"/>
        <v>2794.0956489629816</v>
      </c>
    </row>
    <row r="174" spans="1:27" x14ac:dyDescent="0.35">
      <c r="A174">
        <v>516</v>
      </c>
      <c r="B174">
        <v>-3957.9</v>
      </c>
      <c r="C174">
        <f t="shared" si="43"/>
        <v>157.27680000000001</v>
      </c>
      <c r="D174">
        <f t="shared" si="36"/>
        <v>-1206.3679200000001</v>
      </c>
      <c r="E174">
        <f t="shared" si="37"/>
        <v>121.30331027580003</v>
      </c>
      <c r="F174">
        <f t="shared" si="38"/>
        <v>120.71158681104002</v>
      </c>
      <c r="G174">
        <f t="shared" si="39"/>
        <v>1519.0433102758</v>
      </c>
      <c r="H174">
        <f t="shared" si="40"/>
        <v>120.71158681104002</v>
      </c>
      <c r="I174">
        <v>1</v>
      </c>
      <c r="J174">
        <f t="shared" si="41"/>
        <v>109.00729667808722</v>
      </c>
      <c r="K174">
        <f t="shared" si="42"/>
        <v>1217.5733102757999</v>
      </c>
      <c r="M174">
        <v>5066.6911620000001</v>
      </c>
      <c r="N174">
        <f t="shared" si="44"/>
        <v>396</v>
      </c>
      <c r="O174">
        <f t="shared" si="45"/>
        <v>397</v>
      </c>
      <c r="P174" cm="1">
        <f t="array" ref="P174">INDEX($C$2:$C$14395,$N174,0)</f>
        <v>361.18800000000005</v>
      </c>
      <c r="Q174" cm="1">
        <f t="array" ref="Q174">INDEX($C$2:$C$14395,$O174,0)</f>
        <v>0</v>
      </c>
      <c r="R174" cm="1">
        <f t="array" ref="R174">INDEX($D$2:$D$14395,$N174,0)</f>
        <v>-1209.0989280000001</v>
      </c>
      <c r="S174" cm="1">
        <f t="array" ref="S174">INDEX($D$2:$D$14395,$O174,0)</f>
        <v>0</v>
      </c>
      <c r="T174">
        <f t="shared" si="46"/>
        <v>-16961.058652228963</v>
      </c>
      <c r="U174">
        <f t="shared" si="47"/>
        <v>1705.4768501282531</v>
      </c>
      <c r="V174">
        <f t="shared" si="48"/>
        <v>1697.1574508593349</v>
      </c>
      <c r="W174">
        <f t="shared" si="49"/>
        <v>2935.4918501282532</v>
      </c>
      <c r="X174">
        <f t="shared" si="50"/>
        <v>3103.2168501282531</v>
      </c>
      <c r="Y174">
        <f t="shared" si="51"/>
        <v>1697.1574508593349</v>
      </c>
      <c r="Z174">
        <f t="shared" si="52"/>
        <v>1532.5997333201308</v>
      </c>
      <c r="AA174">
        <f t="shared" si="53"/>
        <v>2801.7468501282528</v>
      </c>
    </row>
    <row r="175" spans="1:27" x14ac:dyDescent="0.35">
      <c r="A175">
        <v>519</v>
      </c>
      <c r="B175">
        <v>-3957.94</v>
      </c>
      <c r="C175">
        <f t="shared" si="43"/>
        <v>158.19120000000001</v>
      </c>
      <c r="D175">
        <f t="shared" si="36"/>
        <v>-1206.3801120000001</v>
      </c>
      <c r="E175">
        <f t="shared" si="37"/>
        <v>121.30453621188002</v>
      </c>
      <c r="F175">
        <f t="shared" si="38"/>
        <v>120.71280676694403</v>
      </c>
      <c r="G175">
        <f t="shared" si="39"/>
        <v>1519.0445362118801</v>
      </c>
      <c r="H175">
        <f t="shared" si="40"/>
        <v>120.71280676694403</v>
      </c>
      <c r="I175">
        <v>1</v>
      </c>
      <c r="J175">
        <f t="shared" si="41"/>
        <v>109.00839834610993</v>
      </c>
      <c r="K175">
        <f t="shared" si="42"/>
        <v>1217.5745362118801</v>
      </c>
      <c r="M175">
        <v>5089.4246700000303</v>
      </c>
      <c r="N175">
        <f t="shared" si="44"/>
        <v>396</v>
      </c>
      <c r="O175">
        <f t="shared" si="45"/>
        <v>397</v>
      </c>
      <c r="P175" cm="1">
        <f t="array" ref="P175">INDEX($C$2:$C$14395,$N175,0)</f>
        <v>361.18800000000005</v>
      </c>
      <c r="Q175" cm="1">
        <f t="array" ref="Q175">INDEX($C$2:$C$14395,$O175,0)</f>
        <v>0</v>
      </c>
      <c r="R175" cm="1">
        <f t="array" ref="R175">INDEX($D$2:$D$14395,$N175,0)</f>
        <v>-1209.0989280000001</v>
      </c>
      <c r="S175" cm="1">
        <f t="array" ref="S175">INDEX($D$2:$D$14395,$O175,0)</f>
        <v>0</v>
      </c>
      <c r="T175">
        <f t="shared" si="46"/>
        <v>-17037.160461127696</v>
      </c>
      <c r="U175">
        <f t="shared" si="47"/>
        <v>1713.1290772675427</v>
      </c>
      <c r="V175">
        <f t="shared" si="48"/>
        <v>1704.7723500613597</v>
      </c>
      <c r="W175">
        <f t="shared" si="49"/>
        <v>2943.1440772675428</v>
      </c>
      <c r="X175">
        <f t="shared" si="50"/>
        <v>3110.8690772675427</v>
      </c>
      <c r="Y175">
        <f t="shared" si="51"/>
        <v>1704.7723500613597</v>
      </c>
      <c r="Z175">
        <f t="shared" si="52"/>
        <v>1539.4762859230573</v>
      </c>
      <c r="AA175">
        <f t="shared" si="53"/>
        <v>2809.3990772675425</v>
      </c>
    </row>
    <row r="176" spans="1:27" x14ac:dyDescent="0.35">
      <c r="A176">
        <v>522</v>
      </c>
      <c r="B176">
        <v>-3958</v>
      </c>
      <c r="C176">
        <f t="shared" si="43"/>
        <v>159.10560000000001</v>
      </c>
      <c r="D176">
        <f t="shared" si="36"/>
        <v>-1206.3984</v>
      </c>
      <c r="E176">
        <f t="shared" si="37"/>
        <v>121.30637511600001</v>
      </c>
      <c r="F176">
        <f t="shared" si="38"/>
        <v>120.7146367008</v>
      </c>
      <c r="G176">
        <f t="shared" si="39"/>
        <v>1519.046375116</v>
      </c>
      <c r="H176">
        <f t="shared" si="40"/>
        <v>120.7146367008</v>
      </c>
      <c r="I176">
        <v>1</v>
      </c>
      <c r="J176">
        <f t="shared" si="41"/>
        <v>109.01005084814402</v>
      </c>
      <c r="K176">
        <f t="shared" si="42"/>
        <v>1217.576375116</v>
      </c>
      <c r="M176">
        <v>5112.1612260000311</v>
      </c>
      <c r="N176">
        <f t="shared" si="44"/>
        <v>396</v>
      </c>
      <c r="O176">
        <f t="shared" si="45"/>
        <v>397</v>
      </c>
      <c r="P176" cm="1">
        <f t="array" ref="P176">INDEX($C$2:$C$14395,$N176,0)</f>
        <v>361.18800000000005</v>
      </c>
      <c r="Q176" cm="1">
        <f t="array" ref="Q176">INDEX($C$2:$C$14395,$O176,0)</f>
        <v>0</v>
      </c>
      <c r="R176" cm="1">
        <f t="array" ref="R176">INDEX($D$2:$D$14395,$N176,0)</f>
        <v>-1209.0989280000001</v>
      </c>
      <c r="S176" cm="1">
        <f t="array" ref="S176">INDEX($D$2:$D$14395,$O176,0)</f>
        <v>0</v>
      </c>
      <c r="T176">
        <f t="shared" si="46"/>
        <v>-17113.272473392812</v>
      </c>
      <c r="U176">
        <f t="shared" si="47"/>
        <v>1720.7823303808307</v>
      </c>
      <c r="V176">
        <f t="shared" si="48"/>
        <v>1712.3882702326316</v>
      </c>
      <c r="W176">
        <f t="shared" si="49"/>
        <v>2950.7973303808308</v>
      </c>
      <c r="X176">
        <f t="shared" si="50"/>
        <v>3118.5223303808307</v>
      </c>
      <c r="Y176">
        <f t="shared" si="51"/>
        <v>1712.3882702326316</v>
      </c>
      <c r="Z176">
        <f t="shared" si="52"/>
        <v>1546.3537605012521</v>
      </c>
      <c r="AA176">
        <f t="shared" si="53"/>
        <v>2817.0523303808304</v>
      </c>
    </row>
    <row r="177" spans="1:27" x14ac:dyDescent="0.35">
      <c r="A177">
        <v>525</v>
      </c>
      <c r="B177">
        <v>-3958.06</v>
      </c>
      <c r="C177">
        <f t="shared" si="43"/>
        <v>160.02000000000001</v>
      </c>
      <c r="D177">
        <f t="shared" si="36"/>
        <v>-1206.416688</v>
      </c>
      <c r="E177">
        <f t="shared" si="37"/>
        <v>121.30821402012002</v>
      </c>
      <c r="F177">
        <f t="shared" si="38"/>
        <v>120.716466634656</v>
      </c>
      <c r="G177">
        <f t="shared" si="39"/>
        <v>1519.04821402012</v>
      </c>
      <c r="H177">
        <f t="shared" si="40"/>
        <v>120.716466634656</v>
      </c>
      <c r="I177">
        <v>1</v>
      </c>
      <c r="J177">
        <f t="shared" si="41"/>
        <v>109.01170335017808</v>
      </c>
      <c r="K177">
        <f t="shared" si="42"/>
        <v>1217.57821402012</v>
      </c>
      <c r="M177">
        <v>5142.5795040000312</v>
      </c>
      <c r="N177">
        <f t="shared" si="44"/>
        <v>396</v>
      </c>
      <c r="O177">
        <f t="shared" si="45"/>
        <v>397</v>
      </c>
      <c r="P177" cm="1">
        <f t="array" ref="P177">INDEX($C$2:$C$14395,$N177,0)</f>
        <v>361.18800000000005</v>
      </c>
      <c r="Q177" cm="1">
        <f t="array" ref="Q177">INDEX($C$2:$C$14395,$O177,0)</f>
        <v>0</v>
      </c>
      <c r="R177" cm="1">
        <f t="array" ref="R177">INDEX($D$2:$D$14395,$N177,0)</f>
        <v>-1209.0989280000001</v>
      </c>
      <c r="S177" cm="1">
        <f t="array" ref="S177">INDEX($D$2:$D$14395,$O177,0)</f>
        <v>0</v>
      </c>
      <c r="T177">
        <f t="shared" si="46"/>
        <v>-17215.099520031697</v>
      </c>
      <c r="U177">
        <f t="shared" si="47"/>
        <v>1731.0212944879875</v>
      </c>
      <c r="V177">
        <f t="shared" si="48"/>
        <v>1722.5772881734117</v>
      </c>
      <c r="W177">
        <f t="shared" si="49"/>
        <v>2961.0362944879876</v>
      </c>
      <c r="X177">
        <f t="shared" si="50"/>
        <v>3128.7612944879875</v>
      </c>
      <c r="Y177">
        <f t="shared" si="51"/>
        <v>1722.5772881734117</v>
      </c>
      <c r="Z177">
        <f t="shared" si="52"/>
        <v>1555.5548432711078</v>
      </c>
      <c r="AA177">
        <f t="shared" si="53"/>
        <v>2827.2912944879872</v>
      </c>
    </row>
    <row r="178" spans="1:27" x14ac:dyDescent="0.35">
      <c r="A178">
        <v>528</v>
      </c>
      <c r="B178">
        <v>-3958.12</v>
      </c>
      <c r="C178">
        <f t="shared" si="43"/>
        <v>160.93440000000001</v>
      </c>
      <c r="D178">
        <f t="shared" si="36"/>
        <v>-1206.434976</v>
      </c>
      <c r="E178">
        <f t="shared" si="37"/>
        <v>121.31005292424001</v>
      </c>
      <c r="F178">
        <f t="shared" si="38"/>
        <v>120.718296568512</v>
      </c>
      <c r="G178">
        <f t="shared" si="39"/>
        <v>1519.0500529242399</v>
      </c>
      <c r="H178">
        <f t="shared" si="40"/>
        <v>120.718296568512</v>
      </c>
      <c r="I178">
        <v>1</v>
      </c>
      <c r="J178">
        <f t="shared" si="41"/>
        <v>109.01335585221216</v>
      </c>
      <c r="K178">
        <f t="shared" si="42"/>
        <v>1217.5800529242399</v>
      </c>
      <c r="M178">
        <v>5180.6795040000316</v>
      </c>
      <c r="N178">
        <f t="shared" si="44"/>
        <v>396</v>
      </c>
      <c r="O178">
        <f t="shared" si="45"/>
        <v>397</v>
      </c>
      <c r="P178" cm="1">
        <f t="array" ref="P178">INDEX($C$2:$C$14395,$N178,0)</f>
        <v>361.18800000000005</v>
      </c>
      <c r="Q178" cm="1">
        <f t="array" ref="Q178">INDEX($C$2:$C$14395,$O178,0)</f>
        <v>0</v>
      </c>
      <c r="R178" cm="1">
        <f t="array" ref="R178">INDEX($D$2:$D$14395,$N178,0)</f>
        <v>-1209.0989280000001</v>
      </c>
      <c r="S178" cm="1">
        <f t="array" ref="S178">INDEX($D$2:$D$14395,$O178,0)</f>
        <v>0</v>
      </c>
      <c r="T178">
        <f t="shared" si="46"/>
        <v>-17342.641601044357</v>
      </c>
      <c r="U178">
        <f t="shared" si="47"/>
        <v>1743.8459695890128</v>
      </c>
      <c r="V178">
        <f t="shared" si="48"/>
        <v>1735.3394038837005</v>
      </c>
      <c r="W178">
        <f t="shared" si="49"/>
        <v>2973.8609695890127</v>
      </c>
      <c r="X178">
        <f t="shared" si="50"/>
        <v>3141.5859695890131</v>
      </c>
      <c r="Y178">
        <f t="shared" si="51"/>
        <v>1735.3394038837005</v>
      </c>
      <c r="Z178">
        <f t="shared" si="52"/>
        <v>1567.0795342326242</v>
      </c>
      <c r="AA178">
        <f t="shared" si="53"/>
        <v>2840.1159695890128</v>
      </c>
    </row>
    <row r="179" spans="1:27" x14ac:dyDescent="0.35">
      <c r="A179">
        <v>531</v>
      </c>
      <c r="B179">
        <v>-3958.17</v>
      </c>
      <c r="C179">
        <f t="shared" si="43"/>
        <v>161.84880000000001</v>
      </c>
      <c r="D179">
        <f t="shared" si="36"/>
        <v>-1206.4502160000002</v>
      </c>
      <c r="E179">
        <f t="shared" si="37"/>
        <v>121.31158534434002</v>
      </c>
      <c r="F179">
        <f t="shared" si="38"/>
        <v>120.71982151339201</v>
      </c>
      <c r="G179">
        <f t="shared" si="39"/>
        <v>1519.0515853443401</v>
      </c>
      <c r="H179">
        <f t="shared" si="40"/>
        <v>120.71982151339201</v>
      </c>
      <c r="I179">
        <v>1</v>
      </c>
      <c r="J179">
        <f t="shared" si="41"/>
        <v>109.01473293724058</v>
      </c>
      <c r="K179">
        <f t="shared" si="42"/>
        <v>1217.5815853443401</v>
      </c>
      <c r="M179">
        <v>5211.0970200000311</v>
      </c>
      <c r="N179">
        <f t="shared" si="44"/>
        <v>396</v>
      </c>
      <c r="O179">
        <f t="shared" si="45"/>
        <v>397</v>
      </c>
      <c r="P179" cm="1">
        <f t="array" ref="P179">INDEX($C$2:$C$14395,$N179,0)</f>
        <v>361.18800000000005</v>
      </c>
      <c r="Q179" cm="1">
        <f t="array" ref="Q179">INDEX($C$2:$C$14395,$O179,0)</f>
        <v>0</v>
      </c>
      <c r="R179" cm="1">
        <f t="array" ref="R179">INDEX($D$2:$D$14395,$N179,0)</f>
        <v>-1209.0989280000001</v>
      </c>
      <c r="S179" cm="1">
        <f t="array" ref="S179">INDEX($D$2:$D$14395,$O179,0)</f>
        <v>0</v>
      </c>
      <c r="T179">
        <f t="shared" si="46"/>
        <v>-17444.466096841625</v>
      </c>
      <c r="U179">
        <f t="shared" si="47"/>
        <v>1754.0846772026675</v>
      </c>
      <c r="V179">
        <f t="shared" si="48"/>
        <v>1745.5281665821665</v>
      </c>
      <c r="W179">
        <f t="shared" si="49"/>
        <v>2984.0996772026674</v>
      </c>
      <c r="X179">
        <f t="shared" si="50"/>
        <v>3151.8246772026678</v>
      </c>
      <c r="Y179">
        <f t="shared" si="51"/>
        <v>1745.5281665821665</v>
      </c>
      <c r="Z179">
        <f t="shared" si="52"/>
        <v>1576.2803865086605</v>
      </c>
      <c r="AA179">
        <f t="shared" si="53"/>
        <v>2850.3546772026675</v>
      </c>
    </row>
    <row r="180" spans="1:27" x14ac:dyDescent="0.35">
      <c r="A180">
        <v>534</v>
      </c>
      <c r="B180">
        <v>-3958.22</v>
      </c>
      <c r="C180">
        <f t="shared" si="43"/>
        <v>162.76320000000001</v>
      </c>
      <c r="D180">
        <f t="shared" si="36"/>
        <v>-1206.4654559999999</v>
      </c>
      <c r="E180">
        <f t="shared" si="37"/>
        <v>121.31311776444001</v>
      </c>
      <c r="F180">
        <f t="shared" si="38"/>
        <v>120.72134645827201</v>
      </c>
      <c r="G180">
        <f t="shared" si="39"/>
        <v>1519.05311776444</v>
      </c>
      <c r="H180">
        <f t="shared" si="40"/>
        <v>120.72134645827201</v>
      </c>
      <c r="I180">
        <v>1</v>
      </c>
      <c r="J180">
        <f t="shared" si="41"/>
        <v>109.01611002226896</v>
      </c>
      <c r="K180">
        <f t="shared" si="42"/>
        <v>1217.58311776444</v>
      </c>
      <c r="M180">
        <v>5233.8320520000307</v>
      </c>
      <c r="N180">
        <f t="shared" si="44"/>
        <v>396</v>
      </c>
      <c r="O180">
        <f t="shared" si="45"/>
        <v>397</v>
      </c>
      <c r="P180" cm="1">
        <f t="array" ref="P180">INDEX($C$2:$C$14395,$N180,0)</f>
        <v>361.18800000000005</v>
      </c>
      <c r="Q180" cm="1">
        <f t="array" ref="Q180">INDEX($C$2:$C$14395,$O180,0)</f>
        <v>0</v>
      </c>
      <c r="R180" cm="1">
        <f t="array" ref="R180">INDEX($D$2:$D$14395,$N180,0)</f>
        <v>-1209.0989280000001</v>
      </c>
      <c r="S180" cm="1">
        <f t="array" ref="S180">INDEX($D$2:$D$14395,$O180,0)</f>
        <v>0</v>
      </c>
      <c r="T180">
        <f t="shared" si="46"/>
        <v>-17520.573007423496</v>
      </c>
      <c r="U180">
        <f t="shared" si="47"/>
        <v>1761.7374173289511</v>
      </c>
      <c r="V180">
        <f t="shared" si="48"/>
        <v>1753.14357626881</v>
      </c>
      <c r="W180">
        <f t="shared" si="49"/>
        <v>2991.7524173289512</v>
      </c>
      <c r="X180">
        <f t="shared" si="50"/>
        <v>3159.4774173289511</v>
      </c>
      <c r="Y180">
        <f t="shared" si="51"/>
        <v>1753.14357626881</v>
      </c>
      <c r="Z180">
        <f t="shared" si="52"/>
        <v>1583.1574000992164</v>
      </c>
      <c r="AA180">
        <f t="shared" si="53"/>
        <v>2858.0074173289513</v>
      </c>
    </row>
    <row r="181" spans="1:27" x14ac:dyDescent="0.35">
      <c r="A181">
        <v>537</v>
      </c>
      <c r="B181">
        <v>-3958.28</v>
      </c>
      <c r="C181">
        <f t="shared" si="43"/>
        <v>163.67760000000001</v>
      </c>
      <c r="D181">
        <f t="shared" si="36"/>
        <v>-1206.4837440000001</v>
      </c>
      <c r="E181">
        <f t="shared" si="37"/>
        <v>121.31495666856001</v>
      </c>
      <c r="F181">
        <f t="shared" si="38"/>
        <v>120.723176392128</v>
      </c>
      <c r="G181">
        <f t="shared" si="39"/>
        <v>1519.05495666856</v>
      </c>
      <c r="H181">
        <f t="shared" si="40"/>
        <v>120.723176392128</v>
      </c>
      <c r="I181">
        <v>1</v>
      </c>
      <c r="J181">
        <f t="shared" si="41"/>
        <v>109.01776252430305</v>
      </c>
      <c r="K181">
        <f t="shared" si="42"/>
        <v>1217.5849566685599</v>
      </c>
      <c r="M181">
        <v>5256.5632740000301</v>
      </c>
      <c r="N181">
        <f t="shared" si="44"/>
        <v>396</v>
      </c>
      <c r="O181">
        <f t="shared" si="45"/>
        <v>397</v>
      </c>
      <c r="P181" cm="1">
        <f t="array" ref="P181">INDEX($C$2:$C$14395,$N181,0)</f>
        <v>361.18800000000005</v>
      </c>
      <c r="Q181" cm="1">
        <f t="array" ref="Q181">INDEX($C$2:$C$14395,$O181,0)</f>
        <v>0</v>
      </c>
      <c r="R181" cm="1">
        <f t="array" ref="R181">INDEX($D$2:$D$14395,$N181,0)</f>
        <v>-1209.0989280000001</v>
      </c>
      <c r="S181" cm="1">
        <f t="array" ref="S181">INDEX($D$2:$D$14395,$O181,0)</f>
        <v>0</v>
      </c>
      <c r="T181">
        <f t="shared" si="46"/>
        <v>-17596.667163797265</v>
      </c>
      <c r="U181">
        <f t="shared" si="47"/>
        <v>1769.3888749877244</v>
      </c>
      <c r="V181">
        <f t="shared" si="48"/>
        <v>1760.7577097438818</v>
      </c>
      <c r="W181">
        <f t="shared" si="49"/>
        <v>2999.4038749877245</v>
      </c>
      <c r="X181">
        <f t="shared" si="50"/>
        <v>3167.1288749877244</v>
      </c>
      <c r="Y181">
        <f t="shared" si="51"/>
        <v>1760.7577097438818</v>
      </c>
      <c r="Z181">
        <f t="shared" si="52"/>
        <v>1590.0332612206762</v>
      </c>
      <c r="AA181">
        <f t="shared" si="53"/>
        <v>2865.6588749877246</v>
      </c>
    </row>
    <row r="182" spans="1:27" x14ac:dyDescent="0.35">
      <c r="A182">
        <v>540</v>
      </c>
      <c r="B182">
        <v>-3958.34</v>
      </c>
      <c r="C182">
        <f t="shared" si="43"/>
        <v>164.59200000000001</v>
      </c>
      <c r="D182">
        <f t="shared" si="36"/>
        <v>-1206.5020320000001</v>
      </c>
      <c r="E182">
        <f t="shared" si="37"/>
        <v>121.31679557268004</v>
      </c>
      <c r="F182">
        <f t="shared" si="38"/>
        <v>120.72500632598403</v>
      </c>
      <c r="G182">
        <f t="shared" si="39"/>
        <v>1519.0567955726801</v>
      </c>
      <c r="H182">
        <f t="shared" si="40"/>
        <v>120.72500632598403</v>
      </c>
      <c r="I182">
        <v>1</v>
      </c>
      <c r="J182">
        <f t="shared" si="41"/>
        <v>109.01941502633716</v>
      </c>
      <c r="K182">
        <f t="shared" si="42"/>
        <v>1217.5867955726801</v>
      </c>
      <c r="M182">
        <v>5279.2906860000312</v>
      </c>
      <c r="N182">
        <f t="shared" si="44"/>
        <v>396</v>
      </c>
      <c r="O182">
        <f t="shared" si="45"/>
        <v>397</v>
      </c>
      <c r="P182" cm="1">
        <f t="array" ref="P182">INDEX($C$2:$C$14395,$N182,0)</f>
        <v>361.18800000000005</v>
      </c>
      <c r="Q182" cm="1">
        <f t="array" ref="Q182">INDEX($C$2:$C$14395,$O182,0)</f>
        <v>0</v>
      </c>
      <c r="R182" cm="1">
        <f t="array" ref="R182">INDEX($D$2:$D$14395,$N182,0)</f>
        <v>-1209.0989280000001</v>
      </c>
      <c r="S182" cm="1">
        <f t="array" ref="S182">INDEX($D$2:$D$14395,$O182,0)</f>
        <v>0</v>
      </c>
      <c r="T182">
        <f t="shared" si="46"/>
        <v>-17672.748565962938</v>
      </c>
      <c r="U182">
        <f t="shared" si="47"/>
        <v>1777.0390501789886</v>
      </c>
      <c r="V182">
        <f t="shared" si="48"/>
        <v>1768.3705670073837</v>
      </c>
      <c r="W182">
        <f t="shared" si="49"/>
        <v>3007.0540501789887</v>
      </c>
      <c r="X182">
        <f t="shared" si="50"/>
        <v>3174.7790501789887</v>
      </c>
      <c r="Y182">
        <f t="shared" si="51"/>
        <v>1768.3705670073837</v>
      </c>
      <c r="Z182">
        <f t="shared" si="52"/>
        <v>1596.9079698730404</v>
      </c>
      <c r="AA182">
        <f t="shared" si="53"/>
        <v>2873.3090501789884</v>
      </c>
    </row>
    <row r="183" spans="1:27" x14ac:dyDescent="0.35">
      <c r="A183">
        <v>543</v>
      </c>
      <c r="B183">
        <v>-3958.39</v>
      </c>
      <c r="C183">
        <f t="shared" si="43"/>
        <v>165.50640000000001</v>
      </c>
      <c r="D183">
        <f t="shared" si="36"/>
        <v>-1206.517272</v>
      </c>
      <c r="E183">
        <f t="shared" si="37"/>
        <v>121.31832799278</v>
      </c>
      <c r="F183">
        <f t="shared" si="38"/>
        <v>120.72653127086402</v>
      </c>
      <c r="G183">
        <f t="shared" si="39"/>
        <v>1519.0583279927801</v>
      </c>
      <c r="H183">
        <f t="shared" si="40"/>
        <v>120.72653127086402</v>
      </c>
      <c r="I183">
        <v>1</v>
      </c>
      <c r="J183">
        <f t="shared" si="41"/>
        <v>109.02079211136554</v>
      </c>
      <c r="K183">
        <f t="shared" si="42"/>
        <v>1217.58832799278</v>
      </c>
      <c r="M183">
        <v>5302.01505000003</v>
      </c>
      <c r="N183">
        <f t="shared" si="44"/>
        <v>396</v>
      </c>
      <c r="O183">
        <f t="shared" si="45"/>
        <v>397</v>
      </c>
      <c r="P183" cm="1">
        <f t="array" ref="P183">INDEX($C$2:$C$14395,$N183,0)</f>
        <v>361.18800000000005</v>
      </c>
      <c r="Q183" cm="1">
        <f t="array" ref="Q183">INDEX($C$2:$C$14395,$O183,0)</f>
        <v>0</v>
      </c>
      <c r="R183" cm="1">
        <f t="array" ref="R183">INDEX($D$2:$D$14395,$N183,0)</f>
        <v>-1209.0989280000001</v>
      </c>
      <c r="S183" cm="1">
        <f t="array" ref="S183">INDEX($D$2:$D$14395,$O183,0)</f>
        <v>0</v>
      </c>
      <c r="T183">
        <f t="shared" si="46"/>
        <v>-17748.819764762127</v>
      </c>
      <c r="U183">
        <f t="shared" si="47"/>
        <v>1784.688199396244</v>
      </c>
      <c r="V183">
        <f t="shared" si="48"/>
        <v>1775.982403301628</v>
      </c>
      <c r="W183">
        <f t="shared" si="49"/>
        <v>3014.7031993962441</v>
      </c>
      <c r="X183">
        <f t="shared" si="50"/>
        <v>3182.4281993962441</v>
      </c>
      <c r="Y183">
        <f t="shared" si="51"/>
        <v>1775.982403301628</v>
      </c>
      <c r="Z183">
        <f t="shared" si="52"/>
        <v>1603.7817565501271</v>
      </c>
      <c r="AA183">
        <f t="shared" si="53"/>
        <v>2880.9581993962438</v>
      </c>
    </row>
    <row r="184" spans="1:27" x14ac:dyDescent="0.35">
      <c r="A184">
        <v>546</v>
      </c>
      <c r="B184">
        <v>-3958.45</v>
      </c>
      <c r="C184">
        <f t="shared" si="43"/>
        <v>166.42080000000001</v>
      </c>
      <c r="D184">
        <f t="shared" si="36"/>
        <v>-1206.53556</v>
      </c>
      <c r="E184">
        <f t="shared" si="37"/>
        <v>121.32016689690002</v>
      </c>
      <c r="F184">
        <f t="shared" si="38"/>
        <v>120.72836120472</v>
      </c>
      <c r="G184">
        <f t="shared" si="39"/>
        <v>1519.0601668969</v>
      </c>
      <c r="H184">
        <f t="shared" si="40"/>
        <v>120.72836120472</v>
      </c>
      <c r="I184">
        <v>1</v>
      </c>
      <c r="J184">
        <f t="shared" si="41"/>
        <v>109.0224446133996</v>
      </c>
      <c r="K184">
        <f t="shared" si="42"/>
        <v>1217.5901668969</v>
      </c>
      <c r="M184">
        <v>5324.736366000031</v>
      </c>
      <c r="N184">
        <f t="shared" si="44"/>
        <v>396</v>
      </c>
      <c r="O184">
        <f t="shared" si="45"/>
        <v>397</v>
      </c>
      <c r="P184" cm="1">
        <f t="array" ref="P184">INDEX($C$2:$C$14395,$N184,0)</f>
        <v>361.18800000000005</v>
      </c>
      <c r="Q184" cm="1">
        <f t="array" ref="Q184">INDEX($C$2:$C$14395,$O184,0)</f>
        <v>0</v>
      </c>
      <c r="R184" cm="1">
        <f t="array" ref="R184">INDEX($D$2:$D$14395,$N184,0)</f>
        <v>-1209.0989280000001</v>
      </c>
      <c r="S184" cm="1">
        <f t="array" ref="S184">INDEX($D$2:$D$14395,$O184,0)</f>
        <v>0</v>
      </c>
      <c r="T184">
        <f t="shared" si="46"/>
        <v>-17824.880760194839</v>
      </c>
      <c r="U184">
        <f t="shared" si="47"/>
        <v>1792.3363226394918</v>
      </c>
      <c r="V184">
        <f t="shared" si="48"/>
        <v>1783.5932186266159</v>
      </c>
      <c r="W184">
        <f t="shared" si="49"/>
        <v>3022.3513226394916</v>
      </c>
      <c r="X184">
        <f t="shared" si="50"/>
        <v>3190.076322639492</v>
      </c>
      <c r="Y184">
        <f t="shared" si="51"/>
        <v>1783.5932186266159</v>
      </c>
      <c r="Z184">
        <f t="shared" si="52"/>
        <v>1610.6546212519374</v>
      </c>
      <c r="AA184">
        <f t="shared" si="53"/>
        <v>2888.6063226394917</v>
      </c>
    </row>
    <row r="185" spans="1:27" x14ac:dyDescent="0.35">
      <c r="A185">
        <v>549</v>
      </c>
      <c r="B185">
        <v>-3958.51</v>
      </c>
      <c r="C185">
        <f t="shared" si="43"/>
        <v>167.33520000000001</v>
      </c>
      <c r="D185">
        <f t="shared" si="36"/>
        <v>-1206.553848</v>
      </c>
      <c r="E185">
        <f t="shared" si="37"/>
        <v>121.32200580102</v>
      </c>
      <c r="F185">
        <f t="shared" si="38"/>
        <v>120.730191138576</v>
      </c>
      <c r="G185">
        <f t="shared" si="39"/>
        <v>1519.06200580102</v>
      </c>
      <c r="H185">
        <f t="shared" si="40"/>
        <v>120.730191138576</v>
      </c>
      <c r="I185">
        <v>1</v>
      </c>
      <c r="J185">
        <f t="shared" si="41"/>
        <v>109.02409711543368</v>
      </c>
      <c r="K185">
        <f t="shared" si="42"/>
        <v>1217.5920058010199</v>
      </c>
      <c r="M185">
        <v>5347.453872000031</v>
      </c>
      <c r="N185">
        <f t="shared" si="44"/>
        <v>396</v>
      </c>
      <c r="O185">
        <f t="shared" si="45"/>
        <v>397</v>
      </c>
      <c r="P185" cm="1">
        <f t="array" ref="P185">INDEX($C$2:$C$14395,$N185,0)</f>
        <v>361.18800000000005</v>
      </c>
      <c r="Q185" cm="1">
        <f t="array" ref="Q185">INDEX($C$2:$C$14395,$O185,0)</f>
        <v>0</v>
      </c>
      <c r="R185" cm="1">
        <f t="array" ref="R185">INDEX($D$2:$D$14395,$N185,0)</f>
        <v>-1209.0989280000001</v>
      </c>
      <c r="S185" cm="1">
        <f t="array" ref="S185">INDEX($D$2:$D$14395,$O185,0)</f>
        <v>0</v>
      </c>
      <c r="T185">
        <f t="shared" si="46"/>
        <v>-17900.929001419445</v>
      </c>
      <c r="U185">
        <f t="shared" si="47"/>
        <v>1799.983163415229</v>
      </c>
      <c r="V185">
        <f t="shared" si="48"/>
        <v>1791.2027577400324</v>
      </c>
      <c r="W185">
        <f t="shared" si="49"/>
        <v>3029.9981634152291</v>
      </c>
      <c r="X185">
        <f t="shared" si="50"/>
        <v>3197.723163415229</v>
      </c>
      <c r="Y185">
        <f t="shared" si="51"/>
        <v>1791.2027577400324</v>
      </c>
      <c r="Z185">
        <f t="shared" si="52"/>
        <v>1617.5263334846511</v>
      </c>
      <c r="AA185">
        <f t="shared" si="53"/>
        <v>2896.2531634152292</v>
      </c>
    </row>
    <row r="186" spans="1:27" x14ac:dyDescent="0.35">
      <c r="A186">
        <v>552</v>
      </c>
      <c r="B186">
        <v>-3958.57</v>
      </c>
      <c r="C186">
        <f t="shared" si="43"/>
        <v>168.24960000000002</v>
      </c>
      <c r="D186">
        <f t="shared" si="36"/>
        <v>-1206.572136</v>
      </c>
      <c r="E186">
        <f t="shared" si="37"/>
        <v>121.32384470514002</v>
      </c>
      <c r="F186">
        <f t="shared" si="38"/>
        <v>120.732021072432</v>
      </c>
      <c r="G186">
        <f t="shared" si="39"/>
        <v>1519.0638447051401</v>
      </c>
      <c r="H186">
        <f t="shared" si="40"/>
        <v>120.732021072432</v>
      </c>
      <c r="I186">
        <v>1</v>
      </c>
      <c r="J186">
        <f t="shared" si="41"/>
        <v>109.02574961746778</v>
      </c>
      <c r="K186">
        <f t="shared" si="42"/>
        <v>1217.5938447051401</v>
      </c>
      <c r="M186">
        <v>5370.1675680000317</v>
      </c>
      <c r="N186">
        <f t="shared" si="44"/>
        <v>396</v>
      </c>
      <c r="O186">
        <f t="shared" si="45"/>
        <v>397</v>
      </c>
      <c r="P186" cm="1">
        <f t="array" ref="P186">INDEX($C$2:$C$14395,$N186,0)</f>
        <v>361.18800000000005</v>
      </c>
      <c r="Q186" cm="1">
        <f t="array" ref="Q186">INDEX($C$2:$C$14395,$O186,0)</f>
        <v>0</v>
      </c>
      <c r="R186" cm="1">
        <f t="array" ref="R186">INDEX($D$2:$D$14395,$N186,0)</f>
        <v>-1209.0989280000001</v>
      </c>
      <c r="S186" cm="1">
        <f t="array" ref="S186">INDEX($D$2:$D$14395,$O186,0)</f>
        <v>0</v>
      </c>
      <c r="T186">
        <f t="shared" si="46"/>
        <v>-17976.964488435955</v>
      </c>
      <c r="U186">
        <f t="shared" si="47"/>
        <v>1807.6287217234565</v>
      </c>
      <c r="V186">
        <f t="shared" si="48"/>
        <v>1798.8110206418789</v>
      </c>
      <c r="W186">
        <f t="shared" si="49"/>
        <v>3037.6437217234566</v>
      </c>
      <c r="X186">
        <f t="shared" si="50"/>
        <v>3205.3687217234565</v>
      </c>
      <c r="Y186">
        <f t="shared" si="51"/>
        <v>1798.8110206418789</v>
      </c>
      <c r="Z186">
        <f t="shared" si="52"/>
        <v>1624.396893248269</v>
      </c>
      <c r="AA186">
        <f t="shared" si="53"/>
        <v>2903.8987217234562</v>
      </c>
    </row>
    <row r="187" spans="1:27" x14ac:dyDescent="0.35">
      <c r="A187">
        <v>555</v>
      </c>
      <c r="B187">
        <v>-3958.62</v>
      </c>
      <c r="C187">
        <f t="shared" si="43"/>
        <v>169.16400000000002</v>
      </c>
      <c r="D187">
        <f t="shared" si="36"/>
        <v>-1206.5873759999999</v>
      </c>
      <c r="E187">
        <f t="shared" si="37"/>
        <v>121.32537712523998</v>
      </c>
      <c r="F187">
        <f t="shared" si="38"/>
        <v>120.73354601731199</v>
      </c>
      <c r="G187">
        <f t="shared" si="39"/>
        <v>1519.06537712524</v>
      </c>
      <c r="H187">
        <f t="shared" si="40"/>
        <v>120.73354601731199</v>
      </c>
      <c r="I187">
        <v>1</v>
      </c>
      <c r="J187">
        <f t="shared" si="41"/>
        <v>109.02712670249616</v>
      </c>
      <c r="K187">
        <f t="shared" si="42"/>
        <v>1217.59537712524</v>
      </c>
      <c r="M187">
        <v>5392.8957420000306</v>
      </c>
      <c r="N187">
        <f t="shared" si="44"/>
        <v>396</v>
      </c>
      <c r="O187">
        <f t="shared" si="45"/>
        <v>397</v>
      </c>
      <c r="P187" cm="1">
        <f t="array" ref="P187">INDEX($C$2:$C$14395,$N187,0)</f>
        <v>361.18800000000005</v>
      </c>
      <c r="Q187" cm="1">
        <f t="array" ref="Q187">INDEX($C$2:$C$14395,$O187,0)</f>
        <v>0</v>
      </c>
      <c r="R187" cm="1">
        <f t="array" ref="R187">INDEX($D$2:$D$14395,$N187,0)</f>
        <v>-1209.0989280000001</v>
      </c>
      <c r="S187" cm="1">
        <f t="array" ref="S187">INDEX($D$2:$D$14395,$O187,0)</f>
        <v>0</v>
      </c>
      <c r="T187">
        <f t="shared" si="46"/>
        <v>-18053.048441443243</v>
      </c>
      <c r="U187">
        <f t="shared" si="47"/>
        <v>1815.2791534082219</v>
      </c>
      <c r="V187">
        <f t="shared" si="48"/>
        <v>1806.424133147694</v>
      </c>
      <c r="W187">
        <f t="shared" si="49"/>
        <v>3045.294153408222</v>
      </c>
      <c r="X187">
        <f t="shared" si="50"/>
        <v>3213.0191534082219</v>
      </c>
      <c r="Y187">
        <f t="shared" si="51"/>
        <v>1806.424133147694</v>
      </c>
      <c r="Z187">
        <f t="shared" si="52"/>
        <v>1631.2718323944518</v>
      </c>
      <c r="AA187">
        <f t="shared" si="53"/>
        <v>2911.5491534082221</v>
      </c>
    </row>
    <row r="188" spans="1:27" x14ac:dyDescent="0.35">
      <c r="A188">
        <v>558</v>
      </c>
      <c r="B188">
        <v>-3958.67</v>
      </c>
      <c r="C188">
        <f t="shared" si="43"/>
        <v>170.07840000000002</v>
      </c>
      <c r="D188">
        <f t="shared" si="36"/>
        <v>-1206.6026160000001</v>
      </c>
      <c r="E188">
        <f t="shared" si="37"/>
        <v>121.32690954534002</v>
      </c>
      <c r="F188">
        <f t="shared" si="38"/>
        <v>120.73507096219203</v>
      </c>
      <c r="G188">
        <f t="shared" si="39"/>
        <v>1519.06690954534</v>
      </c>
      <c r="H188">
        <f t="shared" si="40"/>
        <v>120.73507096219203</v>
      </c>
      <c r="I188">
        <v>1</v>
      </c>
      <c r="J188">
        <f t="shared" si="41"/>
        <v>109.02850378752457</v>
      </c>
      <c r="K188">
        <f t="shared" si="42"/>
        <v>1217.5969095453399</v>
      </c>
      <c r="M188">
        <v>5415.6383940000305</v>
      </c>
      <c r="N188">
        <f t="shared" si="44"/>
        <v>396</v>
      </c>
      <c r="O188">
        <f t="shared" si="45"/>
        <v>397</v>
      </c>
      <c r="P188" cm="1">
        <f t="array" ref="P188">INDEX($C$2:$C$14395,$N188,0)</f>
        <v>361.18800000000005</v>
      </c>
      <c r="Q188" cm="1">
        <f t="array" ref="Q188">INDEX($C$2:$C$14395,$O188,0)</f>
        <v>0</v>
      </c>
      <c r="R188" cm="1">
        <f t="array" ref="R188">INDEX($D$2:$D$14395,$N188,0)</f>
        <v>-1209.0989280000001</v>
      </c>
      <c r="S188" cm="1">
        <f t="array" ref="S188">INDEX($D$2:$D$14395,$O188,0)</f>
        <v>0</v>
      </c>
      <c r="T188">
        <f t="shared" si="46"/>
        <v>-18129.180860441316</v>
      </c>
      <c r="U188">
        <f t="shared" si="47"/>
        <v>1822.9344584695257</v>
      </c>
      <c r="V188">
        <f t="shared" si="48"/>
        <v>1814.0420952574793</v>
      </c>
      <c r="W188">
        <f t="shared" si="49"/>
        <v>3052.9494584695258</v>
      </c>
      <c r="X188">
        <f t="shared" si="50"/>
        <v>3220.6744584695257</v>
      </c>
      <c r="Y188">
        <f t="shared" si="51"/>
        <v>1814.0420952574793</v>
      </c>
      <c r="Z188">
        <f t="shared" si="52"/>
        <v>1638.1511509232</v>
      </c>
      <c r="AA188">
        <f t="shared" si="53"/>
        <v>2919.2044584695259</v>
      </c>
    </row>
    <row r="189" spans="1:27" x14ac:dyDescent="0.35">
      <c r="A189">
        <v>561</v>
      </c>
      <c r="B189">
        <v>-3958.72</v>
      </c>
      <c r="C189">
        <f t="shared" si="43"/>
        <v>170.99280000000002</v>
      </c>
      <c r="D189">
        <f t="shared" si="36"/>
        <v>-1206.6178560000001</v>
      </c>
      <c r="E189">
        <f t="shared" si="37"/>
        <v>121.32844196544002</v>
      </c>
      <c r="F189">
        <f t="shared" si="38"/>
        <v>120.736595907072</v>
      </c>
      <c r="G189">
        <f t="shared" si="39"/>
        <v>1519.0684419654401</v>
      </c>
      <c r="H189">
        <f t="shared" si="40"/>
        <v>120.736595907072</v>
      </c>
      <c r="I189">
        <v>1</v>
      </c>
      <c r="J189">
        <f t="shared" si="41"/>
        <v>109.02988087255297</v>
      </c>
      <c r="K189">
        <f t="shared" si="42"/>
        <v>1217.5984419654401</v>
      </c>
      <c r="M189">
        <v>5438.365044000031</v>
      </c>
      <c r="N189">
        <f t="shared" si="44"/>
        <v>396</v>
      </c>
      <c r="O189">
        <f t="shared" si="45"/>
        <v>397</v>
      </c>
      <c r="P189" cm="1">
        <f t="array" ref="P189">INDEX($C$2:$C$14395,$N189,0)</f>
        <v>361.18800000000005</v>
      </c>
      <c r="Q189" cm="1">
        <f t="array" ref="Q189">INDEX($C$2:$C$14395,$O189,0)</f>
        <v>0</v>
      </c>
      <c r="R189" cm="1">
        <f t="array" ref="R189">INDEX($D$2:$D$14395,$N189,0)</f>
        <v>-1209.0989280000001</v>
      </c>
      <c r="S189" cm="1">
        <f t="array" ref="S189">INDEX($D$2:$D$14395,$O189,0)</f>
        <v>0</v>
      </c>
      <c r="T189">
        <f t="shared" si="46"/>
        <v>-18205.259711765371</v>
      </c>
      <c r="U189">
        <f t="shared" si="47"/>
        <v>1830.5843771672874</v>
      </c>
      <c r="V189">
        <f t="shared" si="48"/>
        <v>1821.6546972786664</v>
      </c>
      <c r="W189">
        <f t="shared" si="49"/>
        <v>3060.5993771672875</v>
      </c>
      <c r="X189">
        <f t="shared" si="50"/>
        <v>3228.3243771672874</v>
      </c>
      <c r="Y189">
        <f t="shared" si="51"/>
        <v>1821.6546972786664</v>
      </c>
      <c r="Z189">
        <f t="shared" si="52"/>
        <v>1645.0256290817449</v>
      </c>
      <c r="AA189">
        <f t="shared" si="53"/>
        <v>2926.8543771672876</v>
      </c>
    </row>
    <row r="190" spans="1:27" x14ac:dyDescent="0.35">
      <c r="A190">
        <v>564</v>
      </c>
      <c r="B190">
        <v>-3958.77</v>
      </c>
      <c r="C190">
        <f t="shared" si="43"/>
        <v>171.90720000000002</v>
      </c>
      <c r="D190">
        <f t="shared" si="36"/>
        <v>-1206.633096</v>
      </c>
      <c r="E190">
        <f t="shared" si="37"/>
        <v>121.32997438554</v>
      </c>
      <c r="F190">
        <f t="shared" si="38"/>
        <v>120.738120851952</v>
      </c>
      <c r="G190">
        <f t="shared" si="39"/>
        <v>1519.06997438554</v>
      </c>
      <c r="H190">
        <f t="shared" si="40"/>
        <v>120.738120851952</v>
      </c>
      <c r="I190">
        <v>1</v>
      </c>
      <c r="J190">
        <f t="shared" si="41"/>
        <v>109.03125795758137</v>
      </c>
      <c r="K190">
        <f t="shared" si="42"/>
        <v>1217.59997438554</v>
      </c>
      <c r="M190">
        <v>5461.0756920000304</v>
      </c>
      <c r="N190">
        <f t="shared" si="44"/>
        <v>396</v>
      </c>
      <c r="O190">
        <f t="shared" si="45"/>
        <v>397</v>
      </c>
      <c r="P190" cm="1">
        <f t="array" ref="P190">INDEX($C$2:$C$14395,$N190,0)</f>
        <v>361.18800000000005</v>
      </c>
      <c r="Q190" cm="1">
        <f t="array" ref="Q190">INDEX($C$2:$C$14395,$O190,0)</f>
        <v>0</v>
      </c>
      <c r="R190" cm="1">
        <f t="array" ref="R190">INDEX($D$2:$D$14395,$N190,0)</f>
        <v>-1209.0989280000001</v>
      </c>
      <c r="S190" cm="1">
        <f t="array" ref="S190">INDEX($D$2:$D$14395,$O190,0)</f>
        <v>0</v>
      </c>
      <c r="T190">
        <f t="shared" si="46"/>
        <v>-18281.284995415393</v>
      </c>
      <c r="U190">
        <f t="shared" si="47"/>
        <v>1838.2289095015065</v>
      </c>
      <c r="V190">
        <f t="shared" si="48"/>
        <v>1829.2619392112554</v>
      </c>
      <c r="W190">
        <f t="shared" si="49"/>
        <v>3068.2439095015066</v>
      </c>
      <c r="X190">
        <f t="shared" si="50"/>
        <v>3235.9689095015065</v>
      </c>
      <c r="Y190">
        <f t="shared" si="51"/>
        <v>1829.2619392112554</v>
      </c>
      <c r="Z190">
        <f t="shared" si="52"/>
        <v>1651.8952668700854</v>
      </c>
      <c r="AA190">
        <f t="shared" si="53"/>
        <v>2934.4989095015062</v>
      </c>
    </row>
    <row r="191" spans="1:27" x14ac:dyDescent="0.35">
      <c r="A191">
        <v>567</v>
      </c>
      <c r="B191">
        <v>-3958.82</v>
      </c>
      <c r="C191">
        <f t="shared" si="43"/>
        <v>172.82160000000002</v>
      </c>
      <c r="D191">
        <f t="shared" si="36"/>
        <v>-1206.6483360000002</v>
      </c>
      <c r="E191">
        <f t="shared" si="37"/>
        <v>121.33150680564003</v>
      </c>
      <c r="F191">
        <f t="shared" si="38"/>
        <v>120.73964579683204</v>
      </c>
      <c r="G191">
        <f t="shared" si="39"/>
        <v>1519.07150680564</v>
      </c>
      <c r="H191">
        <f t="shared" si="40"/>
        <v>120.73964579683204</v>
      </c>
      <c r="I191">
        <v>1</v>
      </c>
      <c r="J191">
        <f t="shared" si="41"/>
        <v>109.0326350426098</v>
      </c>
      <c r="K191">
        <f t="shared" si="42"/>
        <v>1217.6015068056399</v>
      </c>
      <c r="M191">
        <v>5483.7878640000299</v>
      </c>
      <c r="N191">
        <f t="shared" si="44"/>
        <v>396</v>
      </c>
      <c r="O191">
        <f t="shared" si="45"/>
        <v>397</v>
      </c>
      <c r="P191" cm="1">
        <f t="array" ref="P191">INDEX($C$2:$C$14395,$N191,0)</f>
        <v>361.18800000000005</v>
      </c>
      <c r="Q191" cm="1">
        <f t="array" ref="Q191">INDEX($C$2:$C$14395,$O191,0)</f>
        <v>0</v>
      </c>
      <c r="R191" cm="1">
        <f t="array" ref="R191">INDEX($D$2:$D$14395,$N191,0)</f>
        <v>-1209.0989280000001</v>
      </c>
      <c r="S191" cm="1">
        <f t="array" ref="S191">INDEX($D$2:$D$14395,$O191,0)</f>
        <v>0</v>
      </c>
      <c r="T191">
        <f t="shared" si="46"/>
        <v>-18357.315380748656</v>
      </c>
      <c r="U191">
        <f t="shared" si="47"/>
        <v>1845.8739548227293</v>
      </c>
      <c r="V191">
        <f t="shared" si="48"/>
        <v>1836.8696916284723</v>
      </c>
      <c r="W191">
        <f t="shared" si="49"/>
        <v>3075.8889548227294</v>
      </c>
      <c r="X191">
        <f t="shared" si="50"/>
        <v>3243.6139548227293</v>
      </c>
      <c r="Y191">
        <f t="shared" si="51"/>
        <v>1836.8696916284723</v>
      </c>
      <c r="Z191">
        <f t="shared" si="52"/>
        <v>1658.7653656460645</v>
      </c>
      <c r="AA191">
        <f t="shared" si="53"/>
        <v>2942.143954822729</v>
      </c>
    </row>
    <row r="192" spans="1:27" x14ac:dyDescent="0.35">
      <c r="A192">
        <v>570</v>
      </c>
      <c r="B192">
        <v>-3958.87</v>
      </c>
      <c r="C192">
        <f t="shared" si="43"/>
        <v>173.73600000000002</v>
      </c>
      <c r="D192">
        <f t="shared" si="36"/>
        <v>-1206.6635759999999</v>
      </c>
      <c r="E192">
        <f t="shared" si="37"/>
        <v>121.33303922573998</v>
      </c>
      <c r="F192">
        <f t="shared" si="38"/>
        <v>120.74117074171198</v>
      </c>
      <c r="G192">
        <f t="shared" si="39"/>
        <v>1519.0730392257401</v>
      </c>
      <c r="H192">
        <f t="shared" si="40"/>
        <v>120.74117074171198</v>
      </c>
      <c r="I192">
        <v>1</v>
      </c>
      <c r="J192">
        <f t="shared" si="41"/>
        <v>109.03401212763816</v>
      </c>
      <c r="K192">
        <f t="shared" si="42"/>
        <v>1217.6030392257398</v>
      </c>
      <c r="M192">
        <v>5506.5015600000306</v>
      </c>
      <c r="N192">
        <f t="shared" si="44"/>
        <v>396</v>
      </c>
      <c r="O192">
        <f t="shared" si="45"/>
        <v>397</v>
      </c>
      <c r="P192" cm="1">
        <f t="array" ref="P192">INDEX($C$2:$C$14395,$N192,0)</f>
        <v>361.18800000000005</v>
      </c>
      <c r="Q192" cm="1">
        <f t="array" ref="Q192">INDEX($C$2:$C$14395,$O192,0)</f>
        <v>0</v>
      </c>
      <c r="R192" cm="1">
        <f t="array" ref="R192">INDEX($D$2:$D$14395,$N192,0)</f>
        <v>-1209.0989280000001</v>
      </c>
      <c r="S192" cm="1">
        <f t="array" ref="S192">INDEX($D$2:$D$14395,$O192,0)</f>
        <v>0</v>
      </c>
      <c r="T192">
        <f t="shared" si="46"/>
        <v>-18433.350867765166</v>
      </c>
      <c r="U192">
        <f t="shared" si="47"/>
        <v>1853.5195131309572</v>
      </c>
      <c r="V192">
        <f t="shared" si="48"/>
        <v>1844.4779545303181</v>
      </c>
      <c r="W192">
        <f t="shared" si="49"/>
        <v>3083.5345131309573</v>
      </c>
      <c r="X192">
        <f t="shared" si="50"/>
        <v>3251.2595131309572</v>
      </c>
      <c r="Y192">
        <f t="shared" si="51"/>
        <v>1844.4779545303181</v>
      </c>
      <c r="Z192">
        <f t="shared" si="52"/>
        <v>1665.6359254096824</v>
      </c>
      <c r="AA192">
        <f t="shared" si="53"/>
        <v>2949.7895131309569</v>
      </c>
    </row>
    <row r="193" spans="1:27" x14ac:dyDescent="0.35">
      <c r="A193">
        <v>573</v>
      </c>
      <c r="B193">
        <v>-3958.92</v>
      </c>
      <c r="C193">
        <f t="shared" si="43"/>
        <v>174.65040000000002</v>
      </c>
      <c r="D193">
        <f t="shared" si="36"/>
        <v>-1206.6788160000001</v>
      </c>
      <c r="E193">
        <f t="shared" si="37"/>
        <v>121.33457164584001</v>
      </c>
      <c r="F193">
        <f t="shared" si="38"/>
        <v>120.74269568659201</v>
      </c>
      <c r="G193">
        <f t="shared" si="39"/>
        <v>1519.07457164584</v>
      </c>
      <c r="H193">
        <f t="shared" si="40"/>
        <v>120.74269568659201</v>
      </c>
      <c r="I193">
        <v>1</v>
      </c>
      <c r="J193">
        <f t="shared" si="41"/>
        <v>109.03538921266659</v>
      </c>
      <c r="K193">
        <f t="shared" si="42"/>
        <v>1217.60457164584</v>
      </c>
      <c r="M193">
        <v>5529.2183040000309</v>
      </c>
      <c r="N193">
        <f t="shared" si="44"/>
        <v>396</v>
      </c>
      <c r="O193">
        <f t="shared" si="45"/>
        <v>397</v>
      </c>
      <c r="P193" cm="1">
        <f t="array" ref="P193">INDEX($C$2:$C$14395,$N193,0)</f>
        <v>361.18800000000005</v>
      </c>
      <c r="Q193" cm="1">
        <f t="array" ref="Q193">INDEX($C$2:$C$14395,$O193,0)</f>
        <v>0</v>
      </c>
      <c r="R193" cm="1">
        <f t="array" ref="R193">INDEX($D$2:$D$14395,$N193,0)</f>
        <v>-1209.0989280000001</v>
      </c>
      <c r="S193" cm="1">
        <f t="array" ref="S193">INDEX($D$2:$D$14395,$O193,0)</f>
        <v>0</v>
      </c>
      <c r="T193">
        <f t="shared" si="46"/>
        <v>-18509.396558148153</v>
      </c>
      <c r="U193">
        <f t="shared" si="47"/>
        <v>1861.1660974131921</v>
      </c>
      <c r="V193">
        <f t="shared" si="48"/>
        <v>1852.0872384014208</v>
      </c>
      <c r="W193">
        <f t="shared" si="49"/>
        <v>3091.1810974131922</v>
      </c>
      <c r="X193">
        <f t="shared" si="50"/>
        <v>3258.9060974131921</v>
      </c>
      <c r="Y193">
        <f t="shared" si="51"/>
        <v>1852.0872384014208</v>
      </c>
      <c r="Z193">
        <f t="shared" si="52"/>
        <v>1672.5074071485769</v>
      </c>
      <c r="AA193">
        <f t="shared" si="53"/>
        <v>2957.4360974131923</v>
      </c>
    </row>
    <row r="194" spans="1:27" x14ac:dyDescent="0.35">
      <c r="A194">
        <v>576</v>
      </c>
      <c r="B194">
        <v>-3958.98</v>
      </c>
      <c r="C194">
        <f t="shared" si="43"/>
        <v>175.56480000000002</v>
      </c>
      <c r="D194">
        <f t="shared" si="36"/>
        <v>-1206.6971040000001</v>
      </c>
      <c r="E194">
        <f t="shared" si="37"/>
        <v>121.33641054996002</v>
      </c>
      <c r="F194">
        <f t="shared" si="38"/>
        <v>120.74452562044802</v>
      </c>
      <c r="G194">
        <f t="shared" si="39"/>
        <v>1519.07641054996</v>
      </c>
      <c r="H194">
        <f t="shared" si="40"/>
        <v>120.74452562044802</v>
      </c>
      <c r="I194">
        <v>1</v>
      </c>
      <c r="J194">
        <f t="shared" si="41"/>
        <v>109.03704171470065</v>
      </c>
      <c r="K194">
        <f t="shared" si="42"/>
        <v>1217.6064105499599</v>
      </c>
      <c r="M194">
        <v>5551.9380960000308</v>
      </c>
      <c r="N194">
        <f t="shared" si="44"/>
        <v>396</v>
      </c>
      <c r="O194">
        <f t="shared" si="45"/>
        <v>397</v>
      </c>
      <c r="P194" cm="1">
        <f t="array" ref="P194">INDEX($C$2:$C$14395,$N194,0)</f>
        <v>361.18800000000005</v>
      </c>
      <c r="Q194" cm="1">
        <f t="array" ref="Q194">INDEX($C$2:$C$14395,$O194,0)</f>
        <v>0</v>
      </c>
      <c r="R194" cm="1">
        <f t="array" ref="R194">INDEX($D$2:$D$14395,$N194,0)</f>
        <v>-1209.0989280000001</v>
      </c>
      <c r="S194" cm="1">
        <f t="array" ref="S194">INDEX($D$2:$D$14395,$O194,0)</f>
        <v>0</v>
      </c>
      <c r="T194">
        <f t="shared" si="46"/>
        <v>-18585.452451897621</v>
      </c>
      <c r="U194">
        <f t="shared" si="47"/>
        <v>1868.8137076694354</v>
      </c>
      <c r="V194">
        <f t="shared" si="48"/>
        <v>1859.6975432417798</v>
      </c>
      <c r="W194">
        <f t="shared" si="49"/>
        <v>3098.8287076694355</v>
      </c>
      <c r="X194">
        <f t="shared" si="50"/>
        <v>3266.5537076694354</v>
      </c>
      <c r="Y194">
        <f t="shared" si="51"/>
        <v>1859.6975432417798</v>
      </c>
      <c r="Z194">
        <f t="shared" si="52"/>
        <v>1679.3798108627484</v>
      </c>
      <c r="AA194">
        <f t="shared" si="53"/>
        <v>2965.0837076694352</v>
      </c>
    </row>
    <row r="195" spans="1:27" x14ac:dyDescent="0.35">
      <c r="A195">
        <v>579</v>
      </c>
      <c r="B195">
        <v>-3959.03</v>
      </c>
      <c r="C195">
        <f t="shared" si="43"/>
        <v>176.47920000000002</v>
      </c>
      <c r="D195">
        <f t="shared" ref="D195:D258" si="54">B195*0.3048</f>
        <v>-1206.712344</v>
      </c>
      <c r="E195">
        <f t="shared" ref="E195:E258" si="55">D195*-1*1025*9.81/10^5</f>
        <v>121.33794297006001</v>
      </c>
      <c r="F195">
        <f t="shared" ref="F195:F258" si="56">1020*D195*-1*9.81/10^5</f>
        <v>120.74605056532801</v>
      </c>
      <c r="G195">
        <f t="shared" ref="G195:G258" si="57">1397.74+E195</f>
        <v>1519.0779429700601</v>
      </c>
      <c r="H195">
        <f t="shared" ref="H195:H258" si="58">F195</f>
        <v>120.74605056532801</v>
      </c>
      <c r="I195">
        <v>1</v>
      </c>
      <c r="J195">
        <f t="shared" ref="J195:J258" si="59">921.1*D195*-1*9.81/10^5</f>
        <v>109.03841879972904</v>
      </c>
      <c r="K195">
        <f t="shared" ref="K195:K258" si="60">1096.27+E195</f>
        <v>1217.6079429700601</v>
      </c>
      <c r="M195">
        <v>5574.6556020000307</v>
      </c>
      <c r="N195">
        <f t="shared" si="44"/>
        <v>396</v>
      </c>
      <c r="O195">
        <f t="shared" si="45"/>
        <v>397</v>
      </c>
      <c r="P195" cm="1">
        <f t="array" ref="P195">INDEX($C$2:$C$14395,$N195,0)</f>
        <v>361.18800000000005</v>
      </c>
      <c r="Q195" cm="1">
        <f t="array" ref="Q195">INDEX($C$2:$C$14395,$O195,0)</f>
        <v>0</v>
      </c>
      <c r="R195" cm="1">
        <f t="array" ref="R195">INDEX($D$2:$D$14395,$N195,0)</f>
        <v>-1209.0989280000001</v>
      </c>
      <c r="S195" cm="1">
        <f t="array" ref="S195">INDEX($D$2:$D$14395,$O195,0)</f>
        <v>0</v>
      </c>
      <c r="T195">
        <f t="shared" si="46"/>
        <v>-18661.500693122231</v>
      </c>
      <c r="U195">
        <f t="shared" si="47"/>
        <v>1876.4605484451731</v>
      </c>
      <c r="V195">
        <f t="shared" si="48"/>
        <v>1867.3070823551968</v>
      </c>
      <c r="W195">
        <f t="shared" si="49"/>
        <v>3106.4755484451734</v>
      </c>
      <c r="X195">
        <f t="shared" si="50"/>
        <v>3274.2005484451729</v>
      </c>
      <c r="Y195">
        <f t="shared" si="51"/>
        <v>1867.3070823551968</v>
      </c>
      <c r="Z195">
        <f t="shared" si="52"/>
        <v>1686.2515230954623</v>
      </c>
      <c r="AA195">
        <f t="shared" si="53"/>
        <v>2972.7305484451731</v>
      </c>
    </row>
    <row r="196" spans="1:27" x14ac:dyDescent="0.35">
      <c r="A196">
        <v>582</v>
      </c>
      <c r="B196">
        <v>-3959.08</v>
      </c>
      <c r="C196">
        <f t="shared" ref="C196:C259" si="61">A196*0.3048</f>
        <v>177.39360000000002</v>
      </c>
      <c r="D196">
        <f t="shared" si="54"/>
        <v>-1206.727584</v>
      </c>
      <c r="E196">
        <f t="shared" si="55"/>
        <v>121.33947539016</v>
      </c>
      <c r="F196">
        <f t="shared" si="56"/>
        <v>120.74757551020801</v>
      </c>
      <c r="G196">
        <f t="shared" si="57"/>
        <v>1519.07947539016</v>
      </c>
      <c r="H196">
        <f t="shared" si="58"/>
        <v>120.74757551020801</v>
      </c>
      <c r="I196">
        <v>1</v>
      </c>
      <c r="J196">
        <f t="shared" si="59"/>
        <v>109.03979588475745</v>
      </c>
      <c r="K196">
        <f t="shared" si="60"/>
        <v>1217.60947539016</v>
      </c>
      <c r="M196">
        <v>5597.3708220000608</v>
      </c>
      <c r="N196">
        <f t="shared" ref="N196:N259" si="62">MATCH($M196,$C$2:$C$14395,1)</f>
        <v>396</v>
      </c>
      <c r="O196">
        <f t="shared" ref="O196:O259" si="63">N196+1</f>
        <v>397</v>
      </c>
      <c r="P196" cm="1">
        <f t="array" ref="P196">INDEX($C$2:$C$14395,$N196,0)</f>
        <v>361.18800000000005</v>
      </c>
      <c r="Q196" cm="1">
        <f t="array" ref="Q196">INDEX($C$2:$C$14395,$O196,0)</f>
        <v>0</v>
      </c>
      <c r="R196" cm="1">
        <f t="array" ref="R196">INDEX($D$2:$D$14395,$N196,0)</f>
        <v>-1209.0989280000001</v>
      </c>
      <c r="S196" cm="1">
        <f t="array" ref="S196">INDEX($D$2:$D$14395,$O196,0)</f>
        <v>0</v>
      </c>
      <c r="T196">
        <f t="shared" ref="T196:T259" si="64">FORECAST(M196,R196:S196,P196:Q196)</f>
        <v>-18737.541281822076</v>
      </c>
      <c r="U196">
        <f t="shared" ref="U196:U259" si="65">1025*T196*-1*9.81/10^5</f>
        <v>1884.1066197404143</v>
      </c>
      <c r="V196">
        <f t="shared" ref="V196:V259" si="66">1020*T196*-1*9.81/10^5</f>
        <v>1874.9158557416806</v>
      </c>
      <c r="W196">
        <f t="shared" ref="W196:W259" si="67">1230.015+U196</f>
        <v>3114.1216197404146</v>
      </c>
      <c r="X196">
        <f t="shared" ref="X196:X259" si="68">1397.74+U196</f>
        <v>3281.8466197404141</v>
      </c>
      <c r="Y196">
        <f t="shared" ref="Y196:Y259" si="69">V196</f>
        <v>1874.9158557416806</v>
      </c>
      <c r="Z196">
        <f t="shared" ref="Z196:Z259" si="70">921.1*T196*-1*9.81/10^5</f>
        <v>1693.1225438467277</v>
      </c>
      <c r="AA196">
        <f t="shared" ref="AA196:AA259" si="71">1096.27+U196</f>
        <v>2980.3766197404143</v>
      </c>
    </row>
    <row r="197" spans="1:27" x14ac:dyDescent="0.35">
      <c r="A197">
        <v>585</v>
      </c>
      <c r="B197">
        <v>-3959.13</v>
      </c>
      <c r="C197">
        <f t="shared" si="61"/>
        <v>178.30800000000002</v>
      </c>
      <c r="D197">
        <f t="shared" si="54"/>
        <v>-1206.7428240000002</v>
      </c>
      <c r="E197">
        <f t="shared" si="55"/>
        <v>121.34100781026002</v>
      </c>
      <c r="F197">
        <f t="shared" si="56"/>
        <v>120.74910045508803</v>
      </c>
      <c r="G197">
        <f t="shared" si="57"/>
        <v>1519.08100781026</v>
      </c>
      <c r="H197">
        <f t="shared" si="58"/>
        <v>120.74910045508803</v>
      </c>
      <c r="I197">
        <v>1</v>
      </c>
      <c r="J197">
        <f t="shared" si="59"/>
        <v>109.04117296978588</v>
      </c>
      <c r="K197">
        <f t="shared" si="60"/>
        <v>1217.6110078102599</v>
      </c>
      <c r="M197">
        <v>5620.1561460000612</v>
      </c>
      <c r="N197">
        <f t="shared" si="62"/>
        <v>396</v>
      </c>
      <c r="O197">
        <f t="shared" si="63"/>
        <v>397</v>
      </c>
      <c r="P197" cm="1">
        <f t="array" ref="P197">INDEX($C$2:$C$14395,$N197,0)</f>
        <v>361.18800000000005</v>
      </c>
      <c r="Q197" cm="1">
        <f t="array" ref="Q197">INDEX($C$2:$C$14395,$O197,0)</f>
        <v>0</v>
      </c>
      <c r="R197" cm="1">
        <f t="array" ref="R197">INDEX($D$2:$D$14395,$N197,0)</f>
        <v>-1209.0989280000001</v>
      </c>
      <c r="S197" cm="1">
        <f t="array" ref="S197">INDEX($D$2:$D$14395,$O197,0)</f>
        <v>0</v>
      </c>
      <c r="T197">
        <f t="shared" si="64"/>
        <v>-18813.81654795089</v>
      </c>
      <c r="U197">
        <f t="shared" si="65"/>
        <v>1891.7762884378319</v>
      </c>
      <c r="V197">
        <f t="shared" si="66"/>
        <v>1882.548111421062</v>
      </c>
      <c r="W197">
        <f t="shared" si="67"/>
        <v>3121.791288437832</v>
      </c>
      <c r="X197">
        <f t="shared" si="68"/>
        <v>3289.5162884378319</v>
      </c>
      <c r="Y197">
        <f t="shared" si="69"/>
        <v>1882.548111421062</v>
      </c>
      <c r="Z197">
        <f t="shared" si="70"/>
        <v>1700.0147700293533</v>
      </c>
      <c r="AA197">
        <f t="shared" si="71"/>
        <v>2988.0462884378321</v>
      </c>
    </row>
    <row r="198" spans="1:27" x14ac:dyDescent="0.35">
      <c r="A198">
        <v>588</v>
      </c>
      <c r="B198">
        <v>-3959.18</v>
      </c>
      <c r="C198">
        <f t="shared" si="61"/>
        <v>179.22240000000002</v>
      </c>
      <c r="D198">
        <f t="shared" si="54"/>
        <v>-1206.7580640000001</v>
      </c>
      <c r="E198">
        <f t="shared" si="55"/>
        <v>121.34254023036002</v>
      </c>
      <c r="F198">
        <f t="shared" si="56"/>
        <v>120.75062539996803</v>
      </c>
      <c r="G198">
        <f t="shared" si="57"/>
        <v>1519.0825402303601</v>
      </c>
      <c r="H198">
        <f t="shared" si="58"/>
        <v>120.75062539996803</v>
      </c>
      <c r="I198">
        <v>1</v>
      </c>
      <c r="J198">
        <f t="shared" si="59"/>
        <v>109.04255005481426</v>
      </c>
      <c r="K198">
        <f t="shared" si="60"/>
        <v>1217.6125402303601</v>
      </c>
      <c r="M198">
        <v>5643.011574000062</v>
      </c>
      <c r="N198">
        <f t="shared" si="62"/>
        <v>396</v>
      </c>
      <c r="O198">
        <f t="shared" si="63"/>
        <v>397</v>
      </c>
      <c r="P198" cm="1">
        <f t="array" ref="P198">INDEX($C$2:$C$14395,$N198,0)</f>
        <v>361.18800000000005</v>
      </c>
      <c r="Q198" cm="1">
        <f t="array" ref="Q198">INDEX($C$2:$C$14395,$O198,0)</f>
        <v>0</v>
      </c>
      <c r="R198" cm="1">
        <f t="array" ref="R198">INDEX($D$2:$D$14395,$N198,0)</f>
        <v>-1209.0989280000001</v>
      </c>
      <c r="S198" cm="1">
        <f t="array" ref="S198">INDEX($D$2:$D$14395,$O198,0)</f>
        <v>0</v>
      </c>
      <c r="T198">
        <f t="shared" si="64"/>
        <v>-18890.326491508764</v>
      </c>
      <c r="U198">
        <f t="shared" si="65"/>
        <v>1899.4695545374352</v>
      </c>
      <c r="V198">
        <f t="shared" si="66"/>
        <v>1890.2038493933501</v>
      </c>
      <c r="W198">
        <f t="shared" si="67"/>
        <v>3129.4845545374355</v>
      </c>
      <c r="X198">
        <f t="shared" si="68"/>
        <v>3297.209554537435</v>
      </c>
      <c r="Y198">
        <f t="shared" si="69"/>
        <v>1890.2038493933501</v>
      </c>
      <c r="Z198">
        <f t="shared" si="70"/>
        <v>1706.9282016433478</v>
      </c>
      <c r="AA198">
        <f t="shared" si="71"/>
        <v>2995.7395545374352</v>
      </c>
    </row>
    <row r="199" spans="1:27" x14ac:dyDescent="0.35">
      <c r="A199">
        <v>591</v>
      </c>
      <c r="B199">
        <v>-3959.22</v>
      </c>
      <c r="C199">
        <f t="shared" si="61"/>
        <v>180.13680000000002</v>
      </c>
      <c r="D199">
        <f t="shared" si="54"/>
        <v>-1206.770256</v>
      </c>
      <c r="E199">
        <f t="shared" si="55"/>
        <v>121.34376616644002</v>
      </c>
      <c r="F199">
        <f t="shared" si="56"/>
        <v>120.75184535587201</v>
      </c>
      <c r="G199">
        <f t="shared" si="57"/>
        <v>1519.08376616644</v>
      </c>
      <c r="H199">
        <f t="shared" si="58"/>
        <v>120.75184535587201</v>
      </c>
      <c r="I199">
        <v>1</v>
      </c>
      <c r="J199">
        <f t="shared" si="59"/>
        <v>109.04365172283696</v>
      </c>
      <c r="K199">
        <f t="shared" si="60"/>
        <v>1217.61376616644</v>
      </c>
      <c r="M199">
        <v>5665.8014700000613</v>
      </c>
      <c r="N199">
        <f t="shared" si="62"/>
        <v>396</v>
      </c>
      <c r="O199">
        <f t="shared" si="63"/>
        <v>397</v>
      </c>
      <c r="P199" cm="1">
        <f t="array" ref="P199">INDEX($C$2:$C$14395,$N199,0)</f>
        <v>361.18800000000005</v>
      </c>
      <c r="Q199" cm="1">
        <f t="array" ref="Q199">INDEX($C$2:$C$14395,$O199,0)</f>
        <v>0</v>
      </c>
      <c r="R199" cm="1">
        <f t="array" ref="R199">INDEX($D$2:$D$14395,$N199,0)</f>
        <v>-1209.0989280000001</v>
      </c>
      <c r="S199" cm="1">
        <f t="array" ref="S199">INDEX($D$2:$D$14395,$O199,0)</f>
        <v>0</v>
      </c>
      <c r="T199">
        <f t="shared" si="64"/>
        <v>-18966.617062687292</v>
      </c>
      <c r="U199">
        <f t="shared" si="65"/>
        <v>1907.140762195864</v>
      </c>
      <c r="V199">
        <f t="shared" si="66"/>
        <v>1897.8376365266158</v>
      </c>
      <c r="W199">
        <f t="shared" si="67"/>
        <v>3137.1557621958641</v>
      </c>
      <c r="X199">
        <f t="shared" si="68"/>
        <v>3304.880762195864</v>
      </c>
      <c r="Y199">
        <f t="shared" si="69"/>
        <v>1897.8376365266158</v>
      </c>
      <c r="Z199">
        <f t="shared" si="70"/>
        <v>1713.8218107888881</v>
      </c>
      <c r="AA199">
        <f t="shared" si="71"/>
        <v>3003.4107621958638</v>
      </c>
    </row>
    <row r="200" spans="1:27" x14ac:dyDescent="0.35">
      <c r="A200">
        <v>594</v>
      </c>
      <c r="B200">
        <v>-3959.26</v>
      </c>
      <c r="C200">
        <f t="shared" si="61"/>
        <v>181.05120000000002</v>
      </c>
      <c r="D200">
        <f t="shared" si="54"/>
        <v>-1206.7824480000002</v>
      </c>
      <c r="E200">
        <f t="shared" si="55"/>
        <v>121.34499210252002</v>
      </c>
      <c r="F200">
        <f t="shared" si="56"/>
        <v>120.75306531177603</v>
      </c>
      <c r="G200">
        <f t="shared" si="57"/>
        <v>1519.0849921025201</v>
      </c>
      <c r="H200">
        <f t="shared" si="58"/>
        <v>120.75306531177603</v>
      </c>
      <c r="I200">
        <v>1</v>
      </c>
      <c r="J200">
        <f t="shared" si="59"/>
        <v>109.0447533908597</v>
      </c>
      <c r="K200">
        <f t="shared" si="60"/>
        <v>1217.6149921025201</v>
      </c>
      <c r="M200">
        <v>5688.525834000061</v>
      </c>
      <c r="N200">
        <f t="shared" si="62"/>
        <v>396</v>
      </c>
      <c r="O200">
        <f t="shared" si="63"/>
        <v>397</v>
      </c>
      <c r="P200" cm="1">
        <f t="array" ref="P200">INDEX($C$2:$C$14395,$N200,0)</f>
        <v>361.18800000000005</v>
      </c>
      <c r="Q200" cm="1">
        <f t="array" ref="Q200">INDEX($C$2:$C$14395,$O200,0)</f>
        <v>0</v>
      </c>
      <c r="R200" cm="1">
        <f t="array" ref="R200">INDEX($D$2:$D$14395,$N200,0)</f>
        <v>-1209.0989280000001</v>
      </c>
      <c r="S200" cm="1">
        <f t="array" ref="S200">INDEX($D$2:$D$14395,$O200,0)</f>
        <v>0</v>
      </c>
      <c r="T200">
        <f t="shared" si="64"/>
        <v>-19042.688261486481</v>
      </c>
      <c r="U200">
        <f t="shared" si="65"/>
        <v>1914.7899114131194</v>
      </c>
      <c r="V200">
        <f t="shared" si="66"/>
        <v>1905.4494728208601</v>
      </c>
      <c r="W200">
        <f t="shared" si="67"/>
        <v>3144.8049114131195</v>
      </c>
      <c r="X200">
        <f t="shared" si="68"/>
        <v>3312.5299114131194</v>
      </c>
      <c r="Y200">
        <f t="shared" si="69"/>
        <v>1905.4494728208601</v>
      </c>
      <c r="Z200">
        <f t="shared" si="70"/>
        <v>1720.695597465975</v>
      </c>
      <c r="AA200">
        <f t="shared" si="71"/>
        <v>3011.0599114131192</v>
      </c>
    </row>
    <row r="201" spans="1:27" x14ac:dyDescent="0.35">
      <c r="A201">
        <v>597</v>
      </c>
      <c r="B201">
        <v>-3959.31</v>
      </c>
      <c r="C201">
        <f t="shared" si="61"/>
        <v>181.96560000000002</v>
      </c>
      <c r="D201">
        <f t="shared" si="54"/>
        <v>-1206.7976880000001</v>
      </c>
      <c r="E201">
        <f t="shared" si="55"/>
        <v>121.34652452262002</v>
      </c>
      <c r="F201">
        <f t="shared" si="56"/>
        <v>120.75459025665602</v>
      </c>
      <c r="G201">
        <f t="shared" si="57"/>
        <v>1519.08652452262</v>
      </c>
      <c r="H201">
        <f t="shared" si="58"/>
        <v>120.75459025665602</v>
      </c>
      <c r="I201">
        <v>1</v>
      </c>
      <c r="J201">
        <f t="shared" si="59"/>
        <v>109.04613047588811</v>
      </c>
      <c r="K201">
        <f t="shared" si="60"/>
        <v>1217.61652452262</v>
      </c>
      <c r="M201">
        <v>5711.2517220000609</v>
      </c>
      <c r="N201">
        <f t="shared" si="62"/>
        <v>396</v>
      </c>
      <c r="O201">
        <f t="shared" si="63"/>
        <v>397</v>
      </c>
      <c r="P201" cm="1">
        <f t="array" ref="P201">INDEX($C$2:$C$14395,$N201,0)</f>
        <v>361.18800000000005</v>
      </c>
      <c r="Q201" cm="1">
        <f t="array" ref="Q201">INDEX($C$2:$C$14395,$O201,0)</f>
        <v>0</v>
      </c>
      <c r="R201" cm="1">
        <f t="array" ref="R201">INDEX($D$2:$D$14395,$N201,0)</f>
        <v>-1209.0989280000001</v>
      </c>
      <c r="S201" cm="1">
        <f t="array" ref="S201">INDEX($D$2:$D$14395,$O201,0)</f>
        <v>0</v>
      </c>
      <c r="T201">
        <f t="shared" si="64"/>
        <v>-19118.764561968914</v>
      </c>
      <c r="U201">
        <f t="shared" si="65"/>
        <v>1922.4395736173794</v>
      </c>
      <c r="V201">
        <f t="shared" si="66"/>
        <v>1913.0618195997336</v>
      </c>
      <c r="W201">
        <f t="shared" si="67"/>
        <v>3152.4545736173795</v>
      </c>
      <c r="X201">
        <f t="shared" si="68"/>
        <v>3320.1795736173794</v>
      </c>
      <c r="Y201">
        <f t="shared" si="69"/>
        <v>1913.0618195997336</v>
      </c>
      <c r="Z201">
        <f t="shared" si="70"/>
        <v>1727.5698451307005</v>
      </c>
      <c r="AA201">
        <f t="shared" si="71"/>
        <v>3018.7095736173796</v>
      </c>
    </row>
    <row r="202" spans="1:27" x14ac:dyDescent="0.35">
      <c r="A202">
        <v>600</v>
      </c>
      <c r="B202">
        <v>-3959.37</v>
      </c>
      <c r="C202">
        <f t="shared" si="61"/>
        <v>182.88</v>
      </c>
      <c r="D202">
        <f t="shared" si="54"/>
        <v>-1206.8159760000001</v>
      </c>
      <c r="E202">
        <f t="shared" si="55"/>
        <v>121.34836342674001</v>
      </c>
      <c r="F202">
        <f t="shared" si="56"/>
        <v>120.75642019051202</v>
      </c>
      <c r="G202">
        <f t="shared" si="57"/>
        <v>1519.08836342674</v>
      </c>
      <c r="H202">
        <f t="shared" si="58"/>
        <v>120.75642019051202</v>
      </c>
      <c r="I202">
        <v>1</v>
      </c>
      <c r="J202">
        <f t="shared" si="59"/>
        <v>109.04778297792217</v>
      </c>
      <c r="K202">
        <f t="shared" si="60"/>
        <v>1217.61836342674</v>
      </c>
      <c r="M202">
        <v>5733.9791340000611</v>
      </c>
      <c r="N202">
        <f t="shared" si="62"/>
        <v>396</v>
      </c>
      <c r="O202">
        <f t="shared" si="63"/>
        <v>397</v>
      </c>
      <c r="P202" cm="1">
        <f t="array" ref="P202">INDEX($C$2:$C$14395,$N202,0)</f>
        <v>361.18800000000005</v>
      </c>
      <c r="Q202" cm="1">
        <f t="array" ref="Q202">INDEX($C$2:$C$14395,$O202,0)</f>
        <v>0</v>
      </c>
      <c r="R202" cm="1">
        <f t="array" ref="R202">INDEX($D$2:$D$14395,$N202,0)</f>
        <v>-1209.0989280000001</v>
      </c>
      <c r="S202" cm="1">
        <f t="array" ref="S202">INDEX($D$2:$D$14395,$O202,0)</f>
        <v>0</v>
      </c>
      <c r="T202">
        <f t="shared" si="64"/>
        <v>-19194.845964134583</v>
      </c>
      <c r="U202">
        <f t="shared" si="65"/>
        <v>1930.0897488086425</v>
      </c>
      <c r="V202">
        <f t="shared" si="66"/>
        <v>1920.6746768632347</v>
      </c>
      <c r="W202">
        <f t="shared" si="67"/>
        <v>3160.1047488086424</v>
      </c>
      <c r="X202">
        <f t="shared" si="68"/>
        <v>3327.8297488086428</v>
      </c>
      <c r="Y202">
        <f t="shared" si="69"/>
        <v>1920.6746768632347</v>
      </c>
      <c r="Z202">
        <f t="shared" si="70"/>
        <v>1734.4445537830643</v>
      </c>
      <c r="AA202">
        <f t="shared" si="71"/>
        <v>3026.3597488086425</v>
      </c>
    </row>
    <row r="203" spans="1:27" x14ac:dyDescent="0.35">
      <c r="A203">
        <v>603</v>
      </c>
      <c r="B203">
        <v>-3959.43</v>
      </c>
      <c r="C203">
        <f t="shared" si="61"/>
        <v>183.7944</v>
      </c>
      <c r="D203">
        <f t="shared" si="54"/>
        <v>-1206.8342640000001</v>
      </c>
      <c r="E203">
        <f t="shared" si="55"/>
        <v>121.35020233086001</v>
      </c>
      <c r="F203">
        <f t="shared" si="56"/>
        <v>120.75825012436802</v>
      </c>
      <c r="G203">
        <f t="shared" si="57"/>
        <v>1519.0902023308599</v>
      </c>
      <c r="H203">
        <f t="shared" si="58"/>
        <v>120.75825012436802</v>
      </c>
      <c r="I203">
        <v>1</v>
      </c>
      <c r="J203">
        <f t="shared" si="59"/>
        <v>109.04943547995627</v>
      </c>
      <c r="K203">
        <f t="shared" si="60"/>
        <v>1217.6202023308599</v>
      </c>
      <c r="M203">
        <v>5756.7088320000303</v>
      </c>
      <c r="N203">
        <f t="shared" si="62"/>
        <v>396</v>
      </c>
      <c r="O203">
        <f t="shared" si="63"/>
        <v>397</v>
      </c>
      <c r="P203" cm="1">
        <f t="array" ref="P203">INDEX($C$2:$C$14395,$N203,0)</f>
        <v>361.18800000000005</v>
      </c>
      <c r="Q203" cm="1">
        <f t="array" ref="Q203">INDEX($C$2:$C$14395,$O203,0)</f>
        <v>0</v>
      </c>
      <c r="R203" cm="1">
        <f t="array" ref="R203">INDEX($D$2:$D$14395,$N203,0)</f>
        <v>-1209.0989280000001</v>
      </c>
      <c r="S203" cm="1">
        <f t="array" ref="S203">INDEX($D$2:$D$14395,$O203,0)</f>
        <v>0</v>
      </c>
      <c r="T203">
        <f t="shared" si="64"/>
        <v>-19270.935018825014</v>
      </c>
      <c r="U203">
        <f t="shared" si="65"/>
        <v>1937.7406934804026</v>
      </c>
      <c r="V203">
        <f t="shared" si="66"/>
        <v>1928.2882998536686</v>
      </c>
      <c r="W203">
        <f t="shared" si="67"/>
        <v>3167.7556934804024</v>
      </c>
      <c r="X203">
        <f t="shared" si="68"/>
        <v>3335.4806934804028</v>
      </c>
      <c r="Y203">
        <f t="shared" si="69"/>
        <v>1928.2882998536686</v>
      </c>
      <c r="Z203">
        <f t="shared" si="70"/>
        <v>1741.3199539168766</v>
      </c>
      <c r="AA203">
        <f t="shared" si="71"/>
        <v>3034.0106934804026</v>
      </c>
    </row>
    <row r="204" spans="1:27" x14ac:dyDescent="0.35">
      <c r="A204">
        <v>606</v>
      </c>
      <c r="B204">
        <v>-3959.49</v>
      </c>
      <c r="C204">
        <f t="shared" si="61"/>
        <v>184.7088</v>
      </c>
      <c r="D204">
        <f t="shared" si="54"/>
        <v>-1206.8525520000001</v>
      </c>
      <c r="E204">
        <f t="shared" si="55"/>
        <v>121.35204123498001</v>
      </c>
      <c r="F204">
        <f t="shared" si="56"/>
        <v>120.76008005822399</v>
      </c>
      <c r="G204">
        <f t="shared" si="57"/>
        <v>1519.0920412349801</v>
      </c>
      <c r="H204">
        <f t="shared" si="58"/>
        <v>120.76008005822399</v>
      </c>
      <c r="I204">
        <v>1</v>
      </c>
      <c r="J204">
        <f t="shared" si="59"/>
        <v>109.05108798199034</v>
      </c>
      <c r="K204">
        <f t="shared" si="60"/>
        <v>1217.6220412349801</v>
      </c>
      <c r="M204">
        <v>5779.4408160000312</v>
      </c>
      <c r="N204">
        <f t="shared" si="62"/>
        <v>396</v>
      </c>
      <c r="O204">
        <f t="shared" si="63"/>
        <v>397</v>
      </c>
      <c r="P204" cm="1">
        <f t="array" ref="P204">INDEX($C$2:$C$14395,$N204,0)</f>
        <v>361.18800000000005</v>
      </c>
      <c r="Q204" cm="1">
        <f t="array" ref="Q204">INDEX($C$2:$C$14395,$O204,0)</f>
        <v>0</v>
      </c>
      <c r="R204" cm="1">
        <f t="array" ref="R204">INDEX($D$2:$D$14395,$N204,0)</f>
        <v>-1209.0989280000001</v>
      </c>
      <c r="S204" cm="1">
        <f t="array" ref="S204">INDEX($D$2:$D$14395,$O204,0)</f>
        <v>0</v>
      </c>
      <c r="T204">
        <f t="shared" si="64"/>
        <v>-19347.031726040408</v>
      </c>
      <c r="U204">
        <f t="shared" si="65"/>
        <v>1945.3924076326782</v>
      </c>
      <c r="V204">
        <f t="shared" si="66"/>
        <v>1935.9026885710555</v>
      </c>
      <c r="W204">
        <f t="shared" si="67"/>
        <v>3175.4074076326783</v>
      </c>
      <c r="X204">
        <f t="shared" si="68"/>
        <v>3343.1324076326782</v>
      </c>
      <c r="Y204">
        <f t="shared" si="69"/>
        <v>1935.9026885710555</v>
      </c>
      <c r="Z204">
        <f t="shared" si="70"/>
        <v>1748.1960455321562</v>
      </c>
      <c r="AA204">
        <f t="shared" si="71"/>
        <v>3041.662407632678</v>
      </c>
    </row>
    <row r="205" spans="1:27" x14ac:dyDescent="0.35">
      <c r="A205">
        <v>609</v>
      </c>
      <c r="B205">
        <v>-3959.54</v>
      </c>
      <c r="C205">
        <f t="shared" si="61"/>
        <v>185.6232</v>
      </c>
      <c r="D205">
        <f t="shared" si="54"/>
        <v>-1206.867792</v>
      </c>
      <c r="E205">
        <f t="shared" si="55"/>
        <v>121.35357365508001</v>
      </c>
      <c r="F205">
        <f t="shared" si="56"/>
        <v>120.76160500310401</v>
      </c>
      <c r="G205">
        <f t="shared" si="57"/>
        <v>1519.09357365508</v>
      </c>
      <c r="H205">
        <f t="shared" si="58"/>
        <v>120.76160500310401</v>
      </c>
      <c r="I205">
        <v>1</v>
      </c>
      <c r="J205">
        <f t="shared" si="59"/>
        <v>109.05246506701872</v>
      </c>
      <c r="K205">
        <f t="shared" si="60"/>
        <v>1217.62357365508</v>
      </c>
      <c r="M205">
        <v>5802.1674660000608</v>
      </c>
      <c r="N205">
        <f t="shared" si="62"/>
        <v>396</v>
      </c>
      <c r="O205">
        <f t="shared" si="63"/>
        <v>397</v>
      </c>
      <c r="P205" cm="1">
        <f t="array" ref="P205">INDEX($C$2:$C$14395,$N205,0)</f>
        <v>361.18800000000005</v>
      </c>
      <c r="Q205" cm="1">
        <f t="array" ref="Q205">INDEX($C$2:$C$14395,$O205,0)</f>
        <v>0</v>
      </c>
      <c r="R205" cm="1">
        <f t="array" ref="R205">INDEX($D$2:$D$14395,$N205,0)</f>
        <v>-1209.0989280000001</v>
      </c>
      <c r="S205" cm="1">
        <f t="array" ref="S205">INDEX($D$2:$D$14395,$O205,0)</f>
        <v>0</v>
      </c>
      <c r="T205">
        <f t="shared" si="64"/>
        <v>-19423.110577364558</v>
      </c>
      <c r="U205">
        <f t="shared" si="65"/>
        <v>1953.0423263304497</v>
      </c>
      <c r="V205">
        <f t="shared" si="66"/>
        <v>1943.5152905922525</v>
      </c>
      <c r="W205">
        <f t="shared" si="67"/>
        <v>3183.0573263304495</v>
      </c>
      <c r="X205">
        <f t="shared" si="68"/>
        <v>3350.7823263304499</v>
      </c>
      <c r="Y205">
        <f t="shared" si="69"/>
        <v>1943.5152905922525</v>
      </c>
      <c r="Z205">
        <f t="shared" si="70"/>
        <v>1755.0705236907097</v>
      </c>
      <c r="AA205">
        <f t="shared" si="71"/>
        <v>3049.3123263304497</v>
      </c>
    </row>
    <row r="206" spans="1:27" x14ac:dyDescent="0.35">
      <c r="A206">
        <v>612</v>
      </c>
      <c r="B206">
        <v>-3959.58</v>
      </c>
      <c r="C206">
        <f t="shared" si="61"/>
        <v>186.5376</v>
      </c>
      <c r="D206">
        <f t="shared" si="54"/>
        <v>-1206.8799840000001</v>
      </c>
      <c r="E206">
        <f t="shared" si="55"/>
        <v>121.35479959116003</v>
      </c>
      <c r="F206">
        <f t="shared" si="56"/>
        <v>120.76282495900803</v>
      </c>
      <c r="G206">
        <f t="shared" si="57"/>
        <v>1519.0947995911602</v>
      </c>
      <c r="H206">
        <f t="shared" si="58"/>
        <v>120.76282495900803</v>
      </c>
      <c r="I206">
        <v>1</v>
      </c>
      <c r="J206">
        <f t="shared" si="59"/>
        <v>109.05356673504146</v>
      </c>
      <c r="K206">
        <f t="shared" si="60"/>
        <v>1217.6247995911599</v>
      </c>
      <c r="M206">
        <v>5824.8887820000609</v>
      </c>
      <c r="N206">
        <f t="shared" si="62"/>
        <v>396</v>
      </c>
      <c r="O206">
        <f t="shared" si="63"/>
        <v>397</v>
      </c>
      <c r="P206" cm="1">
        <f t="array" ref="P206">INDEX($C$2:$C$14395,$N206,0)</f>
        <v>361.18800000000005</v>
      </c>
      <c r="Q206" cm="1">
        <f t="array" ref="Q206">INDEX($C$2:$C$14395,$O206,0)</f>
        <v>0</v>
      </c>
      <c r="R206" cm="1">
        <f t="array" ref="R206">INDEX($D$2:$D$14395,$N206,0)</f>
        <v>-1209.0989280000001</v>
      </c>
      <c r="S206" cm="1">
        <f t="array" ref="S206">INDEX($D$2:$D$14395,$O206,0)</f>
        <v>0</v>
      </c>
      <c r="T206">
        <f t="shared" si="64"/>
        <v>-19499.171572797266</v>
      </c>
      <c r="U206">
        <f t="shared" si="65"/>
        <v>1960.6904495736972</v>
      </c>
      <c r="V206">
        <f t="shared" si="66"/>
        <v>1951.12610591724</v>
      </c>
      <c r="W206">
        <f t="shared" si="67"/>
        <v>3190.7054495736975</v>
      </c>
      <c r="X206">
        <f t="shared" si="68"/>
        <v>3358.4304495736969</v>
      </c>
      <c r="Y206">
        <f t="shared" si="69"/>
        <v>1951.12610591724</v>
      </c>
      <c r="Z206">
        <f t="shared" si="70"/>
        <v>1761.9433883925194</v>
      </c>
      <c r="AA206">
        <f t="shared" si="71"/>
        <v>3056.9604495736971</v>
      </c>
    </row>
    <row r="207" spans="1:27" x14ac:dyDescent="0.35">
      <c r="A207">
        <v>615</v>
      </c>
      <c r="B207">
        <v>-3959.63</v>
      </c>
      <c r="C207">
        <f t="shared" si="61"/>
        <v>187.452</v>
      </c>
      <c r="D207">
        <f t="shared" si="54"/>
        <v>-1206.8952240000001</v>
      </c>
      <c r="E207">
        <f t="shared" si="55"/>
        <v>121.35633201126002</v>
      </c>
      <c r="F207">
        <f t="shared" si="56"/>
        <v>120.76434990388803</v>
      </c>
      <c r="G207">
        <f t="shared" si="57"/>
        <v>1519.0963320112601</v>
      </c>
      <c r="H207">
        <f t="shared" si="58"/>
        <v>120.76434990388803</v>
      </c>
      <c r="I207">
        <v>1</v>
      </c>
      <c r="J207">
        <f t="shared" si="59"/>
        <v>109.05494382006987</v>
      </c>
      <c r="K207">
        <f t="shared" si="60"/>
        <v>1217.62633201126</v>
      </c>
      <c r="M207">
        <v>5847.6078120000611</v>
      </c>
      <c r="N207">
        <f t="shared" si="62"/>
        <v>396</v>
      </c>
      <c r="O207">
        <f t="shared" si="63"/>
        <v>397</v>
      </c>
      <c r="P207" cm="1">
        <f t="array" ref="P207">INDEX($C$2:$C$14395,$N207,0)</f>
        <v>361.18800000000005</v>
      </c>
      <c r="Q207" cm="1">
        <f t="array" ref="Q207">INDEX($C$2:$C$14395,$O207,0)</f>
        <v>0</v>
      </c>
      <c r="R207" cm="1">
        <f t="array" ref="R207">INDEX($D$2:$D$14395,$N207,0)</f>
        <v>-1209.0989280000001</v>
      </c>
      <c r="S207" cm="1">
        <f t="array" ref="S207">INDEX($D$2:$D$14395,$O207,0)</f>
        <v>0</v>
      </c>
      <c r="T207">
        <f t="shared" si="64"/>
        <v>-19575.224915705116</v>
      </c>
      <c r="U207">
        <f t="shared" si="65"/>
        <v>1968.3378033364388</v>
      </c>
      <c r="V207">
        <f t="shared" si="66"/>
        <v>1958.7361555152854</v>
      </c>
      <c r="W207">
        <f t="shared" si="67"/>
        <v>3198.3528033364391</v>
      </c>
      <c r="X207">
        <f t="shared" si="68"/>
        <v>3366.0778033364386</v>
      </c>
      <c r="Y207">
        <f t="shared" si="69"/>
        <v>1958.7361555152854</v>
      </c>
      <c r="Z207">
        <f t="shared" si="70"/>
        <v>1768.815561612872</v>
      </c>
      <c r="AA207">
        <f t="shared" si="71"/>
        <v>3064.6078033364388</v>
      </c>
    </row>
    <row r="208" spans="1:27" x14ac:dyDescent="0.35">
      <c r="A208">
        <v>618</v>
      </c>
      <c r="B208">
        <v>-3959.68</v>
      </c>
      <c r="C208">
        <f t="shared" si="61"/>
        <v>188.3664</v>
      </c>
      <c r="D208">
        <f t="shared" si="54"/>
        <v>-1206.910464</v>
      </c>
      <c r="E208">
        <f t="shared" si="55"/>
        <v>121.35786443136001</v>
      </c>
      <c r="F208">
        <f t="shared" si="56"/>
        <v>120.76587484876801</v>
      </c>
      <c r="G208">
        <f t="shared" si="57"/>
        <v>1519.09786443136</v>
      </c>
      <c r="H208">
        <f t="shared" si="58"/>
        <v>120.76587484876801</v>
      </c>
      <c r="I208">
        <v>1</v>
      </c>
      <c r="J208">
        <f t="shared" si="59"/>
        <v>109.05632090509825</v>
      </c>
      <c r="K208">
        <f t="shared" si="60"/>
        <v>1217.62786443136</v>
      </c>
      <c r="M208">
        <v>5870.3245560000614</v>
      </c>
      <c r="N208">
        <f t="shared" si="62"/>
        <v>396</v>
      </c>
      <c r="O208">
        <f t="shared" si="63"/>
        <v>397</v>
      </c>
      <c r="P208" cm="1">
        <f t="array" ref="P208">INDEX($C$2:$C$14395,$N208,0)</f>
        <v>361.18800000000005</v>
      </c>
      <c r="Q208" cm="1">
        <f t="array" ref="Q208">INDEX($C$2:$C$14395,$O208,0)</f>
        <v>0</v>
      </c>
      <c r="R208" cm="1">
        <f t="array" ref="R208">INDEX($D$2:$D$14395,$N208,0)</f>
        <v>-1209.0989280000001</v>
      </c>
      <c r="S208" cm="1">
        <f t="array" ref="S208">INDEX($D$2:$D$14395,$O208,0)</f>
        <v>0</v>
      </c>
      <c r="T208">
        <f t="shared" si="64"/>
        <v>-19651.270606088103</v>
      </c>
      <c r="U208">
        <f t="shared" si="65"/>
        <v>1975.984387618674</v>
      </c>
      <c r="V208">
        <f t="shared" si="66"/>
        <v>1966.3454393863879</v>
      </c>
      <c r="W208">
        <f t="shared" si="67"/>
        <v>3205.9993876186741</v>
      </c>
      <c r="X208">
        <f t="shared" si="68"/>
        <v>3373.724387618674</v>
      </c>
      <c r="Y208">
        <f t="shared" si="69"/>
        <v>1966.3454393863879</v>
      </c>
      <c r="Z208">
        <f t="shared" si="70"/>
        <v>1775.6870433517665</v>
      </c>
      <c r="AA208">
        <f t="shared" si="71"/>
        <v>3072.2543876186737</v>
      </c>
    </row>
    <row r="209" spans="1:27" x14ac:dyDescent="0.35">
      <c r="A209">
        <v>621</v>
      </c>
      <c r="B209">
        <v>-3959.73</v>
      </c>
      <c r="C209">
        <f t="shared" si="61"/>
        <v>189.2808</v>
      </c>
      <c r="D209">
        <f t="shared" si="54"/>
        <v>-1206.925704</v>
      </c>
      <c r="E209">
        <f t="shared" si="55"/>
        <v>121.35939685146</v>
      </c>
      <c r="F209">
        <f t="shared" si="56"/>
        <v>120.76739979364801</v>
      </c>
      <c r="G209">
        <f t="shared" si="57"/>
        <v>1519.0993968514599</v>
      </c>
      <c r="H209">
        <f t="shared" si="58"/>
        <v>120.76739979364801</v>
      </c>
      <c r="I209">
        <v>1</v>
      </c>
      <c r="J209">
        <f t="shared" si="59"/>
        <v>109.05769799012664</v>
      </c>
      <c r="K209">
        <f t="shared" si="60"/>
        <v>1217.6293968514599</v>
      </c>
      <c r="M209">
        <v>5893.0397760000606</v>
      </c>
      <c r="N209">
        <f t="shared" si="62"/>
        <v>396</v>
      </c>
      <c r="O209">
        <f t="shared" si="63"/>
        <v>397</v>
      </c>
      <c r="P209" cm="1">
        <f t="array" ref="P209">INDEX($C$2:$C$14395,$N209,0)</f>
        <v>361.18800000000005</v>
      </c>
      <c r="Q209" cm="1">
        <f t="array" ref="Q209">INDEX($C$2:$C$14395,$O209,0)</f>
        <v>0</v>
      </c>
      <c r="R209" cm="1">
        <f t="array" ref="R209">INDEX($D$2:$D$14395,$N209,0)</f>
        <v>-1209.0989280000001</v>
      </c>
      <c r="S209" cm="1">
        <f t="array" ref="S209">INDEX($D$2:$D$14395,$O209,0)</f>
        <v>0</v>
      </c>
      <c r="T209">
        <f t="shared" si="64"/>
        <v>-19727.31119478785</v>
      </c>
      <c r="U209">
        <f t="shared" si="65"/>
        <v>1983.6304589139054</v>
      </c>
      <c r="V209">
        <f t="shared" si="66"/>
        <v>1973.9542127728621</v>
      </c>
      <c r="W209">
        <f t="shared" si="67"/>
        <v>3213.6454589139057</v>
      </c>
      <c r="X209">
        <f t="shared" si="68"/>
        <v>3381.3704589139052</v>
      </c>
      <c r="Y209">
        <f t="shared" si="69"/>
        <v>1973.9542127728621</v>
      </c>
      <c r="Z209">
        <f t="shared" si="70"/>
        <v>1782.5580641030226</v>
      </c>
      <c r="AA209">
        <f t="shared" si="71"/>
        <v>3079.9004589139054</v>
      </c>
    </row>
    <row r="210" spans="1:27" x14ac:dyDescent="0.35">
      <c r="A210">
        <v>624</v>
      </c>
      <c r="B210">
        <v>-3959.78</v>
      </c>
      <c r="C210">
        <f t="shared" si="61"/>
        <v>190.1952</v>
      </c>
      <c r="D210">
        <f t="shared" si="54"/>
        <v>-1206.9409440000002</v>
      </c>
      <c r="E210">
        <f t="shared" si="55"/>
        <v>121.36092927156001</v>
      </c>
      <c r="F210">
        <f t="shared" si="56"/>
        <v>120.76892473852804</v>
      </c>
      <c r="G210">
        <f t="shared" si="57"/>
        <v>1519.1009292715601</v>
      </c>
      <c r="H210">
        <f t="shared" si="58"/>
        <v>120.76892473852804</v>
      </c>
      <c r="I210">
        <v>1</v>
      </c>
      <c r="J210">
        <f t="shared" si="59"/>
        <v>109.05907507515506</v>
      </c>
      <c r="K210">
        <f t="shared" si="60"/>
        <v>1217.63092927156</v>
      </c>
      <c r="M210">
        <v>5915.7534720000613</v>
      </c>
      <c r="N210">
        <f t="shared" si="62"/>
        <v>396</v>
      </c>
      <c r="O210">
        <f t="shared" si="63"/>
        <v>397</v>
      </c>
      <c r="P210" cm="1">
        <f t="array" ref="P210">INDEX($C$2:$C$14395,$N210,0)</f>
        <v>361.18800000000005</v>
      </c>
      <c r="Q210" cm="1">
        <f t="array" ref="Q210">INDEX($C$2:$C$14395,$O210,0)</f>
        <v>0</v>
      </c>
      <c r="R210" cm="1">
        <f t="array" ref="R210">INDEX($D$2:$D$14395,$N210,0)</f>
        <v>-1209.0989280000001</v>
      </c>
      <c r="S210" cm="1">
        <f t="array" ref="S210">INDEX($D$2:$D$14395,$O210,0)</f>
        <v>0</v>
      </c>
      <c r="T210">
        <f t="shared" si="64"/>
        <v>-19803.346681804356</v>
      </c>
      <c r="U210">
        <f t="shared" si="65"/>
        <v>1991.2760172221326</v>
      </c>
      <c r="V210">
        <f t="shared" si="66"/>
        <v>1981.5624756747077</v>
      </c>
      <c r="W210">
        <f t="shared" si="67"/>
        <v>3221.2910172221327</v>
      </c>
      <c r="X210">
        <f t="shared" si="68"/>
        <v>3389.0160172221326</v>
      </c>
      <c r="Y210">
        <f t="shared" si="69"/>
        <v>1981.5624756747077</v>
      </c>
      <c r="Z210">
        <f t="shared" si="70"/>
        <v>1789.4286238666402</v>
      </c>
      <c r="AA210">
        <f t="shared" si="71"/>
        <v>3087.5460172221328</v>
      </c>
    </row>
    <row r="211" spans="1:27" x14ac:dyDescent="0.35">
      <c r="A211">
        <v>627</v>
      </c>
      <c r="B211">
        <v>-3959.83</v>
      </c>
      <c r="C211">
        <f t="shared" si="61"/>
        <v>191.1096</v>
      </c>
      <c r="D211">
        <f t="shared" si="54"/>
        <v>-1206.9561840000001</v>
      </c>
      <c r="E211">
        <f t="shared" si="55"/>
        <v>121.36246169166003</v>
      </c>
      <c r="F211">
        <f t="shared" si="56"/>
        <v>120.77044968340802</v>
      </c>
      <c r="G211">
        <f t="shared" si="57"/>
        <v>1519.10246169166</v>
      </c>
      <c r="H211">
        <f t="shared" si="58"/>
        <v>120.77044968340802</v>
      </c>
      <c r="I211">
        <v>1</v>
      </c>
      <c r="J211">
        <f t="shared" si="59"/>
        <v>109.06045216018347</v>
      </c>
      <c r="K211">
        <f t="shared" si="60"/>
        <v>1217.63246169166</v>
      </c>
      <c r="M211">
        <v>5938.4641200000615</v>
      </c>
      <c r="N211">
        <f t="shared" si="62"/>
        <v>396</v>
      </c>
      <c r="O211">
        <f t="shared" si="63"/>
        <v>397</v>
      </c>
      <c r="P211" cm="1">
        <f t="array" ref="P211">INDEX($C$2:$C$14395,$N211,0)</f>
        <v>361.18800000000005</v>
      </c>
      <c r="Q211" cm="1">
        <f t="array" ref="Q211">INDEX($C$2:$C$14395,$O211,0)</f>
        <v>0</v>
      </c>
      <c r="R211" cm="1">
        <f t="array" ref="R211">INDEX($D$2:$D$14395,$N211,0)</f>
        <v>-1209.0989280000001</v>
      </c>
      <c r="S211" cm="1">
        <f t="array" ref="S211">INDEX($D$2:$D$14395,$O211,0)</f>
        <v>0</v>
      </c>
      <c r="T211">
        <f t="shared" si="64"/>
        <v>-19879.371965454382</v>
      </c>
      <c r="U211">
        <f t="shared" si="65"/>
        <v>1998.9205495563515</v>
      </c>
      <c r="V211">
        <f t="shared" si="66"/>
        <v>1989.1697176072967</v>
      </c>
      <c r="W211">
        <f t="shared" si="67"/>
        <v>3228.9355495563514</v>
      </c>
      <c r="X211">
        <f t="shared" si="68"/>
        <v>3396.6605495563517</v>
      </c>
      <c r="Y211">
        <f t="shared" si="69"/>
        <v>1989.1697176072967</v>
      </c>
      <c r="Z211">
        <f t="shared" si="70"/>
        <v>1796.2982616549814</v>
      </c>
      <c r="AA211">
        <f t="shared" si="71"/>
        <v>3095.1905495563515</v>
      </c>
    </row>
    <row r="212" spans="1:27" x14ac:dyDescent="0.35">
      <c r="A212">
        <v>630</v>
      </c>
      <c r="B212">
        <v>-3959.89</v>
      </c>
      <c r="C212">
        <f t="shared" si="61"/>
        <v>192.024</v>
      </c>
      <c r="D212">
        <f t="shared" si="54"/>
        <v>-1206.9744720000001</v>
      </c>
      <c r="E212">
        <f t="shared" si="55"/>
        <v>121.36430059578001</v>
      </c>
      <c r="F212">
        <f t="shared" si="56"/>
        <v>120.77227961726403</v>
      </c>
      <c r="G212">
        <f t="shared" si="57"/>
        <v>1519.1043005957799</v>
      </c>
      <c r="H212">
        <f t="shared" si="58"/>
        <v>120.77227961726403</v>
      </c>
      <c r="I212">
        <v>1</v>
      </c>
      <c r="J212">
        <f t="shared" si="59"/>
        <v>109.06210466221754</v>
      </c>
      <c r="K212">
        <f t="shared" si="60"/>
        <v>1217.6343005957799</v>
      </c>
      <c r="M212">
        <v>5961.1717200000621</v>
      </c>
      <c r="N212">
        <f t="shared" si="62"/>
        <v>396</v>
      </c>
      <c r="O212">
        <f t="shared" si="63"/>
        <v>397</v>
      </c>
      <c r="P212" cm="1">
        <f t="array" ref="P212">INDEX($C$2:$C$14395,$N212,0)</f>
        <v>361.18800000000005</v>
      </c>
      <c r="Q212" cm="1">
        <f t="array" ref="Q212">INDEX($C$2:$C$14395,$O212,0)</f>
        <v>0</v>
      </c>
      <c r="R212" cm="1">
        <f t="array" ref="R212">INDEX($D$2:$D$14395,$N212,0)</f>
        <v>-1209.0989280000001</v>
      </c>
      <c r="S212" cm="1">
        <f t="array" ref="S212">INDEX($D$2:$D$14395,$O212,0)</f>
        <v>0</v>
      </c>
      <c r="T212">
        <f t="shared" si="64"/>
        <v>-19955.387045737931</v>
      </c>
      <c r="U212">
        <f t="shared" si="65"/>
        <v>2006.5640559165633</v>
      </c>
      <c r="V212">
        <f t="shared" si="66"/>
        <v>1996.7759385706288</v>
      </c>
      <c r="W212">
        <f t="shared" si="67"/>
        <v>3236.5790559165634</v>
      </c>
      <c r="X212">
        <f t="shared" si="68"/>
        <v>3404.3040559165634</v>
      </c>
      <c r="Y212">
        <f t="shared" si="69"/>
        <v>1996.7759385706288</v>
      </c>
      <c r="Z212">
        <f t="shared" si="70"/>
        <v>1803.1669774680454</v>
      </c>
      <c r="AA212">
        <f t="shared" si="71"/>
        <v>3102.8340559165636</v>
      </c>
    </row>
    <row r="213" spans="1:27" x14ac:dyDescent="0.35">
      <c r="A213">
        <v>633</v>
      </c>
      <c r="B213">
        <v>-3959.94</v>
      </c>
      <c r="C213">
        <f t="shared" si="61"/>
        <v>192.9384</v>
      </c>
      <c r="D213">
        <f t="shared" si="54"/>
        <v>-1206.9897120000001</v>
      </c>
      <c r="E213">
        <f t="shared" si="55"/>
        <v>121.36583301588001</v>
      </c>
      <c r="F213">
        <f t="shared" si="56"/>
        <v>120.77380456214399</v>
      </c>
      <c r="G213">
        <f t="shared" si="57"/>
        <v>1519.1058330158801</v>
      </c>
      <c r="H213">
        <f t="shared" si="58"/>
        <v>120.77380456214399</v>
      </c>
      <c r="I213">
        <v>1</v>
      </c>
      <c r="J213">
        <f t="shared" si="59"/>
        <v>109.06348174724594</v>
      </c>
      <c r="K213">
        <f t="shared" si="60"/>
        <v>1217.6358330158801</v>
      </c>
      <c r="M213">
        <v>5987.5369200000614</v>
      </c>
      <c r="N213">
        <f t="shared" si="62"/>
        <v>396</v>
      </c>
      <c r="O213">
        <f t="shared" si="63"/>
        <v>397</v>
      </c>
      <c r="P213" cm="1">
        <f t="array" ref="P213">INDEX($C$2:$C$14395,$N213,0)</f>
        <v>361.18800000000005</v>
      </c>
      <c r="Q213" cm="1">
        <f t="array" ref="Q213">INDEX($C$2:$C$14395,$O213,0)</f>
        <v>0</v>
      </c>
      <c r="R213" cm="1">
        <f t="array" ref="R213">INDEX($D$2:$D$14395,$N213,0)</f>
        <v>-1209.0989280000001</v>
      </c>
      <c r="S213" cm="1">
        <f t="array" ref="S213">INDEX($D$2:$D$14395,$O213,0)</f>
        <v>0</v>
      </c>
      <c r="T213">
        <f t="shared" si="64"/>
        <v>-20043.646165798687</v>
      </c>
      <c r="U213">
        <f t="shared" si="65"/>
        <v>2015.4387310864727</v>
      </c>
      <c r="V213">
        <f t="shared" si="66"/>
        <v>2005.6073226421483</v>
      </c>
      <c r="W213">
        <f t="shared" si="67"/>
        <v>3245.4537310864725</v>
      </c>
      <c r="X213">
        <f t="shared" si="68"/>
        <v>3413.1787310864729</v>
      </c>
      <c r="Y213">
        <f t="shared" si="69"/>
        <v>2005.6073226421483</v>
      </c>
      <c r="Z213">
        <f t="shared" si="70"/>
        <v>1811.1420636134144</v>
      </c>
      <c r="AA213">
        <f t="shared" si="71"/>
        <v>3111.7087310864727</v>
      </c>
    </row>
    <row r="214" spans="1:27" x14ac:dyDescent="0.35">
      <c r="A214">
        <v>636</v>
      </c>
      <c r="B214">
        <v>-3960</v>
      </c>
      <c r="C214">
        <f t="shared" si="61"/>
        <v>193.8528</v>
      </c>
      <c r="D214">
        <f t="shared" si="54"/>
        <v>-1207.008</v>
      </c>
      <c r="E214">
        <f t="shared" si="55"/>
        <v>121.36767191999999</v>
      </c>
      <c r="F214">
        <f t="shared" si="56"/>
        <v>120.77563449600002</v>
      </c>
      <c r="G214">
        <f t="shared" si="57"/>
        <v>1519.10767192</v>
      </c>
      <c r="H214">
        <f t="shared" si="58"/>
        <v>120.77563449600002</v>
      </c>
      <c r="I214">
        <v>1</v>
      </c>
      <c r="J214">
        <f t="shared" si="59"/>
        <v>109.06513424928001</v>
      </c>
      <c r="K214">
        <f t="shared" si="60"/>
        <v>1217.63767192</v>
      </c>
      <c r="M214">
        <v>6017.559720000062</v>
      </c>
      <c r="N214">
        <f t="shared" si="62"/>
        <v>396</v>
      </c>
      <c r="O214">
        <f t="shared" si="63"/>
        <v>397</v>
      </c>
      <c r="P214" cm="1">
        <f t="array" ref="P214">INDEX($C$2:$C$14395,$N214,0)</f>
        <v>361.18800000000005</v>
      </c>
      <c r="Q214" cm="1">
        <f t="array" ref="Q214">INDEX($C$2:$C$14395,$O214,0)</f>
        <v>0</v>
      </c>
      <c r="R214" cm="1">
        <f t="array" ref="R214">INDEX($D$2:$D$14395,$N214,0)</f>
        <v>-1209.0989280000001</v>
      </c>
      <c r="S214" cm="1">
        <f t="array" ref="S214">INDEX($D$2:$D$14395,$O214,0)</f>
        <v>0</v>
      </c>
      <c r="T214">
        <f t="shared" si="64"/>
        <v>-20144.149325636663</v>
      </c>
      <c r="U214">
        <f t="shared" si="65"/>
        <v>2025.5445750660804</v>
      </c>
      <c r="V214">
        <f t="shared" si="66"/>
        <v>2015.663869821856</v>
      </c>
      <c r="W214">
        <f t="shared" si="67"/>
        <v>3255.5595750660805</v>
      </c>
      <c r="X214">
        <f t="shared" si="68"/>
        <v>3423.2845750660804</v>
      </c>
      <c r="Y214">
        <f t="shared" si="69"/>
        <v>2015.663869821856</v>
      </c>
      <c r="Z214">
        <f t="shared" si="70"/>
        <v>1820.2235200910895</v>
      </c>
      <c r="AA214">
        <f t="shared" si="71"/>
        <v>3121.8145750660806</v>
      </c>
    </row>
    <row r="215" spans="1:27" x14ac:dyDescent="0.35">
      <c r="A215">
        <v>639</v>
      </c>
      <c r="B215">
        <v>-3960.04</v>
      </c>
      <c r="C215">
        <f t="shared" si="61"/>
        <v>194.7672</v>
      </c>
      <c r="D215">
        <f t="shared" si="54"/>
        <v>-1207.020192</v>
      </c>
      <c r="E215">
        <f t="shared" si="55"/>
        <v>121.36889785608001</v>
      </c>
      <c r="F215">
        <f t="shared" si="56"/>
        <v>120.776854451904</v>
      </c>
      <c r="G215">
        <f t="shared" si="57"/>
        <v>1519.1088978560799</v>
      </c>
      <c r="H215">
        <f t="shared" si="58"/>
        <v>120.776854451904</v>
      </c>
      <c r="I215">
        <v>1</v>
      </c>
      <c r="J215">
        <f t="shared" si="59"/>
        <v>109.06623591730272</v>
      </c>
      <c r="K215">
        <f t="shared" si="60"/>
        <v>1217.6388978560799</v>
      </c>
      <c r="M215">
        <v>6051.6211200000616</v>
      </c>
      <c r="N215">
        <f t="shared" si="62"/>
        <v>396</v>
      </c>
      <c r="O215">
        <f t="shared" si="63"/>
        <v>397</v>
      </c>
      <c r="P215" cm="1">
        <f t="array" ref="P215">INDEX($C$2:$C$14395,$N215,0)</f>
        <v>361.18800000000005</v>
      </c>
      <c r="Q215" cm="1">
        <f t="array" ref="Q215">INDEX($C$2:$C$14395,$O215,0)</f>
        <v>0</v>
      </c>
      <c r="R215" cm="1">
        <f t="array" ref="R215">INDEX($D$2:$D$14395,$N215,0)</f>
        <v>-1209.0989280000001</v>
      </c>
      <c r="S215" cm="1">
        <f t="array" ref="S215">INDEX($D$2:$D$14395,$O215,0)</f>
        <v>0</v>
      </c>
      <c r="T215">
        <f t="shared" si="64"/>
        <v>-20258.171946061979</v>
      </c>
      <c r="U215">
        <f t="shared" si="65"/>
        <v>2037.0098346063974</v>
      </c>
      <c r="V215">
        <f t="shared" si="66"/>
        <v>2027.0732012668539</v>
      </c>
      <c r="W215">
        <f t="shared" si="67"/>
        <v>3267.0248346063972</v>
      </c>
      <c r="X215">
        <f t="shared" si="68"/>
        <v>3434.7498346063976</v>
      </c>
      <c r="Y215">
        <f t="shared" si="69"/>
        <v>2027.0732012668539</v>
      </c>
      <c r="Z215">
        <f t="shared" si="70"/>
        <v>1830.5265938106857</v>
      </c>
      <c r="AA215">
        <f t="shared" si="71"/>
        <v>3133.2798346063973</v>
      </c>
    </row>
    <row r="216" spans="1:27" x14ac:dyDescent="0.35">
      <c r="A216">
        <v>642</v>
      </c>
      <c r="B216">
        <v>-3960.08</v>
      </c>
      <c r="C216">
        <f t="shared" si="61"/>
        <v>195.6816</v>
      </c>
      <c r="D216">
        <f t="shared" si="54"/>
        <v>-1207.0323840000001</v>
      </c>
      <c r="E216">
        <f t="shared" si="55"/>
        <v>121.37012379216003</v>
      </c>
      <c r="F216">
        <f t="shared" si="56"/>
        <v>120.77807440780799</v>
      </c>
      <c r="G216">
        <f t="shared" si="57"/>
        <v>1519.11012379216</v>
      </c>
      <c r="H216">
        <f t="shared" si="58"/>
        <v>120.77807440780799</v>
      </c>
      <c r="I216">
        <v>1</v>
      </c>
      <c r="J216">
        <f t="shared" si="59"/>
        <v>109.06733758532545</v>
      </c>
      <c r="K216">
        <f t="shared" si="60"/>
        <v>1217.64012379216</v>
      </c>
      <c r="M216">
        <v>6089.721120000062</v>
      </c>
      <c r="N216">
        <f t="shared" si="62"/>
        <v>396</v>
      </c>
      <c r="O216">
        <f t="shared" si="63"/>
        <v>397</v>
      </c>
      <c r="P216" cm="1">
        <f t="array" ref="P216">INDEX($C$2:$C$14395,$N216,0)</f>
        <v>361.18800000000005</v>
      </c>
      <c r="Q216" cm="1">
        <f t="array" ref="Q216">INDEX($C$2:$C$14395,$O216,0)</f>
        <v>0</v>
      </c>
      <c r="R216" cm="1">
        <f t="array" ref="R216">INDEX($D$2:$D$14395,$N216,0)</f>
        <v>-1209.0989280000001</v>
      </c>
      <c r="S216" cm="1">
        <f t="array" ref="S216">INDEX($D$2:$D$14395,$O216,0)</f>
        <v>0</v>
      </c>
      <c r="T216">
        <f t="shared" si="64"/>
        <v>-20385.714027074639</v>
      </c>
      <c r="U216">
        <f t="shared" si="65"/>
        <v>2049.8345097074225</v>
      </c>
      <c r="V216">
        <f t="shared" si="66"/>
        <v>2039.8353169771424</v>
      </c>
      <c r="W216">
        <f t="shared" si="67"/>
        <v>3279.8495097074228</v>
      </c>
      <c r="X216">
        <f t="shared" si="68"/>
        <v>3447.5745097074223</v>
      </c>
      <c r="Y216">
        <f t="shared" si="69"/>
        <v>2039.8353169771424</v>
      </c>
      <c r="Z216">
        <f t="shared" si="70"/>
        <v>1842.0512847722021</v>
      </c>
      <c r="AA216">
        <f t="shared" si="71"/>
        <v>3146.1045097074225</v>
      </c>
    </row>
    <row r="217" spans="1:27" x14ac:dyDescent="0.35">
      <c r="A217">
        <v>645</v>
      </c>
      <c r="B217">
        <v>-3960.13</v>
      </c>
      <c r="C217">
        <f t="shared" si="61"/>
        <v>196.596</v>
      </c>
      <c r="D217">
        <f t="shared" si="54"/>
        <v>-1207.047624</v>
      </c>
      <c r="E217">
        <f t="shared" si="55"/>
        <v>121.37165621226002</v>
      </c>
      <c r="F217">
        <f t="shared" si="56"/>
        <v>120.77959935268801</v>
      </c>
      <c r="G217">
        <f t="shared" si="57"/>
        <v>1519.11165621226</v>
      </c>
      <c r="H217">
        <f t="shared" si="58"/>
        <v>120.77959935268801</v>
      </c>
      <c r="I217">
        <v>1</v>
      </c>
      <c r="J217">
        <f t="shared" si="59"/>
        <v>109.06871467035387</v>
      </c>
      <c r="K217">
        <f t="shared" si="60"/>
        <v>1217.6416562122599</v>
      </c>
      <c r="M217">
        <v>6120.124920000062</v>
      </c>
      <c r="N217">
        <f t="shared" si="62"/>
        <v>396</v>
      </c>
      <c r="O217">
        <f t="shared" si="63"/>
        <v>397</v>
      </c>
      <c r="P217" cm="1">
        <f t="array" ref="P217">INDEX($C$2:$C$14395,$N217,0)</f>
        <v>361.18800000000005</v>
      </c>
      <c r="Q217" cm="1">
        <f t="array" ref="Q217">INDEX($C$2:$C$14395,$O217,0)</f>
        <v>0</v>
      </c>
      <c r="R217" cm="1">
        <f t="array" ref="R217">INDEX($D$2:$D$14395,$N217,0)</f>
        <v>-1209.0989280000001</v>
      </c>
      <c r="S217" cm="1">
        <f t="array" ref="S217">INDEX($D$2:$D$14395,$O217,0)</f>
        <v>0</v>
      </c>
      <c r="T217">
        <f t="shared" si="64"/>
        <v>-20487.492607722739</v>
      </c>
      <c r="U217">
        <f t="shared" si="65"/>
        <v>2060.0686004380409</v>
      </c>
      <c r="V217">
        <f t="shared" si="66"/>
        <v>2050.0194853139528</v>
      </c>
      <c r="W217">
        <f t="shared" si="67"/>
        <v>3290.0836004380408</v>
      </c>
      <c r="X217">
        <f t="shared" si="68"/>
        <v>3457.8086004380411</v>
      </c>
      <c r="Y217">
        <f t="shared" si="69"/>
        <v>2050.0194853139528</v>
      </c>
      <c r="Z217">
        <f t="shared" si="70"/>
        <v>1851.2479881594923</v>
      </c>
      <c r="AA217">
        <f t="shared" si="71"/>
        <v>3156.3386004380409</v>
      </c>
    </row>
    <row r="218" spans="1:27" x14ac:dyDescent="0.35">
      <c r="A218">
        <v>648</v>
      </c>
      <c r="B218">
        <v>-3960.17</v>
      </c>
      <c r="C218">
        <f t="shared" si="61"/>
        <v>197.5104</v>
      </c>
      <c r="D218">
        <f t="shared" si="54"/>
        <v>-1207.0598160000002</v>
      </c>
      <c r="E218">
        <f t="shared" si="55"/>
        <v>121.37288214834003</v>
      </c>
      <c r="F218">
        <f t="shared" si="56"/>
        <v>120.78081930859203</v>
      </c>
      <c r="G218">
        <f t="shared" si="57"/>
        <v>1519.1128821483401</v>
      </c>
      <c r="H218">
        <f t="shared" si="58"/>
        <v>120.78081930859203</v>
      </c>
      <c r="I218">
        <v>1</v>
      </c>
      <c r="J218">
        <f t="shared" si="59"/>
        <v>109.06981633837658</v>
      </c>
      <c r="K218">
        <f t="shared" si="60"/>
        <v>1217.64288214834</v>
      </c>
      <c r="M218">
        <v>6142.8325200000618</v>
      </c>
      <c r="N218">
        <f t="shared" si="62"/>
        <v>396</v>
      </c>
      <c r="O218">
        <f t="shared" si="63"/>
        <v>397</v>
      </c>
      <c r="P218" cm="1">
        <f t="array" ref="P218">INDEX($C$2:$C$14395,$N218,0)</f>
        <v>361.18800000000005</v>
      </c>
      <c r="Q218" cm="1">
        <f t="array" ref="Q218">INDEX($C$2:$C$14395,$O218,0)</f>
        <v>0</v>
      </c>
      <c r="R218" cm="1">
        <f t="array" ref="R218">INDEX($D$2:$D$14395,$N218,0)</f>
        <v>-1209.0989280000001</v>
      </c>
      <c r="S218" cm="1">
        <f t="array" ref="S218">INDEX($D$2:$D$14395,$O218,0)</f>
        <v>0</v>
      </c>
      <c r="T218">
        <f t="shared" si="64"/>
        <v>-20563.507688006284</v>
      </c>
      <c r="U218">
        <f t="shared" si="65"/>
        <v>2067.7121067982521</v>
      </c>
      <c r="V218">
        <f t="shared" si="66"/>
        <v>2057.6257062772847</v>
      </c>
      <c r="W218">
        <f t="shared" si="67"/>
        <v>3297.727106798252</v>
      </c>
      <c r="X218">
        <f t="shared" si="68"/>
        <v>3465.4521067982523</v>
      </c>
      <c r="Y218">
        <f t="shared" si="69"/>
        <v>2057.6257062772847</v>
      </c>
      <c r="Z218">
        <f t="shared" si="70"/>
        <v>1858.116703972556</v>
      </c>
      <c r="AA218">
        <f t="shared" si="71"/>
        <v>3163.9821067982521</v>
      </c>
    </row>
    <row r="219" spans="1:27" x14ac:dyDescent="0.35">
      <c r="A219">
        <v>651</v>
      </c>
      <c r="B219">
        <v>-3960.24</v>
      </c>
      <c r="C219">
        <f t="shared" si="61"/>
        <v>198.4248</v>
      </c>
      <c r="D219">
        <f t="shared" si="54"/>
        <v>-1207.081152</v>
      </c>
      <c r="E219">
        <f t="shared" si="55"/>
        <v>121.37502753648</v>
      </c>
      <c r="F219">
        <f t="shared" si="56"/>
        <v>120.782954231424</v>
      </c>
      <c r="G219">
        <f t="shared" si="57"/>
        <v>1519.1150275364801</v>
      </c>
      <c r="H219">
        <f t="shared" si="58"/>
        <v>120.782954231424</v>
      </c>
      <c r="I219">
        <v>1</v>
      </c>
      <c r="J219">
        <f t="shared" si="59"/>
        <v>109.07174425741631</v>
      </c>
      <c r="K219">
        <f t="shared" si="60"/>
        <v>1217.64502753648</v>
      </c>
      <c r="M219">
        <v>6165.5408820000612</v>
      </c>
      <c r="N219">
        <f t="shared" si="62"/>
        <v>396</v>
      </c>
      <c r="O219">
        <f t="shared" si="63"/>
        <v>397</v>
      </c>
      <c r="P219" cm="1">
        <f t="array" ref="P219">INDEX($C$2:$C$14395,$N219,0)</f>
        <v>361.18800000000005</v>
      </c>
      <c r="Q219" cm="1">
        <f t="array" ref="Q219">INDEX($C$2:$C$14395,$O219,0)</f>
        <v>0</v>
      </c>
      <c r="R219" cm="1">
        <f t="array" ref="R219">INDEX($D$2:$D$14395,$N219,0)</f>
        <v>-1209.0989280000001</v>
      </c>
      <c r="S219" cm="1">
        <f t="array" ref="S219">INDEX($D$2:$D$14395,$O219,0)</f>
        <v>0</v>
      </c>
      <c r="T219">
        <f t="shared" si="64"/>
        <v>-20639.525319131444</v>
      </c>
      <c r="U219">
        <f t="shared" si="65"/>
        <v>2075.3558696519649</v>
      </c>
      <c r="V219">
        <f t="shared" si="66"/>
        <v>2065.2321824829305</v>
      </c>
      <c r="W219">
        <f t="shared" si="67"/>
        <v>3305.3708696519652</v>
      </c>
      <c r="X219">
        <f t="shared" si="68"/>
        <v>3473.0958696519647</v>
      </c>
      <c r="Y219">
        <f t="shared" si="69"/>
        <v>2065.2321824829305</v>
      </c>
      <c r="Z219">
        <f t="shared" si="70"/>
        <v>1864.9856502794385</v>
      </c>
      <c r="AA219">
        <f t="shared" si="71"/>
        <v>3171.6258696519649</v>
      </c>
    </row>
    <row r="220" spans="1:27" x14ac:dyDescent="0.35">
      <c r="A220">
        <v>654</v>
      </c>
      <c r="B220">
        <v>-3960.32</v>
      </c>
      <c r="C220">
        <f t="shared" si="61"/>
        <v>199.33920000000001</v>
      </c>
      <c r="D220">
        <f t="shared" si="54"/>
        <v>-1207.105536</v>
      </c>
      <c r="E220">
        <f t="shared" si="55"/>
        <v>121.37747940864003</v>
      </c>
      <c r="F220">
        <f t="shared" si="56"/>
        <v>120.78539414323201</v>
      </c>
      <c r="G220">
        <f t="shared" si="57"/>
        <v>1519.1174794086401</v>
      </c>
      <c r="H220">
        <f t="shared" si="58"/>
        <v>120.78539414323201</v>
      </c>
      <c r="I220">
        <v>1</v>
      </c>
      <c r="J220">
        <f t="shared" si="59"/>
        <v>109.07394759346175</v>
      </c>
      <c r="K220">
        <f t="shared" si="60"/>
        <v>1217.64747940864</v>
      </c>
      <c r="M220">
        <v>6188.2500060000302</v>
      </c>
      <c r="N220">
        <f t="shared" si="62"/>
        <v>396</v>
      </c>
      <c r="O220">
        <f t="shared" si="63"/>
        <v>397</v>
      </c>
      <c r="P220" cm="1">
        <f t="array" ref="P220">INDEX($C$2:$C$14395,$N220,0)</f>
        <v>361.18800000000005</v>
      </c>
      <c r="Q220" cm="1">
        <f t="array" ref="Q220">INDEX($C$2:$C$14395,$O220,0)</f>
        <v>0</v>
      </c>
      <c r="R220" cm="1">
        <f t="array" ref="R220">INDEX($D$2:$D$14395,$N220,0)</f>
        <v>-1209.0989280000001</v>
      </c>
      <c r="S220" cm="1">
        <f t="array" ref="S220">INDEX($D$2:$D$14395,$O220,0)</f>
        <v>0</v>
      </c>
      <c r="T220">
        <f t="shared" si="64"/>
        <v>-20715.545501098128</v>
      </c>
      <c r="U220">
        <f t="shared" si="65"/>
        <v>2082.9998889991693</v>
      </c>
      <c r="V220">
        <f t="shared" si="66"/>
        <v>2072.8389139308811</v>
      </c>
      <c r="W220">
        <f t="shared" si="67"/>
        <v>3313.0148889991697</v>
      </c>
      <c r="X220">
        <f t="shared" si="68"/>
        <v>3480.7398889991691</v>
      </c>
      <c r="Y220">
        <f t="shared" si="69"/>
        <v>2072.8389139308811</v>
      </c>
      <c r="Z220">
        <f t="shared" si="70"/>
        <v>1871.8548270801318</v>
      </c>
      <c r="AA220">
        <f t="shared" si="71"/>
        <v>3179.2698889991693</v>
      </c>
    </row>
    <row r="221" spans="1:27" x14ac:dyDescent="0.35">
      <c r="A221">
        <v>657</v>
      </c>
      <c r="B221">
        <v>-3960.39</v>
      </c>
      <c r="C221">
        <f t="shared" si="61"/>
        <v>200.25360000000001</v>
      </c>
      <c r="D221">
        <f t="shared" si="54"/>
        <v>-1207.126872</v>
      </c>
      <c r="E221">
        <f t="shared" si="55"/>
        <v>121.37962479678001</v>
      </c>
      <c r="F221">
        <f t="shared" si="56"/>
        <v>120.78752906606402</v>
      </c>
      <c r="G221">
        <f t="shared" si="57"/>
        <v>1519.11962479678</v>
      </c>
      <c r="H221">
        <f t="shared" si="58"/>
        <v>120.78752906606402</v>
      </c>
      <c r="I221">
        <v>1</v>
      </c>
      <c r="J221">
        <f t="shared" si="59"/>
        <v>109.07587551250153</v>
      </c>
      <c r="K221">
        <f t="shared" si="60"/>
        <v>1217.64962479678</v>
      </c>
      <c r="M221">
        <v>6210.9598920000308</v>
      </c>
      <c r="N221">
        <f t="shared" si="62"/>
        <v>396</v>
      </c>
      <c r="O221">
        <f t="shared" si="63"/>
        <v>397</v>
      </c>
      <c r="P221" cm="1">
        <f t="array" ref="P221">INDEX($C$2:$C$14395,$N221,0)</f>
        <v>361.18800000000005</v>
      </c>
      <c r="Q221" cm="1">
        <f t="array" ref="Q221">INDEX($C$2:$C$14395,$O221,0)</f>
        <v>0</v>
      </c>
      <c r="R221" cm="1">
        <f t="array" ref="R221">INDEX($D$2:$D$14395,$N221,0)</f>
        <v>-1209.0989280000001</v>
      </c>
      <c r="S221" cm="1">
        <f t="array" ref="S221">INDEX($D$2:$D$14395,$O221,0)</f>
        <v>0</v>
      </c>
      <c r="T221">
        <f t="shared" si="64"/>
        <v>-20791.568233906532</v>
      </c>
      <c r="U221">
        <f t="shared" si="65"/>
        <v>2090.6441648398868</v>
      </c>
      <c r="V221">
        <f t="shared" si="66"/>
        <v>2080.4459006211555</v>
      </c>
      <c r="W221">
        <f t="shared" si="67"/>
        <v>3320.6591648398871</v>
      </c>
      <c r="X221">
        <f t="shared" si="68"/>
        <v>3488.3841648398866</v>
      </c>
      <c r="Y221">
        <f t="shared" si="69"/>
        <v>2080.4459006211555</v>
      </c>
      <c r="Z221">
        <f t="shared" si="70"/>
        <v>1878.7242343746534</v>
      </c>
      <c r="AA221">
        <f t="shared" si="71"/>
        <v>3186.9141648398868</v>
      </c>
    </row>
    <row r="222" spans="1:27" x14ac:dyDescent="0.35">
      <c r="A222">
        <v>660</v>
      </c>
      <c r="B222">
        <v>-3960.45</v>
      </c>
      <c r="C222">
        <f t="shared" si="61"/>
        <v>201.16800000000001</v>
      </c>
      <c r="D222">
        <f t="shared" si="54"/>
        <v>-1207.14516</v>
      </c>
      <c r="E222">
        <f t="shared" si="55"/>
        <v>121.38146370090003</v>
      </c>
      <c r="F222">
        <f t="shared" si="56"/>
        <v>120.78935899992</v>
      </c>
      <c r="G222">
        <f t="shared" si="57"/>
        <v>1519.1214637009</v>
      </c>
      <c r="H222">
        <f t="shared" si="58"/>
        <v>120.78935899992</v>
      </c>
      <c r="I222">
        <v>1</v>
      </c>
      <c r="J222">
        <f t="shared" si="59"/>
        <v>109.07752801453563</v>
      </c>
      <c r="K222">
        <f t="shared" si="60"/>
        <v>1217.6514637009</v>
      </c>
      <c r="M222">
        <v>6233.670540000031</v>
      </c>
      <c r="N222">
        <f t="shared" si="62"/>
        <v>396</v>
      </c>
      <c r="O222">
        <f t="shared" si="63"/>
        <v>397</v>
      </c>
      <c r="P222" cm="1">
        <f t="array" ref="P222">INDEX($C$2:$C$14395,$N222,0)</f>
        <v>361.18800000000005</v>
      </c>
      <c r="Q222" cm="1">
        <f t="array" ref="Q222">INDEX($C$2:$C$14395,$O222,0)</f>
        <v>0</v>
      </c>
      <c r="R222" cm="1">
        <f t="array" ref="R222">INDEX($D$2:$D$14395,$N222,0)</f>
        <v>-1209.0989280000001</v>
      </c>
      <c r="S222" cm="1">
        <f t="array" ref="S222">INDEX($D$2:$D$14395,$O222,0)</f>
        <v>0</v>
      </c>
      <c r="T222">
        <f t="shared" si="64"/>
        <v>-20867.593517556561</v>
      </c>
      <c r="U222">
        <f t="shared" si="65"/>
        <v>2098.2886971741063</v>
      </c>
      <c r="V222">
        <f t="shared" si="66"/>
        <v>2088.0531425537447</v>
      </c>
      <c r="W222">
        <f t="shared" si="67"/>
        <v>3328.3036971741067</v>
      </c>
      <c r="X222">
        <f t="shared" si="68"/>
        <v>3496.0286971741061</v>
      </c>
      <c r="Y222">
        <f t="shared" si="69"/>
        <v>2088.0531425537447</v>
      </c>
      <c r="Z222">
        <f t="shared" si="70"/>
        <v>1885.5938721629946</v>
      </c>
      <c r="AA222">
        <f t="shared" si="71"/>
        <v>3194.5586971741063</v>
      </c>
    </row>
    <row r="223" spans="1:27" x14ac:dyDescent="0.35">
      <c r="A223">
        <v>663</v>
      </c>
      <c r="B223">
        <v>-3960.49</v>
      </c>
      <c r="C223">
        <f t="shared" si="61"/>
        <v>202.08240000000001</v>
      </c>
      <c r="D223">
        <f t="shared" si="54"/>
        <v>-1207.1573519999999</v>
      </c>
      <c r="E223">
        <f t="shared" si="55"/>
        <v>121.38268963698</v>
      </c>
      <c r="F223">
        <f t="shared" si="56"/>
        <v>120.790578955824</v>
      </c>
      <c r="G223">
        <f t="shared" si="57"/>
        <v>1519.1226896369801</v>
      </c>
      <c r="H223">
        <f t="shared" si="58"/>
        <v>120.790578955824</v>
      </c>
      <c r="I223">
        <v>1</v>
      </c>
      <c r="J223">
        <f t="shared" si="59"/>
        <v>109.07862968255833</v>
      </c>
      <c r="K223">
        <f t="shared" si="60"/>
        <v>1217.6526896369801</v>
      </c>
      <c r="M223">
        <v>6256.38195000003</v>
      </c>
      <c r="N223">
        <f t="shared" si="62"/>
        <v>396</v>
      </c>
      <c r="O223">
        <f t="shared" si="63"/>
        <v>397</v>
      </c>
      <c r="P223" cm="1">
        <f t="array" ref="P223">INDEX($C$2:$C$14395,$N223,0)</f>
        <v>361.18800000000005</v>
      </c>
      <c r="Q223" cm="1">
        <f t="array" ref="Q223">INDEX($C$2:$C$14395,$O223,0)</f>
        <v>0</v>
      </c>
      <c r="R223" cm="1">
        <f t="array" ref="R223">INDEX($D$2:$D$14395,$N223,0)</f>
        <v>-1209.0989280000001</v>
      </c>
      <c r="S223" cm="1">
        <f t="array" ref="S223">INDEX($D$2:$D$14395,$O223,0)</f>
        <v>0</v>
      </c>
      <c r="T223">
        <f t="shared" si="64"/>
        <v>-20943.621352048202</v>
      </c>
      <c r="U223">
        <f t="shared" si="65"/>
        <v>2105.9334860018266</v>
      </c>
      <c r="V223">
        <f t="shared" si="66"/>
        <v>2095.6606397286473</v>
      </c>
      <c r="W223">
        <f t="shared" si="67"/>
        <v>3335.9484860018265</v>
      </c>
      <c r="X223">
        <f t="shared" si="68"/>
        <v>3503.6734860018269</v>
      </c>
      <c r="Y223">
        <f t="shared" si="69"/>
        <v>2095.6606397286473</v>
      </c>
      <c r="Z223">
        <f t="shared" si="70"/>
        <v>1892.4637404451539</v>
      </c>
      <c r="AA223">
        <f t="shared" si="71"/>
        <v>3202.2034860018266</v>
      </c>
    </row>
    <row r="224" spans="1:27" x14ac:dyDescent="0.35">
      <c r="A224">
        <v>666</v>
      </c>
      <c r="B224">
        <v>-3960.53</v>
      </c>
      <c r="C224">
        <f t="shared" si="61"/>
        <v>202.99680000000001</v>
      </c>
      <c r="D224">
        <f t="shared" si="54"/>
        <v>-1207.1695440000001</v>
      </c>
      <c r="E224">
        <f t="shared" si="55"/>
        <v>121.38391557306001</v>
      </c>
      <c r="F224">
        <f t="shared" si="56"/>
        <v>120.79179891172802</v>
      </c>
      <c r="G224">
        <f t="shared" si="57"/>
        <v>1519.12391557306</v>
      </c>
      <c r="H224">
        <f t="shared" si="58"/>
        <v>120.79179891172802</v>
      </c>
      <c r="I224">
        <v>1</v>
      </c>
      <c r="J224">
        <f t="shared" si="59"/>
        <v>109.07973135058107</v>
      </c>
      <c r="K224">
        <f t="shared" si="60"/>
        <v>1217.65391557306</v>
      </c>
      <c r="M224">
        <v>6279.0941220000313</v>
      </c>
      <c r="N224">
        <f t="shared" si="62"/>
        <v>396</v>
      </c>
      <c r="O224">
        <f t="shared" si="63"/>
        <v>397</v>
      </c>
      <c r="P224" cm="1">
        <f t="array" ref="P224">INDEX($C$2:$C$14395,$N224,0)</f>
        <v>361.18800000000005</v>
      </c>
      <c r="Q224" cm="1">
        <f t="array" ref="Q224">INDEX($C$2:$C$14395,$O224,0)</f>
        <v>0</v>
      </c>
      <c r="R224" cm="1">
        <f t="array" ref="R224">INDEX($D$2:$D$14395,$N224,0)</f>
        <v>-1209.0989280000001</v>
      </c>
      <c r="S224" cm="1">
        <f t="array" ref="S224">INDEX($D$2:$D$14395,$O224,0)</f>
        <v>0</v>
      </c>
      <c r="T224">
        <f t="shared" si="64"/>
        <v>-21019.651737381471</v>
      </c>
      <c r="U224">
        <f t="shared" si="65"/>
        <v>2113.5785313230504</v>
      </c>
      <c r="V224">
        <f t="shared" si="66"/>
        <v>2103.2683921458647</v>
      </c>
      <c r="W224">
        <f t="shared" si="67"/>
        <v>3343.5935313230502</v>
      </c>
      <c r="X224">
        <f t="shared" si="68"/>
        <v>3511.3185313230506</v>
      </c>
      <c r="Y224">
        <f t="shared" si="69"/>
        <v>2103.2683921458647</v>
      </c>
      <c r="Z224">
        <f t="shared" si="70"/>
        <v>1899.3338392211333</v>
      </c>
      <c r="AA224">
        <f t="shared" si="71"/>
        <v>3209.8485313230503</v>
      </c>
    </row>
    <row r="225" spans="1:27" x14ac:dyDescent="0.35">
      <c r="A225">
        <v>669</v>
      </c>
      <c r="B225">
        <v>-3960.59</v>
      </c>
      <c r="C225">
        <f t="shared" si="61"/>
        <v>203.91120000000001</v>
      </c>
      <c r="D225">
        <f t="shared" si="54"/>
        <v>-1207.1878320000001</v>
      </c>
      <c r="E225">
        <f t="shared" si="55"/>
        <v>121.38575447718001</v>
      </c>
      <c r="F225">
        <f t="shared" si="56"/>
        <v>120.793628845584</v>
      </c>
      <c r="G225">
        <f t="shared" si="57"/>
        <v>1519.12575447718</v>
      </c>
      <c r="H225">
        <f t="shared" si="58"/>
        <v>120.793628845584</v>
      </c>
      <c r="I225">
        <v>1</v>
      </c>
      <c r="J225">
        <f t="shared" si="59"/>
        <v>109.08138385261513</v>
      </c>
      <c r="K225">
        <f t="shared" si="60"/>
        <v>1217.6557544771799</v>
      </c>
      <c r="M225">
        <v>6309.5002080000313</v>
      </c>
      <c r="N225">
        <f t="shared" si="62"/>
        <v>396</v>
      </c>
      <c r="O225">
        <f t="shared" si="63"/>
        <v>397</v>
      </c>
      <c r="P225" cm="1">
        <f t="array" ref="P225">INDEX($C$2:$C$14395,$N225,0)</f>
        <v>361.18800000000005</v>
      </c>
      <c r="Q225" cm="1">
        <f t="array" ref="Q225">INDEX($C$2:$C$14395,$O225,0)</f>
        <v>0</v>
      </c>
      <c r="R225" cm="1">
        <f t="array" ref="R225">INDEX($D$2:$D$14395,$N225,0)</f>
        <v>-1209.0989280000001</v>
      </c>
      <c r="S225" cm="1">
        <f t="array" ref="S225">INDEX($D$2:$D$14395,$O225,0)</f>
        <v>0</v>
      </c>
      <c r="T225">
        <f t="shared" si="64"/>
        <v>-21121.437970554434</v>
      </c>
      <c r="U225">
        <f t="shared" si="65"/>
        <v>2123.8133915341746</v>
      </c>
      <c r="V225">
        <f t="shared" si="66"/>
        <v>2113.4533262096179</v>
      </c>
      <c r="W225">
        <f t="shared" si="67"/>
        <v>3353.8283915341744</v>
      </c>
      <c r="X225">
        <f t="shared" si="68"/>
        <v>3521.5533915341748</v>
      </c>
      <c r="Y225">
        <f t="shared" si="69"/>
        <v>2113.4533262096179</v>
      </c>
      <c r="Z225">
        <f t="shared" si="70"/>
        <v>1908.5312340898815</v>
      </c>
      <c r="AA225">
        <f t="shared" si="71"/>
        <v>3220.0833915341746</v>
      </c>
    </row>
    <row r="226" spans="1:27" x14ac:dyDescent="0.35">
      <c r="A226">
        <v>672</v>
      </c>
      <c r="B226">
        <v>-3960.65</v>
      </c>
      <c r="C226">
        <f t="shared" si="61"/>
        <v>204.82560000000001</v>
      </c>
      <c r="D226">
        <f t="shared" si="54"/>
        <v>-1207.2061200000001</v>
      </c>
      <c r="E226">
        <f t="shared" si="55"/>
        <v>121.38759338130001</v>
      </c>
      <c r="F226">
        <f t="shared" si="56"/>
        <v>120.79545877944003</v>
      </c>
      <c r="G226">
        <f t="shared" si="57"/>
        <v>1519.1275933812999</v>
      </c>
      <c r="H226">
        <f t="shared" si="58"/>
        <v>120.79545877944003</v>
      </c>
      <c r="I226">
        <v>1</v>
      </c>
      <c r="J226">
        <f t="shared" si="59"/>
        <v>109.08303635464921</v>
      </c>
      <c r="K226">
        <f t="shared" si="60"/>
        <v>1217.6575933813001</v>
      </c>
      <c r="M226">
        <v>6347.6002080000308</v>
      </c>
      <c r="N226">
        <f t="shared" si="62"/>
        <v>396</v>
      </c>
      <c r="O226">
        <f t="shared" si="63"/>
        <v>397</v>
      </c>
      <c r="P226" cm="1">
        <f t="array" ref="P226">INDEX($C$2:$C$14395,$N226,0)</f>
        <v>361.18800000000005</v>
      </c>
      <c r="Q226" cm="1">
        <f t="array" ref="Q226">INDEX($C$2:$C$14395,$O226,0)</f>
        <v>0</v>
      </c>
      <c r="R226" cm="1">
        <f t="array" ref="R226">INDEX($D$2:$D$14395,$N226,0)</f>
        <v>-1209.0989280000001</v>
      </c>
      <c r="S226" cm="1">
        <f t="array" ref="S226">INDEX($D$2:$D$14395,$O226,0)</f>
        <v>0</v>
      </c>
      <c r="T226">
        <f t="shared" si="64"/>
        <v>-21248.98005156709</v>
      </c>
      <c r="U226">
        <f t="shared" si="65"/>
        <v>2136.6380666351997</v>
      </c>
      <c r="V226">
        <f t="shared" si="66"/>
        <v>2126.2154419199064</v>
      </c>
      <c r="W226">
        <f t="shared" si="67"/>
        <v>3366.6530666352</v>
      </c>
      <c r="X226">
        <f t="shared" si="68"/>
        <v>3534.3780666351995</v>
      </c>
      <c r="Y226">
        <f t="shared" si="69"/>
        <v>2126.2154419199064</v>
      </c>
      <c r="Z226">
        <f t="shared" si="70"/>
        <v>1920.0559250513977</v>
      </c>
      <c r="AA226">
        <f t="shared" si="71"/>
        <v>3232.9080666351997</v>
      </c>
    </row>
    <row r="227" spans="1:27" x14ac:dyDescent="0.35">
      <c r="A227">
        <v>675</v>
      </c>
      <c r="B227">
        <v>-3960.73</v>
      </c>
      <c r="C227">
        <f t="shared" si="61"/>
        <v>205.74</v>
      </c>
      <c r="D227">
        <f t="shared" si="54"/>
        <v>-1207.2305040000001</v>
      </c>
      <c r="E227">
        <f t="shared" si="55"/>
        <v>121.39004525346003</v>
      </c>
      <c r="F227">
        <f t="shared" si="56"/>
        <v>120.79789869124802</v>
      </c>
      <c r="G227">
        <f t="shared" si="57"/>
        <v>1519.1300452534601</v>
      </c>
      <c r="H227">
        <f t="shared" si="58"/>
        <v>120.79789869124802</v>
      </c>
      <c r="I227">
        <v>1</v>
      </c>
      <c r="J227">
        <f t="shared" si="59"/>
        <v>109.08523969069466</v>
      </c>
      <c r="K227">
        <f t="shared" si="60"/>
        <v>1217.6600452534601</v>
      </c>
      <c r="M227">
        <v>6385.7002080000311</v>
      </c>
      <c r="N227">
        <f t="shared" si="62"/>
        <v>396</v>
      </c>
      <c r="O227">
        <f t="shared" si="63"/>
        <v>397</v>
      </c>
      <c r="P227" cm="1">
        <f t="array" ref="P227">INDEX($C$2:$C$14395,$N227,0)</f>
        <v>361.18800000000005</v>
      </c>
      <c r="Q227" cm="1">
        <f t="array" ref="Q227">INDEX($C$2:$C$14395,$O227,0)</f>
        <v>0</v>
      </c>
      <c r="R227" cm="1">
        <f t="array" ref="R227">INDEX($D$2:$D$14395,$N227,0)</f>
        <v>-1209.0989280000001</v>
      </c>
      <c r="S227" cm="1">
        <f t="array" ref="S227">INDEX($D$2:$D$14395,$O227,0)</f>
        <v>0</v>
      </c>
      <c r="T227">
        <f t="shared" si="64"/>
        <v>-21376.52213257975</v>
      </c>
      <c r="U227">
        <f t="shared" si="65"/>
        <v>2149.4627417362253</v>
      </c>
      <c r="V227">
        <f t="shared" si="66"/>
        <v>2138.977557630195</v>
      </c>
      <c r="W227">
        <f t="shared" si="67"/>
        <v>3379.4777417362257</v>
      </c>
      <c r="X227">
        <f t="shared" si="68"/>
        <v>3547.2027417362251</v>
      </c>
      <c r="Y227">
        <f t="shared" si="69"/>
        <v>2138.977557630195</v>
      </c>
      <c r="Z227">
        <f t="shared" si="70"/>
        <v>1931.5806160129146</v>
      </c>
      <c r="AA227">
        <f t="shared" si="71"/>
        <v>3245.7327417362253</v>
      </c>
    </row>
    <row r="228" spans="1:27" x14ac:dyDescent="0.35">
      <c r="A228">
        <v>678</v>
      </c>
      <c r="B228">
        <v>-3960.81</v>
      </c>
      <c r="C228">
        <f t="shared" si="61"/>
        <v>206.65440000000001</v>
      </c>
      <c r="D228">
        <f t="shared" si="54"/>
        <v>-1207.2548879999999</v>
      </c>
      <c r="E228">
        <f t="shared" si="55"/>
        <v>121.39249712562</v>
      </c>
      <c r="F228">
        <f t="shared" si="56"/>
        <v>120.80033860305601</v>
      </c>
      <c r="G228">
        <f t="shared" si="57"/>
        <v>1519.1324971256199</v>
      </c>
      <c r="H228">
        <f t="shared" si="58"/>
        <v>120.80033860305601</v>
      </c>
      <c r="I228">
        <v>1</v>
      </c>
      <c r="J228">
        <f t="shared" si="59"/>
        <v>109.08744302674009</v>
      </c>
      <c r="K228">
        <f t="shared" si="60"/>
        <v>1217.6624971256199</v>
      </c>
      <c r="M228">
        <v>6423.8002080000315</v>
      </c>
      <c r="N228">
        <f t="shared" si="62"/>
        <v>396</v>
      </c>
      <c r="O228">
        <f t="shared" si="63"/>
        <v>397</v>
      </c>
      <c r="P228" cm="1">
        <f t="array" ref="P228">INDEX($C$2:$C$14395,$N228,0)</f>
        <v>361.18800000000005</v>
      </c>
      <c r="Q228" cm="1">
        <f t="array" ref="Q228">INDEX($C$2:$C$14395,$O228,0)</f>
        <v>0</v>
      </c>
      <c r="R228" cm="1">
        <f t="array" ref="R228">INDEX($D$2:$D$14395,$N228,0)</f>
        <v>-1209.0989280000001</v>
      </c>
      <c r="S228" cm="1">
        <f t="array" ref="S228">INDEX($D$2:$D$14395,$O228,0)</f>
        <v>0</v>
      </c>
      <c r="T228">
        <f t="shared" si="64"/>
        <v>-21504.06421359241</v>
      </c>
      <c r="U228">
        <f t="shared" si="65"/>
        <v>2162.2874168372509</v>
      </c>
      <c r="V228">
        <f t="shared" si="66"/>
        <v>2151.7396733404839</v>
      </c>
      <c r="W228">
        <f t="shared" si="67"/>
        <v>3392.3024168372513</v>
      </c>
      <c r="X228">
        <f t="shared" si="68"/>
        <v>3560.0274168372507</v>
      </c>
      <c r="Y228">
        <f t="shared" si="69"/>
        <v>2151.7396733404839</v>
      </c>
      <c r="Z228">
        <f t="shared" si="70"/>
        <v>1943.105306974431</v>
      </c>
      <c r="AA228">
        <f t="shared" si="71"/>
        <v>3258.5574168372509</v>
      </c>
    </row>
    <row r="229" spans="1:27" x14ac:dyDescent="0.35">
      <c r="A229">
        <v>681</v>
      </c>
      <c r="B229">
        <v>-3960.9</v>
      </c>
      <c r="C229">
        <f t="shared" si="61"/>
        <v>207.56880000000001</v>
      </c>
      <c r="D229">
        <f t="shared" si="54"/>
        <v>-1207.28232</v>
      </c>
      <c r="E229">
        <f t="shared" si="55"/>
        <v>121.39525548180001</v>
      </c>
      <c r="F229">
        <f t="shared" si="56"/>
        <v>120.80308350384</v>
      </c>
      <c r="G229">
        <f t="shared" si="57"/>
        <v>1519.1352554818</v>
      </c>
      <c r="H229">
        <f t="shared" si="58"/>
        <v>120.80308350384</v>
      </c>
      <c r="I229">
        <v>1</v>
      </c>
      <c r="J229">
        <f t="shared" si="59"/>
        <v>109.08992177979121</v>
      </c>
      <c r="K229">
        <f t="shared" si="60"/>
        <v>1217.6652554817999</v>
      </c>
      <c r="M229">
        <v>6461.9002080000309</v>
      </c>
      <c r="N229">
        <f t="shared" si="62"/>
        <v>396</v>
      </c>
      <c r="O229">
        <f t="shared" si="63"/>
        <v>397</v>
      </c>
      <c r="P229" cm="1">
        <f t="array" ref="P229">INDEX($C$2:$C$14395,$N229,0)</f>
        <v>361.18800000000005</v>
      </c>
      <c r="Q229" cm="1">
        <f t="array" ref="Q229">INDEX($C$2:$C$14395,$O229,0)</f>
        <v>0</v>
      </c>
      <c r="R229" cm="1">
        <f t="array" ref="R229">INDEX($D$2:$D$14395,$N229,0)</f>
        <v>-1209.0989280000001</v>
      </c>
      <c r="S229" cm="1">
        <f t="array" ref="S229">INDEX($D$2:$D$14395,$O229,0)</f>
        <v>0</v>
      </c>
      <c r="T229">
        <f t="shared" si="64"/>
        <v>-21631.606294605066</v>
      </c>
      <c r="U229">
        <f t="shared" si="65"/>
        <v>2175.1120919382761</v>
      </c>
      <c r="V229">
        <f t="shared" si="66"/>
        <v>2164.501789050772</v>
      </c>
      <c r="W229">
        <f t="shared" si="67"/>
        <v>3405.127091938276</v>
      </c>
      <c r="X229">
        <f t="shared" si="68"/>
        <v>3572.8520919382763</v>
      </c>
      <c r="Y229">
        <f t="shared" si="69"/>
        <v>2164.501789050772</v>
      </c>
      <c r="Z229">
        <f t="shared" si="70"/>
        <v>1954.6299979359476</v>
      </c>
      <c r="AA229">
        <f t="shared" si="71"/>
        <v>3271.3820919382761</v>
      </c>
    </row>
    <row r="230" spans="1:27" x14ac:dyDescent="0.35">
      <c r="A230">
        <v>684</v>
      </c>
      <c r="B230">
        <v>-3960.97</v>
      </c>
      <c r="C230">
        <f t="shared" si="61"/>
        <v>208.48320000000001</v>
      </c>
      <c r="D230">
        <f t="shared" si="54"/>
        <v>-1207.303656</v>
      </c>
      <c r="E230">
        <f t="shared" si="55"/>
        <v>121.39740086994</v>
      </c>
      <c r="F230">
        <f t="shared" si="56"/>
        <v>120.80521842667201</v>
      </c>
      <c r="G230">
        <f t="shared" si="57"/>
        <v>1519.1374008699399</v>
      </c>
      <c r="H230">
        <f t="shared" si="58"/>
        <v>120.80521842667201</v>
      </c>
      <c r="I230">
        <v>1</v>
      </c>
      <c r="J230">
        <f t="shared" si="59"/>
        <v>109.09184969883097</v>
      </c>
      <c r="K230">
        <f t="shared" si="60"/>
        <v>1217.6674008699399</v>
      </c>
      <c r="M230">
        <v>6500.0002080000313</v>
      </c>
      <c r="N230">
        <f t="shared" si="62"/>
        <v>396</v>
      </c>
      <c r="O230">
        <f t="shared" si="63"/>
        <v>397</v>
      </c>
      <c r="P230" cm="1">
        <f t="array" ref="P230">INDEX($C$2:$C$14395,$N230,0)</f>
        <v>361.18800000000005</v>
      </c>
      <c r="Q230" cm="1">
        <f t="array" ref="Q230">INDEX($C$2:$C$14395,$O230,0)</f>
        <v>0</v>
      </c>
      <c r="R230" cm="1">
        <f t="array" ref="R230">INDEX($D$2:$D$14395,$N230,0)</f>
        <v>-1209.0989280000001</v>
      </c>
      <c r="S230" cm="1">
        <f t="array" ref="S230">INDEX($D$2:$D$14395,$O230,0)</f>
        <v>0</v>
      </c>
      <c r="T230">
        <f t="shared" si="64"/>
        <v>-21759.148375617726</v>
      </c>
      <c r="U230">
        <f t="shared" si="65"/>
        <v>2187.9367670393017</v>
      </c>
      <c r="V230">
        <f t="shared" si="66"/>
        <v>2177.263904761061</v>
      </c>
      <c r="W230">
        <f t="shared" si="67"/>
        <v>3417.9517670393016</v>
      </c>
      <c r="X230">
        <f t="shared" si="68"/>
        <v>3585.6767670393019</v>
      </c>
      <c r="Y230">
        <f t="shared" si="69"/>
        <v>2177.263904761061</v>
      </c>
      <c r="Z230">
        <f t="shared" si="70"/>
        <v>1966.154688897464</v>
      </c>
      <c r="AA230">
        <f t="shared" si="71"/>
        <v>3284.2067670393017</v>
      </c>
    </row>
    <row r="231" spans="1:27" x14ac:dyDescent="0.35">
      <c r="A231">
        <v>687</v>
      </c>
      <c r="B231">
        <v>-3961.04</v>
      </c>
      <c r="C231">
        <f t="shared" si="61"/>
        <v>209.39760000000001</v>
      </c>
      <c r="D231">
        <f t="shared" si="54"/>
        <v>-1207.3249920000001</v>
      </c>
      <c r="E231">
        <f t="shared" si="55"/>
        <v>121.39954625808001</v>
      </c>
      <c r="F231">
        <f t="shared" si="56"/>
        <v>120.807353349504</v>
      </c>
      <c r="G231">
        <f t="shared" si="57"/>
        <v>1519.1395462580799</v>
      </c>
      <c r="H231">
        <f t="shared" si="58"/>
        <v>120.807353349504</v>
      </c>
      <c r="I231">
        <v>1</v>
      </c>
      <c r="J231">
        <f t="shared" si="59"/>
        <v>109.09377761787074</v>
      </c>
      <c r="K231">
        <f t="shared" si="60"/>
        <v>1217.6695462580799</v>
      </c>
      <c r="M231">
        <v>6530.4070560000309</v>
      </c>
      <c r="N231">
        <f t="shared" si="62"/>
        <v>396</v>
      </c>
      <c r="O231">
        <f t="shared" si="63"/>
        <v>397</v>
      </c>
      <c r="P231" cm="1">
        <f t="array" ref="P231">INDEX($C$2:$C$14395,$N231,0)</f>
        <v>361.18800000000005</v>
      </c>
      <c r="Q231" cm="1">
        <f t="array" ref="Q231">INDEX($C$2:$C$14395,$O231,0)</f>
        <v>0</v>
      </c>
      <c r="R231" cm="1">
        <f t="array" ref="R231">INDEX($D$2:$D$14395,$N231,0)</f>
        <v>-1209.0989280000001</v>
      </c>
      <c r="S231" cm="1">
        <f t="array" ref="S231">INDEX($D$2:$D$14395,$O231,0)</f>
        <v>0</v>
      </c>
      <c r="T231">
        <f t="shared" si="64"/>
        <v>-21860.937159632307</v>
      </c>
      <c r="U231">
        <f t="shared" si="65"/>
        <v>2198.1718837439275</v>
      </c>
      <c r="V231">
        <f t="shared" si="66"/>
        <v>2187.449094067128</v>
      </c>
      <c r="W231">
        <f t="shared" si="67"/>
        <v>3428.1868837439279</v>
      </c>
      <c r="X231">
        <f t="shared" si="68"/>
        <v>3595.9118837439273</v>
      </c>
      <c r="Y231">
        <f t="shared" si="69"/>
        <v>2187.449094067128</v>
      </c>
      <c r="Z231">
        <f t="shared" si="70"/>
        <v>1975.3523142600309</v>
      </c>
      <c r="AA231">
        <f t="shared" si="71"/>
        <v>3294.4418837439275</v>
      </c>
    </row>
    <row r="232" spans="1:27" x14ac:dyDescent="0.35">
      <c r="A232">
        <v>690</v>
      </c>
      <c r="B232">
        <v>-3961.1</v>
      </c>
      <c r="C232">
        <f t="shared" si="61"/>
        <v>210.31200000000001</v>
      </c>
      <c r="D232">
        <f t="shared" si="54"/>
        <v>-1207.34328</v>
      </c>
      <c r="E232">
        <f t="shared" si="55"/>
        <v>121.4013851622</v>
      </c>
      <c r="F232">
        <f t="shared" si="56"/>
        <v>120.80918328336003</v>
      </c>
      <c r="G232">
        <f t="shared" si="57"/>
        <v>1519.1413851622001</v>
      </c>
      <c r="H232">
        <f t="shared" si="58"/>
        <v>120.80918328336003</v>
      </c>
      <c r="I232">
        <v>1</v>
      </c>
      <c r="J232">
        <f t="shared" si="59"/>
        <v>109.0954301199048</v>
      </c>
      <c r="K232">
        <f t="shared" si="60"/>
        <v>1217.6713851622001</v>
      </c>
      <c r="M232">
        <v>6553.1207520000307</v>
      </c>
      <c r="N232">
        <f t="shared" si="62"/>
        <v>396</v>
      </c>
      <c r="O232">
        <f t="shared" si="63"/>
        <v>397</v>
      </c>
      <c r="P232" cm="1">
        <f t="array" ref="P232">INDEX($C$2:$C$14395,$N232,0)</f>
        <v>361.18800000000005</v>
      </c>
      <c r="Q232" cm="1">
        <f t="array" ref="Q232">INDEX($C$2:$C$14395,$O232,0)</f>
        <v>0</v>
      </c>
      <c r="R232" cm="1">
        <f t="array" ref="R232">INDEX($D$2:$D$14395,$N232,0)</f>
        <v>-1209.0989280000001</v>
      </c>
      <c r="S232" cm="1">
        <f t="array" ref="S232">INDEX($D$2:$D$14395,$O232,0)</f>
        <v>0</v>
      </c>
      <c r="T232">
        <f t="shared" si="64"/>
        <v>-21936.97264664881</v>
      </c>
      <c r="U232">
        <f t="shared" si="65"/>
        <v>2205.817442052155</v>
      </c>
      <c r="V232">
        <f t="shared" si="66"/>
        <v>2195.0573569689732</v>
      </c>
      <c r="W232">
        <f t="shared" si="67"/>
        <v>3435.8324420521549</v>
      </c>
      <c r="X232">
        <f t="shared" si="68"/>
        <v>3603.5574420521552</v>
      </c>
      <c r="Y232">
        <f t="shared" si="69"/>
        <v>2195.0573569689732</v>
      </c>
      <c r="Z232">
        <f t="shared" si="70"/>
        <v>1982.2228740236483</v>
      </c>
      <c r="AA232">
        <f t="shared" si="71"/>
        <v>3302.087442052155</v>
      </c>
    </row>
    <row r="233" spans="1:27" x14ac:dyDescent="0.35">
      <c r="A233">
        <v>693</v>
      </c>
      <c r="B233">
        <v>-3961.13</v>
      </c>
      <c r="C233">
        <f t="shared" si="61"/>
        <v>211.22640000000001</v>
      </c>
      <c r="D233">
        <f t="shared" si="54"/>
        <v>-1207.3524240000002</v>
      </c>
      <c r="E233">
        <f t="shared" si="55"/>
        <v>121.40230461426</v>
      </c>
      <c r="F233">
        <f t="shared" si="56"/>
        <v>120.81009825028804</v>
      </c>
      <c r="G233">
        <f t="shared" si="57"/>
        <v>1519.14230461426</v>
      </c>
      <c r="H233">
        <f t="shared" si="58"/>
        <v>120.81009825028804</v>
      </c>
      <c r="I233">
        <v>1</v>
      </c>
      <c r="J233">
        <f t="shared" si="59"/>
        <v>109.09625637092186</v>
      </c>
      <c r="K233">
        <f t="shared" si="60"/>
        <v>1217.6723046142599</v>
      </c>
      <c r="M233">
        <v>6575.8420680000318</v>
      </c>
      <c r="N233">
        <f t="shared" si="62"/>
        <v>396</v>
      </c>
      <c r="O233">
        <f t="shared" si="63"/>
        <v>397</v>
      </c>
      <c r="P233" cm="1">
        <f t="array" ref="P233">INDEX($C$2:$C$14395,$N233,0)</f>
        <v>361.18800000000005</v>
      </c>
      <c r="Q233" cm="1">
        <f t="array" ref="Q233">INDEX($C$2:$C$14395,$O233,0)</f>
        <v>0</v>
      </c>
      <c r="R233" cm="1">
        <f t="array" ref="R233">INDEX($D$2:$D$14395,$N233,0)</f>
        <v>-1209.0989280000001</v>
      </c>
      <c r="S233" cm="1">
        <f t="array" ref="S233">INDEX($D$2:$D$14395,$O233,0)</f>
        <v>0</v>
      </c>
      <c r="T233">
        <f t="shared" si="64"/>
        <v>-22013.033642081526</v>
      </c>
      <c r="U233">
        <f t="shared" si="65"/>
        <v>2213.4655652954025</v>
      </c>
      <c r="V233">
        <f t="shared" si="66"/>
        <v>2202.6681722939616</v>
      </c>
      <c r="W233">
        <f t="shared" si="67"/>
        <v>3443.4805652954028</v>
      </c>
      <c r="X233">
        <f t="shared" si="68"/>
        <v>3611.2055652954023</v>
      </c>
      <c r="Y233">
        <f t="shared" si="69"/>
        <v>2202.6681722939616</v>
      </c>
      <c r="Z233">
        <f t="shared" si="70"/>
        <v>1989.0957387254593</v>
      </c>
      <c r="AA233">
        <f t="shared" si="71"/>
        <v>3309.7355652954025</v>
      </c>
    </row>
    <row r="234" spans="1:27" x14ac:dyDescent="0.35">
      <c r="A234">
        <v>696</v>
      </c>
      <c r="B234">
        <v>-3961.16</v>
      </c>
      <c r="C234">
        <f t="shared" si="61"/>
        <v>212.14080000000001</v>
      </c>
      <c r="D234">
        <f t="shared" si="54"/>
        <v>-1207.361568</v>
      </c>
      <c r="E234">
        <f t="shared" si="55"/>
        <v>121.40322406632001</v>
      </c>
      <c r="F234">
        <f t="shared" si="56"/>
        <v>120.811013217216</v>
      </c>
      <c r="G234">
        <f t="shared" si="57"/>
        <v>1519.14322406632</v>
      </c>
      <c r="H234">
        <f t="shared" si="58"/>
        <v>120.811013217216</v>
      </c>
      <c r="I234">
        <v>1</v>
      </c>
      <c r="J234">
        <f t="shared" si="59"/>
        <v>109.09708262193888</v>
      </c>
      <c r="K234">
        <f t="shared" si="60"/>
        <v>1217.67322406632</v>
      </c>
      <c r="M234">
        <v>6598.5710040000313</v>
      </c>
      <c r="N234">
        <f t="shared" si="62"/>
        <v>396</v>
      </c>
      <c r="O234">
        <f t="shared" si="63"/>
        <v>397</v>
      </c>
      <c r="P234" cm="1">
        <f t="array" ref="P234">INDEX($C$2:$C$14395,$N234,0)</f>
        <v>361.18800000000005</v>
      </c>
      <c r="Q234" cm="1">
        <f t="array" ref="Q234">INDEX($C$2:$C$14395,$O234,0)</f>
        <v>0</v>
      </c>
      <c r="R234" cm="1">
        <f t="array" ref="R234">INDEX($D$2:$D$14395,$N234,0)</f>
        <v>-1209.0989280000001</v>
      </c>
      <c r="S234" cm="1">
        <f t="array" ref="S234">INDEX($D$2:$D$14395,$O234,0)</f>
        <v>0</v>
      </c>
      <c r="T234">
        <f t="shared" si="64"/>
        <v>-22089.120145930432</v>
      </c>
      <c r="U234">
        <f t="shared" si="65"/>
        <v>2221.11625347367</v>
      </c>
      <c r="V234">
        <f t="shared" si="66"/>
        <v>2210.2815400420914</v>
      </c>
      <c r="W234">
        <f t="shared" si="67"/>
        <v>3451.1312534736699</v>
      </c>
      <c r="X234">
        <f t="shared" si="68"/>
        <v>3618.8562534736702</v>
      </c>
      <c r="Y234">
        <f t="shared" si="69"/>
        <v>2210.2815400420914</v>
      </c>
      <c r="Z234">
        <f t="shared" si="70"/>
        <v>1995.9709083654607</v>
      </c>
      <c r="AA234">
        <f t="shared" si="71"/>
        <v>3317.38625347367</v>
      </c>
    </row>
    <row r="235" spans="1:27" x14ac:dyDescent="0.35">
      <c r="A235">
        <v>699</v>
      </c>
      <c r="B235">
        <v>-3961.2</v>
      </c>
      <c r="C235">
        <f t="shared" si="61"/>
        <v>213.05520000000001</v>
      </c>
      <c r="D235">
        <f t="shared" si="54"/>
        <v>-1207.3737599999999</v>
      </c>
      <c r="E235">
        <f t="shared" si="55"/>
        <v>121.40445000240001</v>
      </c>
      <c r="F235">
        <f t="shared" si="56"/>
        <v>120.81223317312001</v>
      </c>
      <c r="G235">
        <f t="shared" si="57"/>
        <v>1519.1444500023999</v>
      </c>
      <c r="H235">
        <f t="shared" si="58"/>
        <v>120.81223317312001</v>
      </c>
      <c r="I235">
        <v>1</v>
      </c>
      <c r="J235">
        <f t="shared" si="59"/>
        <v>109.09818428996161</v>
      </c>
      <c r="K235">
        <f t="shared" si="60"/>
        <v>1217.6744500023999</v>
      </c>
      <c r="M235">
        <v>6621.3075600000302</v>
      </c>
      <c r="N235">
        <f t="shared" si="62"/>
        <v>396</v>
      </c>
      <c r="O235">
        <f t="shared" si="63"/>
        <v>397</v>
      </c>
      <c r="P235" cm="1">
        <f t="array" ref="P235">INDEX($C$2:$C$14395,$N235,0)</f>
        <v>361.18800000000005</v>
      </c>
      <c r="Q235" cm="1">
        <f t="array" ref="Q235">INDEX($C$2:$C$14395,$O235,0)</f>
        <v>0</v>
      </c>
      <c r="R235" cm="1">
        <f t="array" ref="R235">INDEX($D$2:$D$14395,$N235,0)</f>
        <v>-1209.0989280000001</v>
      </c>
      <c r="S235" cm="1">
        <f t="array" ref="S235">INDEX($D$2:$D$14395,$O235,0)</f>
        <v>0</v>
      </c>
      <c r="T235">
        <f t="shared" si="64"/>
        <v>-22165.232158195544</v>
      </c>
      <c r="U235">
        <f t="shared" si="65"/>
        <v>2228.7695065869575</v>
      </c>
      <c r="V235">
        <f t="shared" si="66"/>
        <v>2217.897460213363</v>
      </c>
      <c r="W235">
        <f t="shared" si="67"/>
        <v>3458.7845065869578</v>
      </c>
      <c r="X235">
        <f t="shared" si="68"/>
        <v>3626.5095065869573</v>
      </c>
      <c r="Y235">
        <f t="shared" si="69"/>
        <v>2217.897460213363</v>
      </c>
      <c r="Z235">
        <f t="shared" si="70"/>
        <v>2002.848382943655</v>
      </c>
      <c r="AA235">
        <f t="shared" si="71"/>
        <v>3325.0395065869575</v>
      </c>
    </row>
    <row r="236" spans="1:27" x14ac:dyDescent="0.35">
      <c r="A236">
        <v>702</v>
      </c>
      <c r="B236">
        <v>-3961.23</v>
      </c>
      <c r="C236">
        <f t="shared" si="61"/>
        <v>213.96960000000001</v>
      </c>
      <c r="D236">
        <f t="shared" si="54"/>
        <v>-1207.3829040000001</v>
      </c>
      <c r="E236">
        <f t="shared" si="55"/>
        <v>121.40536945446001</v>
      </c>
      <c r="F236">
        <f t="shared" si="56"/>
        <v>120.81314814004801</v>
      </c>
      <c r="G236">
        <f t="shared" si="57"/>
        <v>1519.14536945446</v>
      </c>
      <c r="H236">
        <f t="shared" si="58"/>
        <v>120.81314814004801</v>
      </c>
      <c r="I236">
        <v>1</v>
      </c>
      <c r="J236">
        <f t="shared" si="59"/>
        <v>109.09901054097867</v>
      </c>
      <c r="K236">
        <f t="shared" si="60"/>
        <v>1217.67536945446</v>
      </c>
      <c r="M236">
        <v>6644.0517360000313</v>
      </c>
      <c r="N236">
        <f t="shared" si="62"/>
        <v>396</v>
      </c>
      <c r="O236">
        <f t="shared" si="63"/>
        <v>397</v>
      </c>
      <c r="P236" cm="1">
        <f t="array" ref="P236">INDEX($C$2:$C$14395,$N236,0)</f>
        <v>361.18800000000005</v>
      </c>
      <c r="Q236" cm="1">
        <f t="array" ref="Q236">INDEX($C$2:$C$14395,$O236,0)</f>
        <v>0</v>
      </c>
      <c r="R236" cm="1">
        <f t="array" ref="R236">INDEX($D$2:$D$14395,$N236,0)</f>
        <v>-1209.0989280000001</v>
      </c>
      <c r="S236" cm="1">
        <f t="array" ref="S236">INDEX($D$2:$D$14395,$O236,0)</f>
        <v>0</v>
      </c>
      <c r="T236">
        <f t="shared" si="64"/>
        <v>-22241.369678876865</v>
      </c>
      <c r="U236">
        <f t="shared" si="65"/>
        <v>2236.425324635266</v>
      </c>
      <c r="V236">
        <f t="shared" si="66"/>
        <v>2225.5159328077771</v>
      </c>
      <c r="W236">
        <f t="shared" si="67"/>
        <v>3466.4403246352658</v>
      </c>
      <c r="X236">
        <f t="shared" si="68"/>
        <v>3634.1653246352662</v>
      </c>
      <c r="Y236">
        <f t="shared" si="69"/>
        <v>2225.5159328077771</v>
      </c>
      <c r="Z236">
        <f t="shared" si="70"/>
        <v>2009.7281624600425</v>
      </c>
      <c r="AA236">
        <f t="shared" si="71"/>
        <v>3332.6953246352659</v>
      </c>
    </row>
    <row r="237" spans="1:27" x14ac:dyDescent="0.35">
      <c r="A237">
        <v>705</v>
      </c>
      <c r="B237">
        <v>-3961.28</v>
      </c>
      <c r="C237">
        <f t="shared" si="61"/>
        <v>214.88400000000001</v>
      </c>
      <c r="D237">
        <f t="shared" si="54"/>
        <v>-1207.3981440000002</v>
      </c>
      <c r="E237">
        <f t="shared" si="55"/>
        <v>121.40690187456002</v>
      </c>
      <c r="F237">
        <f t="shared" si="56"/>
        <v>120.81467308492805</v>
      </c>
      <c r="G237">
        <f t="shared" si="57"/>
        <v>1519.1469018745599</v>
      </c>
      <c r="H237">
        <f t="shared" si="58"/>
        <v>120.81467308492805</v>
      </c>
      <c r="I237">
        <v>1</v>
      </c>
      <c r="J237">
        <f t="shared" si="59"/>
        <v>109.10038762600706</v>
      </c>
      <c r="K237">
        <f t="shared" si="60"/>
        <v>1217.6769018745599</v>
      </c>
      <c r="M237">
        <v>6666.80124600003</v>
      </c>
      <c r="N237">
        <f t="shared" si="62"/>
        <v>396</v>
      </c>
      <c r="O237">
        <f t="shared" si="63"/>
        <v>397</v>
      </c>
      <c r="P237" cm="1">
        <f t="array" ref="P237">INDEX($C$2:$C$14395,$N237,0)</f>
        <v>361.18800000000005</v>
      </c>
      <c r="Q237" cm="1">
        <f t="array" ref="Q237">INDEX($C$2:$C$14395,$O237,0)</f>
        <v>0</v>
      </c>
      <c r="R237" cm="1">
        <f t="array" ref="R237">INDEX($D$2:$D$14395,$N237,0)</f>
        <v>-1209.0989280000001</v>
      </c>
      <c r="S237" cm="1">
        <f t="array" ref="S237">INDEX($D$2:$D$14395,$O237,0)</f>
        <v>0</v>
      </c>
      <c r="T237">
        <f t="shared" si="64"/>
        <v>-22317.525055449518</v>
      </c>
      <c r="U237">
        <f t="shared" si="65"/>
        <v>2244.0829381380877</v>
      </c>
      <c r="V237">
        <f t="shared" si="66"/>
        <v>2233.13619209839</v>
      </c>
      <c r="W237">
        <f t="shared" si="67"/>
        <v>3474.0979381380876</v>
      </c>
      <c r="X237">
        <f t="shared" si="68"/>
        <v>3641.8229381380879</v>
      </c>
      <c r="Y237">
        <f t="shared" si="69"/>
        <v>2233.13619209839</v>
      </c>
      <c r="Z237">
        <f t="shared" si="70"/>
        <v>2016.6095554331637</v>
      </c>
      <c r="AA237">
        <f t="shared" si="71"/>
        <v>3340.3529381380877</v>
      </c>
    </row>
    <row r="238" spans="1:27" x14ac:dyDescent="0.35">
      <c r="A238">
        <v>708</v>
      </c>
      <c r="B238">
        <v>-3961.34</v>
      </c>
      <c r="C238">
        <f t="shared" si="61"/>
        <v>215.79840000000002</v>
      </c>
      <c r="D238">
        <f t="shared" si="54"/>
        <v>-1207.4164320000002</v>
      </c>
      <c r="E238">
        <f t="shared" si="55"/>
        <v>121.40874077868003</v>
      </c>
      <c r="F238">
        <f t="shared" si="56"/>
        <v>120.81650301878402</v>
      </c>
      <c r="G238">
        <f t="shared" si="57"/>
        <v>1519.1487407786801</v>
      </c>
      <c r="H238">
        <f t="shared" si="58"/>
        <v>120.81650301878402</v>
      </c>
      <c r="I238">
        <v>1</v>
      </c>
      <c r="J238">
        <f t="shared" si="59"/>
        <v>109.10204012804115</v>
      </c>
      <c r="K238">
        <f t="shared" si="60"/>
        <v>1217.6787407786801</v>
      </c>
      <c r="M238">
        <v>6689.556090000031</v>
      </c>
      <c r="N238">
        <f t="shared" si="62"/>
        <v>396</v>
      </c>
      <c r="O238">
        <f t="shared" si="63"/>
        <v>397</v>
      </c>
      <c r="P238" cm="1">
        <f t="array" ref="P238">INDEX($C$2:$C$14395,$N238,0)</f>
        <v>361.18800000000005</v>
      </c>
      <c r="Q238" cm="1">
        <f t="array" ref="Q238">INDEX($C$2:$C$14395,$O238,0)</f>
        <v>0</v>
      </c>
      <c r="R238" cm="1">
        <f t="array" ref="R238">INDEX($D$2:$D$14395,$N238,0)</f>
        <v>-1209.0989280000001</v>
      </c>
      <c r="S238" cm="1">
        <f t="array" ref="S238">INDEX($D$2:$D$14395,$O238,0)</f>
        <v>0</v>
      </c>
      <c r="T238">
        <f t="shared" si="64"/>
        <v>-22393.698287913521</v>
      </c>
      <c r="U238">
        <f t="shared" si="65"/>
        <v>2251.7423470954241</v>
      </c>
      <c r="V238">
        <f t="shared" si="66"/>
        <v>2240.7582380852027</v>
      </c>
      <c r="W238">
        <f t="shared" si="67"/>
        <v>3481.7573470954239</v>
      </c>
      <c r="X238">
        <f t="shared" si="68"/>
        <v>3649.4823470954243</v>
      </c>
      <c r="Y238">
        <f t="shared" si="69"/>
        <v>2240.7582380852027</v>
      </c>
      <c r="Z238">
        <f t="shared" si="70"/>
        <v>2023.4925618630198</v>
      </c>
      <c r="AA238">
        <f t="shared" si="71"/>
        <v>3348.012347095424</v>
      </c>
    </row>
    <row r="239" spans="1:27" x14ac:dyDescent="0.35">
      <c r="A239">
        <v>711</v>
      </c>
      <c r="B239">
        <v>-3961.41</v>
      </c>
      <c r="C239">
        <f t="shared" si="61"/>
        <v>216.71280000000002</v>
      </c>
      <c r="D239">
        <f t="shared" si="54"/>
        <v>-1207.437768</v>
      </c>
      <c r="E239">
        <f t="shared" si="55"/>
        <v>121.41088616682001</v>
      </c>
      <c r="F239">
        <f t="shared" si="56"/>
        <v>120.818637941616</v>
      </c>
      <c r="G239">
        <f t="shared" si="57"/>
        <v>1519.1508861668201</v>
      </c>
      <c r="H239">
        <f t="shared" si="58"/>
        <v>120.818637941616</v>
      </c>
      <c r="I239">
        <v>1</v>
      </c>
      <c r="J239">
        <f t="shared" si="59"/>
        <v>109.10396804708088</v>
      </c>
      <c r="K239">
        <f t="shared" si="60"/>
        <v>1217.6808861668201</v>
      </c>
      <c r="M239">
        <v>6712.302552000031</v>
      </c>
      <c r="N239">
        <f t="shared" si="62"/>
        <v>396</v>
      </c>
      <c r="O239">
        <f t="shared" si="63"/>
        <v>397</v>
      </c>
      <c r="P239" cm="1">
        <f t="array" ref="P239">INDEX($C$2:$C$14395,$N239,0)</f>
        <v>361.18800000000005</v>
      </c>
      <c r="Q239" cm="1">
        <f t="array" ref="Q239">INDEX($C$2:$C$14395,$O239,0)</f>
        <v>0</v>
      </c>
      <c r="R239" cm="1">
        <f t="array" ref="R239">INDEX($D$2:$D$14395,$N239,0)</f>
        <v>-1209.0989280000001</v>
      </c>
      <c r="S239" cm="1">
        <f t="array" ref="S239">INDEX($D$2:$D$14395,$O239,0)</f>
        <v>0</v>
      </c>
      <c r="T239">
        <f t="shared" si="64"/>
        <v>-22469.843461119697</v>
      </c>
      <c r="U239">
        <f t="shared" si="65"/>
        <v>2259.3989346242383</v>
      </c>
      <c r="V239">
        <f t="shared" si="66"/>
        <v>2248.3774764065593</v>
      </c>
      <c r="W239">
        <f t="shared" si="67"/>
        <v>3489.4139346242382</v>
      </c>
      <c r="X239">
        <f t="shared" si="68"/>
        <v>3657.1389346242386</v>
      </c>
      <c r="Y239">
        <f t="shared" si="69"/>
        <v>2248.3774764065593</v>
      </c>
      <c r="Z239">
        <f t="shared" si="70"/>
        <v>2030.3730328608644</v>
      </c>
      <c r="AA239">
        <f t="shared" si="71"/>
        <v>3355.6689346242383</v>
      </c>
    </row>
    <row r="240" spans="1:27" x14ac:dyDescent="0.35">
      <c r="A240">
        <v>714</v>
      </c>
      <c r="B240">
        <v>-3961.47</v>
      </c>
      <c r="C240">
        <f t="shared" si="61"/>
        <v>217.62720000000002</v>
      </c>
      <c r="D240">
        <f t="shared" si="54"/>
        <v>-1207.456056</v>
      </c>
      <c r="E240">
        <f t="shared" si="55"/>
        <v>121.41272507094</v>
      </c>
      <c r="F240">
        <f t="shared" si="56"/>
        <v>120.82046787547199</v>
      </c>
      <c r="G240">
        <f t="shared" si="57"/>
        <v>1519.1527250709401</v>
      </c>
      <c r="H240">
        <f t="shared" si="58"/>
        <v>120.82046787547199</v>
      </c>
      <c r="I240">
        <v>1</v>
      </c>
      <c r="J240">
        <f t="shared" si="59"/>
        <v>109.10562054911496</v>
      </c>
      <c r="K240">
        <f t="shared" si="60"/>
        <v>1217.68272507094</v>
      </c>
      <c r="M240">
        <v>6735.0406320000302</v>
      </c>
      <c r="N240">
        <f t="shared" si="62"/>
        <v>396</v>
      </c>
      <c r="O240">
        <f t="shared" si="63"/>
        <v>397</v>
      </c>
      <c r="P240" cm="1">
        <f t="array" ref="P240">INDEX($C$2:$C$14395,$N240,0)</f>
        <v>361.18800000000005</v>
      </c>
      <c r="Q240" cm="1">
        <f t="array" ref="Q240">INDEX($C$2:$C$14395,$O240,0)</f>
        <v>0</v>
      </c>
      <c r="R240" cm="1">
        <f t="array" ref="R240">INDEX($D$2:$D$14395,$N240,0)</f>
        <v>-1209.0989280000001</v>
      </c>
      <c r="S240" cm="1">
        <f t="array" ref="S240">INDEX($D$2:$D$14395,$O240,0)</f>
        <v>0</v>
      </c>
      <c r="T240">
        <f t="shared" si="64"/>
        <v>-22545.960575068049</v>
      </c>
      <c r="U240">
        <f t="shared" si="65"/>
        <v>2267.05270072453</v>
      </c>
      <c r="V240">
        <f t="shared" si="66"/>
        <v>2255.9939070624591</v>
      </c>
      <c r="W240">
        <f t="shared" si="67"/>
        <v>3497.0677007245304</v>
      </c>
      <c r="X240">
        <f t="shared" si="68"/>
        <v>3664.7927007245298</v>
      </c>
      <c r="Y240">
        <f t="shared" si="69"/>
        <v>2255.9939070624591</v>
      </c>
      <c r="Z240">
        <f t="shared" si="70"/>
        <v>2037.2509684266972</v>
      </c>
      <c r="AA240">
        <f t="shared" si="71"/>
        <v>3363.32270072453</v>
      </c>
    </row>
    <row r="241" spans="1:27" x14ac:dyDescent="0.35">
      <c r="A241">
        <v>717</v>
      </c>
      <c r="B241">
        <v>-3961.51</v>
      </c>
      <c r="C241">
        <f t="shared" si="61"/>
        <v>218.54160000000002</v>
      </c>
      <c r="D241">
        <f t="shared" si="54"/>
        <v>-1207.4682480000001</v>
      </c>
      <c r="E241">
        <f t="shared" si="55"/>
        <v>121.41395100702</v>
      </c>
      <c r="F241">
        <f t="shared" si="56"/>
        <v>120.82168783137601</v>
      </c>
      <c r="G241">
        <f t="shared" si="57"/>
        <v>1519.1539510070199</v>
      </c>
      <c r="H241">
        <f t="shared" si="58"/>
        <v>120.82168783137601</v>
      </c>
      <c r="I241">
        <v>1</v>
      </c>
      <c r="J241">
        <f t="shared" si="59"/>
        <v>109.1067222171377</v>
      </c>
      <c r="K241">
        <f t="shared" si="60"/>
        <v>1217.6839510070199</v>
      </c>
      <c r="M241">
        <v>6761.5140360000314</v>
      </c>
      <c r="N241">
        <f t="shared" si="62"/>
        <v>396</v>
      </c>
      <c r="O241">
        <f t="shared" si="63"/>
        <v>397</v>
      </c>
      <c r="P241" cm="1">
        <f t="array" ref="P241">INDEX($C$2:$C$14395,$N241,0)</f>
        <v>361.18800000000005</v>
      </c>
      <c r="Q241" cm="1">
        <f t="array" ref="Q241">INDEX($C$2:$C$14395,$O241,0)</f>
        <v>0</v>
      </c>
      <c r="R241" cm="1">
        <f t="array" ref="R241">INDEX($D$2:$D$14395,$N241,0)</f>
        <v>-1209.0989280000001</v>
      </c>
      <c r="S241" cm="1">
        <f t="array" ref="S241">INDEX($D$2:$D$14395,$O241,0)</f>
        <v>0</v>
      </c>
      <c r="T241">
        <f t="shared" si="64"/>
        <v>-22634.581914638889</v>
      </c>
      <c r="U241">
        <f t="shared" si="65"/>
        <v>2275.9637979717268</v>
      </c>
      <c r="V241">
        <f t="shared" si="66"/>
        <v>2264.8615355425964</v>
      </c>
      <c r="W241">
        <f t="shared" si="67"/>
        <v>3505.9787979717266</v>
      </c>
      <c r="X241">
        <f t="shared" si="68"/>
        <v>3673.703797971727</v>
      </c>
      <c r="Y241">
        <f t="shared" si="69"/>
        <v>2264.8615355425964</v>
      </c>
      <c r="Z241">
        <f t="shared" si="70"/>
        <v>2045.2587846943977</v>
      </c>
      <c r="AA241">
        <f t="shared" si="71"/>
        <v>3372.2337979717267</v>
      </c>
    </row>
    <row r="242" spans="1:27" x14ac:dyDescent="0.35">
      <c r="A242">
        <v>720</v>
      </c>
      <c r="B242">
        <v>-3961.55</v>
      </c>
      <c r="C242">
        <f t="shared" si="61"/>
        <v>219.45600000000002</v>
      </c>
      <c r="D242">
        <f t="shared" si="54"/>
        <v>-1207.48044</v>
      </c>
      <c r="E242">
        <f t="shared" si="55"/>
        <v>121.41517694310002</v>
      </c>
      <c r="F242">
        <f t="shared" si="56"/>
        <v>120.82290778728</v>
      </c>
      <c r="G242">
        <f t="shared" si="57"/>
        <v>1519.1551769431001</v>
      </c>
      <c r="H242">
        <f t="shared" si="58"/>
        <v>120.82290778728</v>
      </c>
      <c r="I242">
        <v>1</v>
      </c>
      <c r="J242">
        <f t="shared" si="59"/>
        <v>109.1078238851604</v>
      </c>
      <c r="K242">
        <f t="shared" si="60"/>
        <v>1217.6851769431</v>
      </c>
      <c r="M242">
        <v>6784.2384000000302</v>
      </c>
      <c r="N242">
        <f t="shared" si="62"/>
        <v>396</v>
      </c>
      <c r="O242">
        <f t="shared" si="63"/>
        <v>397</v>
      </c>
      <c r="P242" cm="1">
        <f t="array" ref="P242">INDEX($C$2:$C$14395,$N242,0)</f>
        <v>361.18800000000005</v>
      </c>
      <c r="Q242" cm="1">
        <f t="array" ref="Q242">INDEX($C$2:$C$14395,$O242,0)</f>
        <v>0</v>
      </c>
      <c r="R242" cm="1">
        <f t="array" ref="R242">INDEX($D$2:$D$14395,$N242,0)</f>
        <v>-1209.0989280000001</v>
      </c>
      <c r="S242" cm="1">
        <f t="array" ref="S242">INDEX($D$2:$D$14395,$O242,0)</f>
        <v>0</v>
      </c>
      <c r="T242">
        <f t="shared" si="64"/>
        <v>-22710.653113438075</v>
      </c>
      <c r="U242">
        <f t="shared" si="65"/>
        <v>2283.6129471889822</v>
      </c>
      <c r="V242">
        <f t="shared" si="66"/>
        <v>2272.4733718368407</v>
      </c>
      <c r="W242">
        <f t="shared" si="67"/>
        <v>3513.627947188982</v>
      </c>
      <c r="X242">
        <f t="shared" si="68"/>
        <v>3681.3529471889824</v>
      </c>
      <c r="Y242">
        <f t="shared" si="69"/>
        <v>2272.4733718368407</v>
      </c>
      <c r="Z242">
        <f t="shared" si="70"/>
        <v>2052.1325713714846</v>
      </c>
      <c r="AA242">
        <f t="shared" si="71"/>
        <v>3379.8829471889821</v>
      </c>
    </row>
    <row r="243" spans="1:27" x14ac:dyDescent="0.35">
      <c r="A243">
        <v>723</v>
      </c>
      <c r="B243">
        <v>-3961.6</v>
      </c>
      <c r="C243">
        <f t="shared" si="61"/>
        <v>220.37040000000002</v>
      </c>
      <c r="D243">
        <f t="shared" si="54"/>
        <v>-1207.49568</v>
      </c>
      <c r="E243">
        <f t="shared" si="55"/>
        <v>121.4167093632</v>
      </c>
      <c r="F243">
        <f t="shared" si="56"/>
        <v>120.82443273216002</v>
      </c>
      <c r="G243">
        <f t="shared" si="57"/>
        <v>1519.1567093632</v>
      </c>
      <c r="H243">
        <f t="shared" si="58"/>
        <v>120.82443273216002</v>
      </c>
      <c r="I243">
        <v>1</v>
      </c>
      <c r="J243">
        <f t="shared" si="59"/>
        <v>109.10920097018881</v>
      </c>
      <c r="K243">
        <f t="shared" si="60"/>
        <v>1217.6867093632</v>
      </c>
      <c r="M243">
        <v>6798.4192200000307</v>
      </c>
      <c r="N243">
        <f t="shared" si="62"/>
        <v>396</v>
      </c>
      <c r="O243">
        <f t="shared" si="63"/>
        <v>397</v>
      </c>
      <c r="P243" cm="1">
        <f t="array" ref="P243">INDEX($C$2:$C$14395,$N243,0)</f>
        <v>361.18800000000005</v>
      </c>
      <c r="Q243" cm="1">
        <f t="array" ref="Q243">INDEX($C$2:$C$14395,$O243,0)</f>
        <v>0</v>
      </c>
      <c r="R243" cm="1">
        <f t="array" ref="R243">INDEX($D$2:$D$14395,$N243,0)</f>
        <v>-1209.0989280000001</v>
      </c>
      <c r="S243" cm="1">
        <f t="array" ref="S243">INDEX($D$2:$D$14395,$O243,0)</f>
        <v>0</v>
      </c>
      <c r="T243">
        <f t="shared" si="64"/>
        <v>-22758.124275990987</v>
      </c>
      <c r="U243">
        <f t="shared" si="65"/>
        <v>2288.3862912615837</v>
      </c>
      <c r="V243">
        <f t="shared" si="66"/>
        <v>2277.2234313042104</v>
      </c>
      <c r="W243">
        <f t="shared" si="67"/>
        <v>3518.4012912615835</v>
      </c>
      <c r="X243">
        <f t="shared" si="68"/>
        <v>3686.1262912615839</v>
      </c>
      <c r="Y243">
        <f t="shared" si="69"/>
        <v>2277.2234313042104</v>
      </c>
      <c r="Z243">
        <f t="shared" si="70"/>
        <v>2056.4220613473608</v>
      </c>
      <c r="AA243">
        <f t="shared" si="71"/>
        <v>3384.6562912615836</v>
      </c>
    </row>
    <row r="244" spans="1:27" x14ac:dyDescent="0.35">
      <c r="A244">
        <v>726</v>
      </c>
      <c r="B244">
        <v>-3961.65</v>
      </c>
      <c r="C244">
        <f t="shared" si="61"/>
        <v>221.28480000000002</v>
      </c>
      <c r="D244">
        <f t="shared" si="54"/>
        <v>-1207.5109200000002</v>
      </c>
      <c r="E244">
        <f t="shared" si="55"/>
        <v>121.41824178330002</v>
      </c>
      <c r="F244">
        <f t="shared" si="56"/>
        <v>120.82595767704002</v>
      </c>
      <c r="G244">
        <f t="shared" si="57"/>
        <v>1519.1582417833001</v>
      </c>
      <c r="H244">
        <f t="shared" si="58"/>
        <v>120.82595767704002</v>
      </c>
      <c r="I244">
        <v>1</v>
      </c>
      <c r="J244">
        <f t="shared" si="59"/>
        <v>109.1105780552172</v>
      </c>
      <c r="K244">
        <f t="shared" si="60"/>
        <v>1217.6882417833001</v>
      </c>
      <c r="M244">
        <v>6811.5408600000301</v>
      </c>
      <c r="N244">
        <f t="shared" si="62"/>
        <v>396</v>
      </c>
      <c r="O244">
        <f t="shared" si="63"/>
        <v>397</v>
      </c>
      <c r="P244" cm="1">
        <f t="array" ref="P244">INDEX($C$2:$C$14395,$N244,0)</f>
        <v>361.18800000000005</v>
      </c>
      <c r="Q244" cm="1">
        <f t="array" ref="Q244">INDEX($C$2:$C$14395,$O244,0)</f>
        <v>0</v>
      </c>
      <c r="R244" cm="1">
        <f t="array" ref="R244">INDEX($D$2:$D$14395,$N244,0)</f>
        <v>-1209.0989280000001</v>
      </c>
      <c r="S244" cm="1">
        <f t="array" ref="S244">INDEX($D$2:$D$14395,$O244,0)</f>
        <v>0</v>
      </c>
      <c r="T244">
        <f t="shared" si="64"/>
        <v>-22802.049768691748</v>
      </c>
      <c r="U244">
        <f t="shared" si="65"/>
        <v>2292.8031093663772</v>
      </c>
      <c r="V244">
        <f t="shared" si="66"/>
        <v>2281.6187039548336</v>
      </c>
      <c r="W244">
        <f t="shared" si="67"/>
        <v>3522.818109366377</v>
      </c>
      <c r="X244">
        <f t="shared" si="68"/>
        <v>3690.5431093663774</v>
      </c>
      <c r="Y244">
        <f t="shared" si="69"/>
        <v>2281.6187039548336</v>
      </c>
      <c r="Z244">
        <f t="shared" si="70"/>
        <v>2060.3911649145075</v>
      </c>
      <c r="AA244">
        <f t="shared" si="71"/>
        <v>3389.0731093663771</v>
      </c>
    </row>
    <row r="245" spans="1:27" x14ac:dyDescent="0.35">
      <c r="A245">
        <v>729</v>
      </c>
      <c r="B245">
        <v>-3961.71</v>
      </c>
      <c r="C245">
        <f t="shared" si="61"/>
        <v>222.19920000000002</v>
      </c>
      <c r="D245">
        <f t="shared" si="54"/>
        <v>-1207.5292080000002</v>
      </c>
      <c r="E245">
        <f t="shared" si="55"/>
        <v>121.42008068742004</v>
      </c>
      <c r="F245">
        <f t="shared" si="56"/>
        <v>120.82778761089602</v>
      </c>
      <c r="G245">
        <f t="shared" si="57"/>
        <v>1519.1600806874201</v>
      </c>
      <c r="H245">
        <f t="shared" si="58"/>
        <v>120.82778761089602</v>
      </c>
      <c r="I245">
        <v>1</v>
      </c>
      <c r="J245">
        <f t="shared" si="59"/>
        <v>109.11223055725129</v>
      </c>
      <c r="K245">
        <f t="shared" si="60"/>
        <v>1217.69008068742</v>
      </c>
      <c r="M245">
        <v>6830.8270800000309</v>
      </c>
      <c r="N245">
        <f t="shared" si="62"/>
        <v>396</v>
      </c>
      <c r="O245">
        <f t="shared" si="63"/>
        <v>397</v>
      </c>
      <c r="P245" cm="1">
        <f t="array" ref="P245">INDEX($C$2:$C$14395,$N245,0)</f>
        <v>361.18800000000005</v>
      </c>
      <c r="Q245" cm="1">
        <f t="array" ref="Q245">INDEX($C$2:$C$14395,$O245,0)</f>
        <v>0</v>
      </c>
      <c r="R245" cm="1">
        <f t="array" ref="R245">INDEX($D$2:$D$14395,$N245,0)</f>
        <v>-1209.0989280000001</v>
      </c>
      <c r="S245" cm="1">
        <f t="array" ref="S245">INDEX($D$2:$D$14395,$O245,0)</f>
        <v>0</v>
      </c>
      <c r="T245">
        <f t="shared" si="64"/>
        <v>-22866.611570100358</v>
      </c>
      <c r="U245">
        <f t="shared" si="65"/>
        <v>2299.2949599025164</v>
      </c>
      <c r="V245">
        <f t="shared" si="66"/>
        <v>2288.078886927382</v>
      </c>
      <c r="W245">
        <f t="shared" si="67"/>
        <v>3529.3099599025163</v>
      </c>
      <c r="X245">
        <f t="shared" si="68"/>
        <v>3697.0349599025167</v>
      </c>
      <c r="Y245">
        <f t="shared" si="69"/>
        <v>2288.078886927382</v>
      </c>
      <c r="Z245">
        <f t="shared" si="70"/>
        <v>2066.2249634792274</v>
      </c>
      <c r="AA245">
        <f t="shared" si="71"/>
        <v>3395.5649599025164</v>
      </c>
    </row>
    <row r="246" spans="1:27" x14ac:dyDescent="0.35">
      <c r="A246">
        <v>732</v>
      </c>
      <c r="B246">
        <v>-3961.77</v>
      </c>
      <c r="C246">
        <f t="shared" si="61"/>
        <v>223.11360000000002</v>
      </c>
      <c r="D246">
        <f t="shared" si="54"/>
        <v>-1207.5474960000001</v>
      </c>
      <c r="E246">
        <f t="shared" si="55"/>
        <v>121.42191959154002</v>
      </c>
      <c r="F246">
        <f t="shared" si="56"/>
        <v>120.82961754475201</v>
      </c>
      <c r="G246">
        <f t="shared" si="57"/>
        <v>1519.16191959154</v>
      </c>
      <c r="H246">
        <f t="shared" si="58"/>
        <v>120.82961754475201</v>
      </c>
      <c r="I246">
        <v>1</v>
      </c>
      <c r="J246">
        <f t="shared" si="59"/>
        <v>109.1138830592854</v>
      </c>
      <c r="K246">
        <f t="shared" si="60"/>
        <v>1217.69191959154</v>
      </c>
      <c r="M246">
        <v>6868.9270800000313</v>
      </c>
      <c r="N246">
        <f t="shared" si="62"/>
        <v>396</v>
      </c>
      <c r="O246">
        <f t="shared" si="63"/>
        <v>397</v>
      </c>
      <c r="P246" cm="1">
        <f t="array" ref="P246">INDEX($C$2:$C$14395,$N246,0)</f>
        <v>361.18800000000005</v>
      </c>
      <c r="Q246" cm="1">
        <f t="array" ref="Q246">INDEX($C$2:$C$14395,$O246,0)</f>
        <v>0</v>
      </c>
      <c r="R246" cm="1">
        <f t="array" ref="R246">INDEX($D$2:$D$14395,$N246,0)</f>
        <v>-1209.0989280000001</v>
      </c>
      <c r="S246" cm="1">
        <f t="array" ref="S246">INDEX($D$2:$D$14395,$O246,0)</f>
        <v>0</v>
      </c>
      <c r="T246">
        <f t="shared" si="64"/>
        <v>-22994.153651113014</v>
      </c>
      <c r="U246">
        <f t="shared" si="65"/>
        <v>2312.1196350035416</v>
      </c>
      <c r="V246">
        <f t="shared" si="66"/>
        <v>2300.8410026376705</v>
      </c>
      <c r="W246">
        <f t="shared" si="67"/>
        <v>3542.1346350035419</v>
      </c>
      <c r="X246">
        <f t="shared" si="68"/>
        <v>3709.8596350035414</v>
      </c>
      <c r="Y246">
        <f t="shared" si="69"/>
        <v>2300.8410026376705</v>
      </c>
      <c r="Z246">
        <f t="shared" si="70"/>
        <v>2077.7496544407436</v>
      </c>
      <c r="AA246">
        <f t="shared" si="71"/>
        <v>3408.3896350035416</v>
      </c>
    </row>
    <row r="247" spans="1:27" x14ac:dyDescent="0.35">
      <c r="A247">
        <v>735</v>
      </c>
      <c r="B247">
        <v>-3961.84</v>
      </c>
      <c r="C247">
        <f t="shared" si="61"/>
        <v>224.02800000000002</v>
      </c>
      <c r="D247">
        <f t="shared" si="54"/>
        <v>-1207.5688320000002</v>
      </c>
      <c r="E247">
        <f t="shared" si="55"/>
        <v>121.42406497968003</v>
      </c>
      <c r="F247">
        <f t="shared" si="56"/>
        <v>120.83175246758401</v>
      </c>
      <c r="G247">
        <f t="shared" si="57"/>
        <v>1519.16406497968</v>
      </c>
      <c r="H247">
        <f t="shared" si="58"/>
        <v>120.83175246758401</v>
      </c>
      <c r="I247">
        <v>1</v>
      </c>
      <c r="J247">
        <f t="shared" si="59"/>
        <v>109.11581097832514</v>
      </c>
      <c r="K247">
        <f t="shared" si="60"/>
        <v>1217.69406497968</v>
      </c>
      <c r="M247">
        <v>6909.3130800000308</v>
      </c>
      <c r="N247">
        <f t="shared" si="62"/>
        <v>396</v>
      </c>
      <c r="O247">
        <f t="shared" si="63"/>
        <v>397</v>
      </c>
      <c r="P247" cm="1">
        <f t="array" ref="P247">INDEX($C$2:$C$14395,$N247,0)</f>
        <v>361.18800000000005</v>
      </c>
      <c r="Q247" cm="1">
        <f t="array" ref="Q247">INDEX($C$2:$C$14395,$O247,0)</f>
        <v>0</v>
      </c>
      <c r="R247" cm="1">
        <f t="array" ref="R247">INDEX($D$2:$D$14395,$N247,0)</f>
        <v>-1209.0989280000001</v>
      </c>
      <c r="S247" cm="1">
        <f t="array" ref="S247">INDEX($D$2:$D$14395,$O247,0)</f>
        <v>0</v>
      </c>
      <c r="T247">
        <f t="shared" si="64"/>
        <v>-23129.348256986432</v>
      </c>
      <c r="U247">
        <f t="shared" si="65"/>
        <v>2325.7137906106286</v>
      </c>
      <c r="V247">
        <f t="shared" si="66"/>
        <v>2314.3688452905767</v>
      </c>
      <c r="W247">
        <f t="shared" si="67"/>
        <v>3555.7287906106285</v>
      </c>
      <c r="X247">
        <f t="shared" si="68"/>
        <v>3723.4537906106289</v>
      </c>
      <c r="Y247">
        <f t="shared" si="69"/>
        <v>2314.3688452905767</v>
      </c>
      <c r="Z247">
        <f t="shared" si="70"/>
        <v>2089.965826859951</v>
      </c>
      <c r="AA247">
        <f t="shared" si="71"/>
        <v>3421.9837906106286</v>
      </c>
    </row>
    <row r="248" spans="1:27" x14ac:dyDescent="0.35">
      <c r="A248">
        <v>738</v>
      </c>
      <c r="B248">
        <v>-3961.88</v>
      </c>
      <c r="C248">
        <f t="shared" si="61"/>
        <v>224.94240000000002</v>
      </c>
      <c r="D248">
        <f t="shared" si="54"/>
        <v>-1207.5810240000001</v>
      </c>
      <c r="E248">
        <f t="shared" si="55"/>
        <v>121.42529091576</v>
      </c>
      <c r="F248">
        <f t="shared" si="56"/>
        <v>120.83297242348802</v>
      </c>
      <c r="G248">
        <f t="shared" si="57"/>
        <v>1519.1652909157601</v>
      </c>
      <c r="H248">
        <f t="shared" si="58"/>
        <v>120.83297242348802</v>
      </c>
      <c r="I248">
        <v>1</v>
      </c>
      <c r="J248">
        <f t="shared" si="59"/>
        <v>109.11691264634784</v>
      </c>
      <c r="K248">
        <f t="shared" si="60"/>
        <v>1217.6952909157599</v>
      </c>
      <c r="M248">
        <v>6939.3358800000306</v>
      </c>
      <c r="N248">
        <f t="shared" si="62"/>
        <v>396</v>
      </c>
      <c r="O248">
        <f t="shared" si="63"/>
        <v>397</v>
      </c>
      <c r="P248" cm="1">
        <f t="array" ref="P248">INDEX($C$2:$C$14395,$N248,0)</f>
        <v>361.18800000000005</v>
      </c>
      <c r="Q248" cm="1">
        <f t="array" ref="Q248">INDEX($C$2:$C$14395,$O248,0)</f>
        <v>0</v>
      </c>
      <c r="R248" cm="1">
        <f t="array" ref="R248">INDEX($D$2:$D$14395,$N248,0)</f>
        <v>-1209.0989280000001</v>
      </c>
      <c r="S248" cm="1">
        <f t="array" ref="S248">INDEX($D$2:$D$14395,$O248,0)</f>
        <v>0</v>
      </c>
      <c r="T248">
        <f t="shared" si="64"/>
        <v>-23229.851416824407</v>
      </c>
      <c r="U248">
        <f t="shared" si="65"/>
        <v>2335.8196345902365</v>
      </c>
      <c r="V248">
        <f t="shared" si="66"/>
        <v>2324.4253924702839</v>
      </c>
      <c r="W248">
        <f t="shared" si="67"/>
        <v>3565.8346345902364</v>
      </c>
      <c r="X248">
        <f t="shared" si="68"/>
        <v>3733.5596345902368</v>
      </c>
      <c r="Y248">
        <f t="shared" si="69"/>
        <v>2324.4253924702839</v>
      </c>
      <c r="Z248">
        <f t="shared" si="70"/>
        <v>2099.0472833376261</v>
      </c>
      <c r="AA248">
        <f t="shared" si="71"/>
        <v>3432.0896345902365</v>
      </c>
    </row>
    <row r="249" spans="1:27" x14ac:dyDescent="0.35">
      <c r="A249">
        <v>741</v>
      </c>
      <c r="B249">
        <v>-3961.93</v>
      </c>
      <c r="C249">
        <f t="shared" si="61"/>
        <v>225.85680000000002</v>
      </c>
      <c r="D249">
        <f t="shared" si="54"/>
        <v>-1207.596264</v>
      </c>
      <c r="E249">
        <f t="shared" si="55"/>
        <v>121.42682333586002</v>
      </c>
      <c r="F249">
        <f t="shared" si="56"/>
        <v>120.83449736836801</v>
      </c>
      <c r="G249">
        <f t="shared" si="57"/>
        <v>1519.16682333586</v>
      </c>
      <c r="H249">
        <f t="shared" si="58"/>
        <v>120.83449736836801</v>
      </c>
      <c r="I249">
        <v>1</v>
      </c>
      <c r="J249">
        <f t="shared" si="59"/>
        <v>109.11828973137627</v>
      </c>
      <c r="K249">
        <f t="shared" si="60"/>
        <v>1217.69682333586</v>
      </c>
      <c r="M249">
        <v>6973.3972800000311</v>
      </c>
      <c r="N249">
        <f t="shared" si="62"/>
        <v>396</v>
      </c>
      <c r="O249">
        <f t="shared" si="63"/>
        <v>397</v>
      </c>
      <c r="P249" cm="1">
        <f t="array" ref="P249">INDEX($C$2:$C$14395,$N249,0)</f>
        <v>361.18800000000005</v>
      </c>
      <c r="Q249" cm="1">
        <f t="array" ref="Q249">INDEX($C$2:$C$14395,$O249,0)</f>
        <v>0</v>
      </c>
      <c r="R249" cm="1">
        <f t="array" ref="R249">INDEX($D$2:$D$14395,$N249,0)</f>
        <v>-1209.0989280000001</v>
      </c>
      <c r="S249" cm="1">
        <f t="array" ref="S249">INDEX($D$2:$D$14395,$O249,0)</f>
        <v>0</v>
      </c>
      <c r="T249">
        <f t="shared" si="64"/>
        <v>-23343.874037249723</v>
      </c>
      <c r="U249">
        <f t="shared" si="65"/>
        <v>2347.2848941305529</v>
      </c>
      <c r="V249">
        <f t="shared" si="66"/>
        <v>2335.8347239152818</v>
      </c>
      <c r="W249">
        <f t="shared" si="67"/>
        <v>3577.2998941305532</v>
      </c>
      <c r="X249">
        <f t="shared" si="68"/>
        <v>3745.0248941305526</v>
      </c>
      <c r="Y249">
        <f t="shared" si="69"/>
        <v>2335.8347239152818</v>
      </c>
      <c r="Z249">
        <f t="shared" si="70"/>
        <v>2109.350357057222</v>
      </c>
      <c r="AA249">
        <f t="shared" si="71"/>
        <v>3443.5548941305528</v>
      </c>
    </row>
    <row r="250" spans="1:27" x14ac:dyDescent="0.35">
      <c r="A250">
        <v>744</v>
      </c>
      <c r="B250">
        <v>-3961.98</v>
      </c>
      <c r="C250">
        <f t="shared" si="61"/>
        <v>226.77120000000002</v>
      </c>
      <c r="D250">
        <f t="shared" si="54"/>
        <v>-1207.611504</v>
      </c>
      <c r="E250">
        <f t="shared" si="55"/>
        <v>121.42835575596</v>
      </c>
      <c r="F250">
        <f t="shared" si="56"/>
        <v>120.83602231324801</v>
      </c>
      <c r="G250">
        <f t="shared" si="57"/>
        <v>1519.16835575596</v>
      </c>
      <c r="H250">
        <f t="shared" si="58"/>
        <v>120.83602231324801</v>
      </c>
      <c r="I250">
        <v>1</v>
      </c>
      <c r="J250">
        <f t="shared" si="59"/>
        <v>109.11966681640465</v>
      </c>
      <c r="K250">
        <f t="shared" si="60"/>
        <v>1217.6983557559599</v>
      </c>
      <c r="M250">
        <v>7011.4972800000305</v>
      </c>
      <c r="N250">
        <f t="shared" si="62"/>
        <v>396</v>
      </c>
      <c r="O250">
        <f t="shared" si="63"/>
        <v>397</v>
      </c>
      <c r="P250" cm="1">
        <f t="array" ref="P250">INDEX($C$2:$C$14395,$N250,0)</f>
        <v>361.18800000000005</v>
      </c>
      <c r="Q250" cm="1">
        <f t="array" ref="Q250">INDEX($C$2:$C$14395,$O250,0)</f>
        <v>0</v>
      </c>
      <c r="R250" cm="1">
        <f t="array" ref="R250">INDEX($D$2:$D$14395,$N250,0)</f>
        <v>-1209.0989280000001</v>
      </c>
      <c r="S250" cm="1">
        <f t="array" ref="S250">INDEX($D$2:$D$14395,$O250,0)</f>
        <v>0</v>
      </c>
      <c r="T250">
        <f t="shared" si="64"/>
        <v>-23471.416118262379</v>
      </c>
      <c r="U250">
        <f t="shared" si="65"/>
        <v>2360.109569231578</v>
      </c>
      <c r="V250">
        <f t="shared" si="66"/>
        <v>2348.5968396255703</v>
      </c>
      <c r="W250">
        <f t="shared" si="67"/>
        <v>3590.1245692315779</v>
      </c>
      <c r="X250">
        <f t="shared" si="68"/>
        <v>3757.8495692315782</v>
      </c>
      <c r="Y250">
        <f t="shared" si="69"/>
        <v>2348.5968396255703</v>
      </c>
      <c r="Z250">
        <f t="shared" si="70"/>
        <v>2120.8750480187382</v>
      </c>
      <c r="AA250">
        <f t="shared" si="71"/>
        <v>3456.379569231578</v>
      </c>
    </row>
    <row r="251" spans="1:27" x14ac:dyDescent="0.35">
      <c r="A251">
        <v>747</v>
      </c>
      <c r="B251">
        <v>-3962.03</v>
      </c>
      <c r="C251">
        <f t="shared" si="61"/>
        <v>227.68560000000002</v>
      </c>
      <c r="D251">
        <f t="shared" si="54"/>
        <v>-1207.6267440000001</v>
      </c>
      <c r="E251">
        <f t="shared" si="55"/>
        <v>121.42988817606002</v>
      </c>
      <c r="F251">
        <f t="shared" si="56"/>
        <v>120.83754725812803</v>
      </c>
      <c r="G251">
        <f t="shared" si="57"/>
        <v>1519.1698881760601</v>
      </c>
      <c r="H251">
        <f t="shared" si="58"/>
        <v>120.83754725812803</v>
      </c>
      <c r="I251">
        <v>1</v>
      </c>
      <c r="J251">
        <f t="shared" si="59"/>
        <v>109.12104390143305</v>
      </c>
      <c r="K251">
        <f t="shared" si="60"/>
        <v>1217.6998881760601</v>
      </c>
      <c r="M251">
        <v>7049.5972800000309</v>
      </c>
      <c r="N251">
        <f t="shared" si="62"/>
        <v>396</v>
      </c>
      <c r="O251">
        <f t="shared" si="63"/>
        <v>397</v>
      </c>
      <c r="P251" cm="1">
        <f t="array" ref="P251">INDEX($C$2:$C$14395,$N251,0)</f>
        <v>361.18800000000005</v>
      </c>
      <c r="Q251" cm="1">
        <f t="array" ref="Q251">INDEX($C$2:$C$14395,$O251,0)</f>
        <v>0</v>
      </c>
      <c r="R251" cm="1">
        <f t="array" ref="R251">INDEX($D$2:$D$14395,$N251,0)</f>
        <v>-1209.0989280000001</v>
      </c>
      <c r="S251" cm="1">
        <f t="array" ref="S251">INDEX($D$2:$D$14395,$O251,0)</f>
        <v>0</v>
      </c>
      <c r="T251">
        <f t="shared" si="64"/>
        <v>-23598.958199275039</v>
      </c>
      <c r="U251">
        <f t="shared" si="65"/>
        <v>2372.9342443326032</v>
      </c>
      <c r="V251">
        <f t="shared" si="66"/>
        <v>2361.3589553358593</v>
      </c>
      <c r="W251">
        <f t="shared" si="67"/>
        <v>3602.9492443326035</v>
      </c>
      <c r="X251">
        <f t="shared" si="68"/>
        <v>3770.6742443326029</v>
      </c>
      <c r="Y251">
        <f t="shared" si="69"/>
        <v>2361.3589553358593</v>
      </c>
      <c r="Z251">
        <f t="shared" si="70"/>
        <v>2132.3997389802544</v>
      </c>
      <c r="AA251">
        <f t="shared" si="71"/>
        <v>3469.2042443326031</v>
      </c>
    </row>
    <row r="252" spans="1:27" x14ac:dyDescent="0.35">
      <c r="A252">
        <v>750</v>
      </c>
      <c r="B252">
        <v>-3962.1</v>
      </c>
      <c r="C252">
        <f t="shared" si="61"/>
        <v>228.60000000000002</v>
      </c>
      <c r="D252">
        <f t="shared" si="54"/>
        <v>-1207.6480799999999</v>
      </c>
      <c r="E252">
        <f t="shared" si="55"/>
        <v>121.4320335642</v>
      </c>
      <c r="F252">
        <f t="shared" si="56"/>
        <v>120.83968218096</v>
      </c>
      <c r="G252">
        <f t="shared" si="57"/>
        <v>1519.1720335642001</v>
      </c>
      <c r="H252">
        <f t="shared" si="58"/>
        <v>120.83968218096</v>
      </c>
      <c r="I252">
        <v>1</v>
      </c>
      <c r="J252">
        <f t="shared" si="59"/>
        <v>109.1229718204728</v>
      </c>
      <c r="K252">
        <f t="shared" si="60"/>
        <v>1217.7020335642001</v>
      </c>
      <c r="M252">
        <v>7087.6972800000312</v>
      </c>
      <c r="N252">
        <f t="shared" si="62"/>
        <v>396</v>
      </c>
      <c r="O252">
        <f t="shared" si="63"/>
        <v>397</v>
      </c>
      <c r="P252" cm="1">
        <f t="array" ref="P252">INDEX($C$2:$C$14395,$N252,0)</f>
        <v>361.18800000000005</v>
      </c>
      <c r="Q252" cm="1">
        <f t="array" ref="Q252">INDEX($C$2:$C$14395,$O252,0)</f>
        <v>0</v>
      </c>
      <c r="R252" cm="1">
        <f t="array" ref="R252">INDEX($D$2:$D$14395,$N252,0)</f>
        <v>-1209.0989280000001</v>
      </c>
      <c r="S252" cm="1">
        <f t="array" ref="S252">INDEX($D$2:$D$14395,$O252,0)</f>
        <v>0</v>
      </c>
      <c r="T252">
        <f t="shared" si="64"/>
        <v>-23726.500280287699</v>
      </c>
      <c r="U252">
        <f t="shared" si="65"/>
        <v>2385.7589194336288</v>
      </c>
      <c r="V252">
        <f t="shared" si="66"/>
        <v>2374.1210710461478</v>
      </c>
      <c r="W252">
        <f t="shared" si="67"/>
        <v>3615.7739194336291</v>
      </c>
      <c r="X252">
        <f t="shared" si="68"/>
        <v>3783.4989194336285</v>
      </c>
      <c r="Y252">
        <f t="shared" si="69"/>
        <v>2374.1210710461478</v>
      </c>
      <c r="Z252">
        <f t="shared" si="70"/>
        <v>2143.9244299417715</v>
      </c>
      <c r="AA252">
        <f t="shared" si="71"/>
        <v>3482.0289194336287</v>
      </c>
    </row>
    <row r="253" spans="1:27" x14ac:dyDescent="0.35">
      <c r="A253">
        <v>753</v>
      </c>
      <c r="B253">
        <v>-3962.16</v>
      </c>
      <c r="C253">
        <f t="shared" si="61"/>
        <v>229.51440000000002</v>
      </c>
      <c r="D253">
        <f t="shared" si="54"/>
        <v>-1207.6663679999999</v>
      </c>
      <c r="E253">
        <f t="shared" si="55"/>
        <v>121.43387246832</v>
      </c>
      <c r="F253">
        <f t="shared" si="56"/>
        <v>120.84151211481601</v>
      </c>
      <c r="G253">
        <f t="shared" si="57"/>
        <v>1519.17387246832</v>
      </c>
      <c r="H253">
        <f t="shared" si="58"/>
        <v>120.84151211481601</v>
      </c>
      <c r="I253">
        <v>1</v>
      </c>
      <c r="J253">
        <f t="shared" si="59"/>
        <v>109.1246243225069</v>
      </c>
      <c r="K253">
        <f t="shared" si="60"/>
        <v>1217.70387246832</v>
      </c>
      <c r="M253">
        <v>7119.4917300000307</v>
      </c>
      <c r="N253">
        <f t="shared" si="62"/>
        <v>396</v>
      </c>
      <c r="O253">
        <f t="shared" si="63"/>
        <v>397</v>
      </c>
      <c r="P253" cm="1">
        <f t="array" ref="P253">INDEX($C$2:$C$14395,$N253,0)</f>
        <v>361.18800000000005</v>
      </c>
      <c r="Q253" cm="1">
        <f t="array" ref="Q253">INDEX($C$2:$C$14395,$O253,0)</f>
        <v>0</v>
      </c>
      <c r="R253" cm="1">
        <f t="array" ref="R253">INDEX($D$2:$D$14395,$N253,0)</f>
        <v>-1209.0989280000001</v>
      </c>
      <c r="S253" cm="1">
        <f t="array" ref="S253">INDEX($D$2:$D$14395,$O253,0)</f>
        <v>0</v>
      </c>
      <c r="T253">
        <f t="shared" si="64"/>
        <v>-23832.93414689276</v>
      </c>
      <c r="U253">
        <f t="shared" si="65"/>
        <v>2396.4611108054341</v>
      </c>
      <c r="V253">
        <f t="shared" si="66"/>
        <v>2384.7710566063834</v>
      </c>
      <c r="W253">
        <f t="shared" si="67"/>
        <v>3626.4761108054345</v>
      </c>
      <c r="X253">
        <f t="shared" si="68"/>
        <v>3794.2011108054339</v>
      </c>
      <c r="Y253">
        <f t="shared" si="69"/>
        <v>2384.7710566063834</v>
      </c>
      <c r="Z253">
        <f t="shared" si="70"/>
        <v>2153.5417845491565</v>
      </c>
      <c r="AA253">
        <f t="shared" si="71"/>
        <v>3492.7311108054341</v>
      </c>
    </row>
    <row r="254" spans="1:27" x14ac:dyDescent="0.35">
      <c r="A254">
        <v>756</v>
      </c>
      <c r="B254">
        <v>-3962.22</v>
      </c>
      <c r="C254">
        <f t="shared" si="61"/>
        <v>230.42880000000002</v>
      </c>
      <c r="D254">
        <f t="shared" si="54"/>
        <v>-1207.6846559999999</v>
      </c>
      <c r="E254">
        <f t="shared" si="55"/>
        <v>121.43571137244</v>
      </c>
      <c r="F254">
        <f t="shared" si="56"/>
        <v>120.84334204867199</v>
      </c>
      <c r="G254">
        <f t="shared" si="57"/>
        <v>1519.17571137244</v>
      </c>
      <c r="H254">
        <f t="shared" si="58"/>
        <v>120.84334204867199</v>
      </c>
      <c r="I254">
        <v>1</v>
      </c>
      <c r="J254">
        <f t="shared" si="59"/>
        <v>109.12627682454097</v>
      </c>
      <c r="K254">
        <f t="shared" si="60"/>
        <v>1217.70571137244</v>
      </c>
      <c r="M254">
        <v>7144.9806300000309</v>
      </c>
      <c r="N254">
        <f t="shared" si="62"/>
        <v>396</v>
      </c>
      <c r="O254">
        <f t="shared" si="63"/>
        <v>397</v>
      </c>
      <c r="P254" cm="1">
        <f t="array" ref="P254">INDEX($C$2:$C$14395,$N254,0)</f>
        <v>361.18800000000005</v>
      </c>
      <c r="Q254" cm="1">
        <f t="array" ref="Q254">INDEX($C$2:$C$14395,$O254,0)</f>
        <v>0</v>
      </c>
      <c r="R254" cm="1">
        <f t="array" ref="R254">INDEX($D$2:$D$14395,$N254,0)</f>
        <v>-1209.0989280000001</v>
      </c>
      <c r="S254" cm="1">
        <f t="array" ref="S254">INDEX($D$2:$D$14395,$O254,0)</f>
        <v>0</v>
      </c>
      <c r="T254">
        <f t="shared" si="64"/>
        <v>-23918.259799090229</v>
      </c>
      <c r="U254">
        <f t="shared" si="65"/>
        <v>2405.0408184480202</v>
      </c>
      <c r="V254">
        <f t="shared" si="66"/>
        <v>2393.3089120165669</v>
      </c>
      <c r="W254">
        <f t="shared" si="67"/>
        <v>3635.0558184480205</v>
      </c>
      <c r="X254">
        <f t="shared" si="68"/>
        <v>3802.78081844802</v>
      </c>
      <c r="Y254">
        <f t="shared" si="69"/>
        <v>2393.3089120165669</v>
      </c>
      <c r="Z254">
        <f t="shared" si="70"/>
        <v>2161.2518028024115</v>
      </c>
      <c r="AA254">
        <f t="shared" si="71"/>
        <v>3501.3108184480202</v>
      </c>
    </row>
    <row r="255" spans="1:27" x14ac:dyDescent="0.35">
      <c r="A255">
        <v>759</v>
      </c>
      <c r="B255">
        <v>-3962.28</v>
      </c>
      <c r="C255">
        <f t="shared" si="61"/>
        <v>231.34320000000002</v>
      </c>
      <c r="D255">
        <f t="shared" si="54"/>
        <v>-1207.7029440000001</v>
      </c>
      <c r="E255">
        <f t="shared" si="55"/>
        <v>121.43755027656002</v>
      </c>
      <c r="F255">
        <f t="shared" si="56"/>
        <v>120.84517198252802</v>
      </c>
      <c r="G255">
        <f t="shared" si="57"/>
        <v>1519.1775502765599</v>
      </c>
      <c r="H255">
        <f t="shared" si="58"/>
        <v>120.84517198252802</v>
      </c>
      <c r="I255">
        <v>1</v>
      </c>
      <c r="J255">
        <f t="shared" si="59"/>
        <v>109.12792932657506</v>
      </c>
      <c r="K255">
        <f t="shared" si="60"/>
        <v>1217.7075502765599</v>
      </c>
      <c r="M255">
        <v>7176.7750800000313</v>
      </c>
      <c r="N255">
        <f t="shared" si="62"/>
        <v>396</v>
      </c>
      <c r="O255">
        <f t="shared" si="63"/>
        <v>397</v>
      </c>
      <c r="P255" cm="1">
        <f t="array" ref="P255">INDEX($C$2:$C$14395,$N255,0)</f>
        <v>361.18800000000005</v>
      </c>
      <c r="Q255" cm="1">
        <f t="array" ref="Q255">INDEX($C$2:$C$14395,$O255,0)</f>
        <v>0</v>
      </c>
      <c r="R255" cm="1">
        <f t="array" ref="R255">INDEX($D$2:$D$14395,$N255,0)</f>
        <v>-1209.0989280000001</v>
      </c>
      <c r="S255" cm="1">
        <f t="array" ref="S255">INDEX($D$2:$D$14395,$O255,0)</f>
        <v>0</v>
      </c>
      <c r="T255">
        <f t="shared" si="64"/>
        <v>-24024.693665695293</v>
      </c>
      <c r="U255">
        <f t="shared" si="65"/>
        <v>2415.7430098198261</v>
      </c>
      <c r="V255">
        <f t="shared" si="66"/>
        <v>2403.9588975768024</v>
      </c>
      <c r="W255">
        <f t="shared" si="67"/>
        <v>3645.7580098198259</v>
      </c>
      <c r="X255">
        <f t="shared" si="68"/>
        <v>3813.4830098198263</v>
      </c>
      <c r="Y255">
        <f t="shared" si="69"/>
        <v>2403.9588975768024</v>
      </c>
      <c r="Z255">
        <f t="shared" si="70"/>
        <v>2170.869157409797</v>
      </c>
      <c r="AA255">
        <f t="shared" si="71"/>
        <v>3512.013009819826</v>
      </c>
    </row>
    <row r="256" spans="1:27" x14ac:dyDescent="0.35">
      <c r="A256">
        <v>762</v>
      </c>
      <c r="B256">
        <v>-3962.34</v>
      </c>
      <c r="C256">
        <f t="shared" si="61"/>
        <v>232.25760000000002</v>
      </c>
      <c r="D256">
        <f t="shared" si="54"/>
        <v>-1207.7212320000001</v>
      </c>
      <c r="E256">
        <f t="shared" si="55"/>
        <v>121.43938918068002</v>
      </c>
      <c r="F256">
        <f t="shared" si="56"/>
        <v>120.84700191638403</v>
      </c>
      <c r="G256">
        <f t="shared" si="57"/>
        <v>1519.1793891806801</v>
      </c>
      <c r="H256">
        <f t="shared" si="58"/>
        <v>120.84700191638403</v>
      </c>
      <c r="I256">
        <v>1</v>
      </c>
      <c r="J256">
        <f t="shared" si="59"/>
        <v>109.12958182860913</v>
      </c>
      <c r="K256">
        <f t="shared" si="60"/>
        <v>1217.7093891806801</v>
      </c>
      <c r="M256">
        <v>7214.8750800000307</v>
      </c>
      <c r="N256">
        <f t="shared" si="62"/>
        <v>396</v>
      </c>
      <c r="O256">
        <f t="shared" si="63"/>
        <v>397</v>
      </c>
      <c r="P256" cm="1">
        <f t="array" ref="P256">INDEX($C$2:$C$14395,$N256,0)</f>
        <v>361.18800000000005</v>
      </c>
      <c r="Q256" cm="1">
        <f t="array" ref="Q256">INDEX($C$2:$C$14395,$O256,0)</f>
        <v>0</v>
      </c>
      <c r="R256" cm="1">
        <f t="array" ref="R256">INDEX($D$2:$D$14395,$N256,0)</f>
        <v>-1209.0989280000001</v>
      </c>
      <c r="S256" cm="1">
        <f t="array" ref="S256">INDEX($D$2:$D$14395,$O256,0)</f>
        <v>0</v>
      </c>
      <c r="T256">
        <f t="shared" si="64"/>
        <v>-24152.235746707949</v>
      </c>
      <c r="U256">
        <f t="shared" si="65"/>
        <v>2428.5676849208512</v>
      </c>
      <c r="V256">
        <f t="shared" si="66"/>
        <v>2416.721013287091</v>
      </c>
      <c r="W256">
        <f t="shared" si="67"/>
        <v>3658.5826849208515</v>
      </c>
      <c r="X256">
        <f t="shared" si="68"/>
        <v>3826.307684920851</v>
      </c>
      <c r="Y256">
        <f t="shared" si="69"/>
        <v>2416.721013287091</v>
      </c>
      <c r="Z256">
        <f t="shared" si="70"/>
        <v>2182.3938483713132</v>
      </c>
      <c r="AA256">
        <f t="shared" si="71"/>
        <v>3524.8376849208512</v>
      </c>
    </row>
    <row r="257" spans="1:27" x14ac:dyDescent="0.35">
      <c r="A257">
        <v>765</v>
      </c>
      <c r="B257">
        <v>-3962.4</v>
      </c>
      <c r="C257">
        <f t="shared" si="61"/>
        <v>233.17200000000003</v>
      </c>
      <c r="D257">
        <f t="shared" si="54"/>
        <v>-1207.7395200000001</v>
      </c>
      <c r="E257">
        <f t="shared" si="55"/>
        <v>121.44122808480002</v>
      </c>
      <c r="F257">
        <f t="shared" si="56"/>
        <v>120.84883185024</v>
      </c>
      <c r="G257">
        <f t="shared" si="57"/>
        <v>1519.1812280848001</v>
      </c>
      <c r="H257">
        <f t="shared" si="58"/>
        <v>120.84883185024</v>
      </c>
      <c r="I257">
        <v>1</v>
      </c>
      <c r="J257">
        <f t="shared" si="59"/>
        <v>109.13123433064322</v>
      </c>
      <c r="K257">
        <f t="shared" si="60"/>
        <v>1217.7112280848</v>
      </c>
      <c r="M257">
        <v>7252.9750800000311</v>
      </c>
      <c r="N257">
        <f t="shared" si="62"/>
        <v>396</v>
      </c>
      <c r="O257">
        <f t="shared" si="63"/>
        <v>397</v>
      </c>
      <c r="P257" cm="1">
        <f t="array" ref="P257">INDEX($C$2:$C$14395,$N257,0)</f>
        <v>361.18800000000005</v>
      </c>
      <c r="Q257" cm="1">
        <f t="array" ref="Q257">INDEX($C$2:$C$14395,$O257,0)</f>
        <v>0</v>
      </c>
      <c r="R257" cm="1">
        <f t="array" ref="R257">INDEX($D$2:$D$14395,$N257,0)</f>
        <v>-1209.0989280000001</v>
      </c>
      <c r="S257" cm="1">
        <f t="array" ref="S257">INDEX($D$2:$D$14395,$O257,0)</f>
        <v>0</v>
      </c>
      <c r="T257">
        <f t="shared" si="64"/>
        <v>-24279.777827720609</v>
      </c>
      <c r="U257">
        <f t="shared" si="65"/>
        <v>2441.3923600218768</v>
      </c>
      <c r="V257">
        <f t="shared" si="66"/>
        <v>2429.4831289973799</v>
      </c>
      <c r="W257">
        <f t="shared" si="67"/>
        <v>3671.4073600218771</v>
      </c>
      <c r="X257">
        <f t="shared" si="68"/>
        <v>3839.1323600218766</v>
      </c>
      <c r="Y257">
        <f t="shared" si="69"/>
        <v>2429.4831289973799</v>
      </c>
      <c r="Z257">
        <f t="shared" si="70"/>
        <v>2193.9185393328298</v>
      </c>
      <c r="AA257">
        <f t="shared" si="71"/>
        <v>3537.6623600218768</v>
      </c>
    </row>
    <row r="258" spans="1:27" x14ac:dyDescent="0.35">
      <c r="A258">
        <v>768</v>
      </c>
      <c r="B258">
        <v>-3962.45</v>
      </c>
      <c r="C258">
        <f t="shared" si="61"/>
        <v>234.08640000000003</v>
      </c>
      <c r="D258">
        <f t="shared" si="54"/>
        <v>-1207.75476</v>
      </c>
      <c r="E258">
        <f t="shared" si="55"/>
        <v>121.44276050489999</v>
      </c>
      <c r="F258">
        <f t="shared" si="56"/>
        <v>120.85035679512002</v>
      </c>
      <c r="G258">
        <f t="shared" si="57"/>
        <v>1519.1827605049</v>
      </c>
      <c r="H258">
        <f t="shared" si="58"/>
        <v>120.85035679512002</v>
      </c>
      <c r="I258">
        <v>1</v>
      </c>
      <c r="J258">
        <f t="shared" si="59"/>
        <v>109.13261141567162</v>
      </c>
      <c r="K258">
        <f t="shared" si="60"/>
        <v>1217.7127605049</v>
      </c>
      <c r="M258">
        <v>7291.0750800000305</v>
      </c>
      <c r="N258">
        <f t="shared" si="62"/>
        <v>396</v>
      </c>
      <c r="O258">
        <f t="shared" si="63"/>
        <v>397</v>
      </c>
      <c r="P258" cm="1">
        <f t="array" ref="P258">INDEX($C$2:$C$14395,$N258,0)</f>
        <v>361.18800000000005</v>
      </c>
      <c r="Q258" cm="1">
        <f t="array" ref="Q258">INDEX($C$2:$C$14395,$O258,0)</f>
        <v>0</v>
      </c>
      <c r="R258" cm="1">
        <f t="array" ref="R258">INDEX($D$2:$D$14395,$N258,0)</f>
        <v>-1209.0989280000001</v>
      </c>
      <c r="S258" cm="1">
        <f t="array" ref="S258">INDEX($D$2:$D$14395,$O258,0)</f>
        <v>0</v>
      </c>
      <c r="T258">
        <f t="shared" si="64"/>
        <v>-24407.319908733265</v>
      </c>
      <c r="U258">
        <f t="shared" si="65"/>
        <v>2454.217035122902</v>
      </c>
      <c r="V258">
        <f t="shared" si="66"/>
        <v>2442.245244707668</v>
      </c>
      <c r="W258">
        <f t="shared" si="67"/>
        <v>3684.2320351229018</v>
      </c>
      <c r="X258">
        <f t="shared" si="68"/>
        <v>3851.9570351229022</v>
      </c>
      <c r="Y258">
        <f t="shared" si="69"/>
        <v>2442.245244707668</v>
      </c>
      <c r="Z258">
        <f t="shared" si="70"/>
        <v>2205.443230294346</v>
      </c>
      <c r="AA258">
        <f t="shared" si="71"/>
        <v>3550.4870351229019</v>
      </c>
    </row>
    <row r="259" spans="1:27" x14ac:dyDescent="0.35">
      <c r="A259">
        <v>771</v>
      </c>
      <c r="B259">
        <v>-3962.51</v>
      </c>
      <c r="C259">
        <f t="shared" si="61"/>
        <v>235.0008</v>
      </c>
      <c r="D259">
        <f t="shared" ref="D259:D322" si="72">B259*0.3048</f>
        <v>-1207.773048</v>
      </c>
      <c r="E259">
        <f t="shared" ref="E259:E322" si="73">D259*-1*1025*9.81/10^5</f>
        <v>121.44459940902</v>
      </c>
      <c r="F259">
        <f t="shared" ref="F259:F322" si="74">1020*D259*-1*9.81/10^5</f>
        <v>120.85218672897601</v>
      </c>
      <c r="G259">
        <f t="shared" ref="G259:G322" si="75">1397.74+E259</f>
        <v>1519.1845994090199</v>
      </c>
      <c r="H259">
        <f t="shared" ref="H259:H322" si="76">F259</f>
        <v>120.85218672897601</v>
      </c>
      <c r="I259">
        <v>1</v>
      </c>
      <c r="J259">
        <f t="shared" ref="J259:J322" si="77">921.1*D259*-1*9.81/10^5</f>
        <v>109.1342639177057</v>
      </c>
      <c r="K259">
        <f t="shared" ref="K259:K322" si="78">1096.27+E259</f>
        <v>1217.7145994090199</v>
      </c>
      <c r="M259">
        <v>7329.1750800000309</v>
      </c>
      <c r="N259">
        <f t="shared" si="62"/>
        <v>396</v>
      </c>
      <c r="O259">
        <f t="shared" si="63"/>
        <v>397</v>
      </c>
      <c r="P259" cm="1">
        <f t="array" ref="P259">INDEX($C$2:$C$14395,$N259,0)</f>
        <v>361.18800000000005</v>
      </c>
      <c r="Q259" cm="1">
        <f t="array" ref="Q259">INDEX($C$2:$C$14395,$O259,0)</f>
        <v>0</v>
      </c>
      <c r="R259" cm="1">
        <f t="array" ref="R259">INDEX($D$2:$D$14395,$N259,0)</f>
        <v>-1209.0989280000001</v>
      </c>
      <c r="S259" cm="1">
        <f t="array" ref="S259">INDEX($D$2:$D$14395,$O259,0)</f>
        <v>0</v>
      </c>
      <c r="T259">
        <f t="shared" si="64"/>
        <v>-24534.861989745925</v>
      </c>
      <c r="U259">
        <f t="shared" si="65"/>
        <v>2467.0417102239276</v>
      </c>
      <c r="V259">
        <f t="shared" si="66"/>
        <v>2455.007360417957</v>
      </c>
      <c r="W259">
        <f t="shared" si="67"/>
        <v>3697.0567102239274</v>
      </c>
      <c r="X259">
        <f t="shared" si="68"/>
        <v>3864.7817102239278</v>
      </c>
      <c r="Y259">
        <f t="shared" si="69"/>
        <v>2455.007360417957</v>
      </c>
      <c r="Z259">
        <f t="shared" si="70"/>
        <v>2216.9679212558631</v>
      </c>
      <c r="AA259">
        <f t="shared" si="71"/>
        <v>3563.3117102239275</v>
      </c>
    </row>
    <row r="260" spans="1:27" x14ac:dyDescent="0.35">
      <c r="A260">
        <v>774</v>
      </c>
      <c r="B260">
        <v>-3962.56</v>
      </c>
      <c r="C260">
        <f t="shared" ref="C260:C323" si="79">A260*0.3048</f>
        <v>235.9152</v>
      </c>
      <c r="D260">
        <f t="shared" si="72"/>
        <v>-1207.788288</v>
      </c>
      <c r="E260">
        <f t="shared" si="73"/>
        <v>121.44613182912002</v>
      </c>
      <c r="F260">
        <f t="shared" si="74"/>
        <v>120.85371167385601</v>
      </c>
      <c r="G260">
        <f t="shared" si="75"/>
        <v>1519.1861318291201</v>
      </c>
      <c r="H260">
        <f t="shared" si="76"/>
        <v>120.85371167385601</v>
      </c>
      <c r="I260">
        <v>1</v>
      </c>
      <c r="J260">
        <f t="shared" si="77"/>
        <v>109.13564100273408</v>
      </c>
      <c r="K260">
        <f t="shared" si="78"/>
        <v>1217.7161318291201</v>
      </c>
      <c r="M260">
        <v>7367.2750800000313</v>
      </c>
      <c r="N260">
        <f t="shared" ref="N260:N323" si="80">MATCH($M260,$C$2:$C$14395,1)</f>
        <v>396</v>
      </c>
      <c r="O260">
        <f t="shared" ref="O260:O323" si="81">N260+1</f>
        <v>397</v>
      </c>
      <c r="P260" cm="1">
        <f t="array" ref="P260">INDEX($C$2:$C$14395,$N260,0)</f>
        <v>361.18800000000005</v>
      </c>
      <c r="Q260" cm="1">
        <f t="array" ref="Q260">INDEX($C$2:$C$14395,$O260,0)</f>
        <v>0</v>
      </c>
      <c r="R260" cm="1">
        <f t="array" ref="R260">INDEX($D$2:$D$14395,$N260,0)</f>
        <v>-1209.0989280000001</v>
      </c>
      <c r="S260" cm="1">
        <f t="array" ref="S260">INDEX($D$2:$D$14395,$O260,0)</f>
        <v>0</v>
      </c>
      <c r="T260">
        <f t="shared" ref="T260:T323" si="82">FORECAST(M260,R260:S260,P260:Q260)</f>
        <v>-24662.404070758585</v>
      </c>
      <c r="U260">
        <f t="shared" ref="U260:U323" si="83">1025*T260*-1*9.81/10^5</f>
        <v>2479.8663853249527</v>
      </c>
      <c r="V260">
        <f t="shared" ref="V260:V323" si="84">1020*T260*-1*9.81/10^5</f>
        <v>2467.7694761282455</v>
      </c>
      <c r="W260">
        <f t="shared" ref="W260:W323" si="85">1230.015+U260</f>
        <v>3709.881385324953</v>
      </c>
      <c r="X260">
        <f t="shared" ref="X260:X323" si="86">1397.74+U260</f>
        <v>3877.6063853249525</v>
      </c>
      <c r="Y260">
        <f t="shared" ref="Y260:Y323" si="87">V260</f>
        <v>2467.7694761282455</v>
      </c>
      <c r="Z260">
        <f t="shared" ref="Z260:Z323" si="88">921.1*T260*-1*9.81/10^5</f>
        <v>2228.4926122173792</v>
      </c>
      <c r="AA260">
        <f t="shared" ref="AA260:AA323" si="89">1096.27+U260</f>
        <v>3576.1363853249527</v>
      </c>
    </row>
    <row r="261" spans="1:27" x14ac:dyDescent="0.35">
      <c r="A261">
        <v>777</v>
      </c>
      <c r="B261">
        <v>-3962.63</v>
      </c>
      <c r="C261">
        <f t="shared" si="79"/>
        <v>236.8296</v>
      </c>
      <c r="D261">
        <f t="shared" si="72"/>
        <v>-1207.809624</v>
      </c>
      <c r="E261">
        <f t="shared" si="73"/>
        <v>121.44827721726</v>
      </c>
      <c r="F261">
        <f t="shared" si="74"/>
        <v>120.85584659668801</v>
      </c>
      <c r="G261">
        <f t="shared" si="75"/>
        <v>1519.1882772172601</v>
      </c>
      <c r="H261">
        <f t="shared" si="76"/>
        <v>120.85584659668801</v>
      </c>
      <c r="I261">
        <v>1</v>
      </c>
      <c r="J261">
        <f t="shared" si="77"/>
        <v>109.13756892177386</v>
      </c>
      <c r="K261">
        <f t="shared" si="78"/>
        <v>1217.71827721726</v>
      </c>
      <c r="M261">
        <v>7405.3750800000307</v>
      </c>
      <c r="N261">
        <f t="shared" si="80"/>
        <v>396</v>
      </c>
      <c r="O261">
        <f t="shared" si="81"/>
        <v>397</v>
      </c>
      <c r="P261" cm="1">
        <f t="array" ref="P261">INDEX($C$2:$C$14395,$N261,0)</f>
        <v>361.18800000000005</v>
      </c>
      <c r="Q261" cm="1">
        <f t="array" ref="Q261">INDEX($C$2:$C$14395,$O261,0)</f>
        <v>0</v>
      </c>
      <c r="R261" cm="1">
        <f t="array" ref="R261">INDEX($D$2:$D$14395,$N261,0)</f>
        <v>-1209.0989280000001</v>
      </c>
      <c r="S261" cm="1">
        <f t="array" ref="S261">INDEX($D$2:$D$14395,$O261,0)</f>
        <v>0</v>
      </c>
      <c r="T261">
        <f t="shared" si="82"/>
        <v>-24789.946151771241</v>
      </c>
      <c r="U261">
        <f t="shared" si="83"/>
        <v>2492.6910604259779</v>
      </c>
      <c r="V261">
        <f t="shared" si="84"/>
        <v>2480.531591838534</v>
      </c>
      <c r="W261">
        <f t="shared" si="85"/>
        <v>3722.7060604259777</v>
      </c>
      <c r="X261">
        <f t="shared" si="86"/>
        <v>3890.4310604259781</v>
      </c>
      <c r="Y261">
        <f t="shared" si="87"/>
        <v>2480.531591838534</v>
      </c>
      <c r="Z261">
        <f t="shared" si="88"/>
        <v>2240.0173031788959</v>
      </c>
      <c r="AA261">
        <f t="shared" si="89"/>
        <v>3588.9610604259778</v>
      </c>
    </row>
    <row r="262" spans="1:27" x14ac:dyDescent="0.35">
      <c r="A262">
        <v>780</v>
      </c>
      <c r="B262">
        <v>-3962.68</v>
      </c>
      <c r="C262">
        <f t="shared" si="79"/>
        <v>237.744</v>
      </c>
      <c r="D262">
        <f t="shared" si="72"/>
        <v>-1207.8248639999999</v>
      </c>
      <c r="E262">
        <f t="shared" si="73"/>
        <v>121.44980963736002</v>
      </c>
      <c r="F262">
        <f t="shared" si="74"/>
        <v>120.85737154156799</v>
      </c>
      <c r="G262">
        <f t="shared" si="75"/>
        <v>1519.18980963736</v>
      </c>
      <c r="H262">
        <f t="shared" si="76"/>
        <v>120.85737154156799</v>
      </c>
      <c r="I262">
        <v>1</v>
      </c>
      <c r="J262">
        <f t="shared" si="77"/>
        <v>109.13894600680224</v>
      </c>
      <c r="K262">
        <f t="shared" si="78"/>
        <v>1217.71980963736</v>
      </c>
      <c r="M262">
        <v>7443.4750800000311</v>
      </c>
      <c r="N262">
        <f t="shared" si="80"/>
        <v>396</v>
      </c>
      <c r="O262">
        <f t="shared" si="81"/>
        <v>397</v>
      </c>
      <c r="P262" cm="1">
        <f t="array" ref="P262">INDEX($C$2:$C$14395,$N262,0)</f>
        <v>361.18800000000005</v>
      </c>
      <c r="Q262" cm="1">
        <f t="array" ref="Q262">INDEX($C$2:$C$14395,$O262,0)</f>
        <v>0</v>
      </c>
      <c r="R262" cm="1">
        <f t="array" ref="R262">INDEX($D$2:$D$14395,$N262,0)</f>
        <v>-1209.0989280000001</v>
      </c>
      <c r="S262" cm="1">
        <f t="array" ref="S262">INDEX($D$2:$D$14395,$O262,0)</f>
        <v>0</v>
      </c>
      <c r="T262">
        <f t="shared" si="82"/>
        <v>-24917.4882327839</v>
      </c>
      <c r="U262">
        <f t="shared" si="83"/>
        <v>2505.5157355270035</v>
      </c>
      <c r="V262">
        <f t="shared" si="84"/>
        <v>2493.2937075488226</v>
      </c>
      <c r="W262">
        <f t="shared" si="85"/>
        <v>3735.5307355270033</v>
      </c>
      <c r="X262">
        <f t="shared" si="86"/>
        <v>3903.2557355270037</v>
      </c>
      <c r="Y262">
        <f t="shared" si="87"/>
        <v>2493.2937075488226</v>
      </c>
      <c r="Z262">
        <f t="shared" si="88"/>
        <v>2251.541994140412</v>
      </c>
      <c r="AA262">
        <f t="shared" si="89"/>
        <v>3601.7857355270035</v>
      </c>
    </row>
    <row r="263" spans="1:27" x14ac:dyDescent="0.35">
      <c r="A263">
        <v>783</v>
      </c>
      <c r="B263">
        <v>-3962.73</v>
      </c>
      <c r="C263">
        <f t="shared" si="79"/>
        <v>238.6584</v>
      </c>
      <c r="D263">
        <f t="shared" si="72"/>
        <v>-1207.8401040000001</v>
      </c>
      <c r="E263">
        <f t="shared" si="73"/>
        <v>121.45134205746001</v>
      </c>
      <c r="F263">
        <f t="shared" si="74"/>
        <v>120.85889648644802</v>
      </c>
      <c r="G263">
        <f t="shared" si="75"/>
        <v>1519.1913420574601</v>
      </c>
      <c r="H263">
        <f t="shared" si="76"/>
        <v>120.85889648644802</v>
      </c>
      <c r="I263">
        <v>1</v>
      </c>
      <c r="J263">
        <f t="shared" si="77"/>
        <v>109.14032309183065</v>
      </c>
      <c r="K263">
        <f t="shared" si="78"/>
        <v>1217.7213420574599</v>
      </c>
      <c r="M263">
        <v>7481.5750800000305</v>
      </c>
      <c r="N263">
        <f t="shared" si="80"/>
        <v>396</v>
      </c>
      <c r="O263">
        <f t="shared" si="81"/>
        <v>397</v>
      </c>
      <c r="P263" cm="1">
        <f t="array" ref="P263">INDEX($C$2:$C$14395,$N263,0)</f>
        <v>361.18800000000005</v>
      </c>
      <c r="Q263" cm="1">
        <f t="array" ref="Q263">INDEX($C$2:$C$14395,$O263,0)</f>
        <v>0</v>
      </c>
      <c r="R263" cm="1">
        <f t="array" ref="R263">INDEX($D$2:$D$14395,$N263,0)</f>
        <v>-1209.0989280000001</v>
      </c>
      <c r="S263" cm="1">
        <f t="array" ref="S263">INDEX($D$2:$D$14395,$O263,0)</f>
        <v>0</v>
      </c>
      <c r="T263">
        <f t="shared" si="82"/>
        <v>-25045.030313796557</v>
      </c>
      <c r="U263">
        <f t="shared" si="83"/>
        <v>2518.3404106280286</v>
      </c>
      <c r="V263">
        <f t="shared" si="84"/>
        <v>2506.0558232591115</v>
      </c>
      <c r="W263">
        <f t="shared" si="85"/>
        <v>3748.3554106280289</v>
      </c>
      <c r="X263">
        <f t="shared" si="86"/>
        <v>3916.0804106280284</v>
      </c>
      <c r="Y263">
        <f t="shared" si="87"/>
        <v>2506.0558232591115</v>
      </c>
      <c r="Z263">
        <f t="shared" si="88"/>
        <v>2263.0666851019287</v>
      </c>
      <c r="AA263">
        <f t="shared" si="89"/>
        <v>3614.6104106280286</v>
      </c>
    </row>
    <row r="264" spans="1:27" x14ac:dyDescent="0.35">
      <c r="A264">
        <v>786</v>
      </c>
      <c r="B264">
        <v>-3962.78</v>
      </c>
      <c r="C264">
        <f t="shared" si="79"/>
        <v>239.5728</v>
      </c>
      <c r="D264">
        <f t="shared" si="72"/>
        <v>-1207.8553440000001</v>
      </c>
      <c r="E264">
        <f t="shared" si="73"/>
        <v>121.45287447756002</v>
      </c>
      <c r="F264">
        <f t="shared" si="74"/>
        <v>120.86042143132802</v>
      </c>
      <c r="G264">
        <f t="shared" si="75"/>
        <v>1519.1928744775601</v>
      </c>
      <c r="H264">
        <f t="shared" si="76"/>
        <v>120.86042143132802</v>
      </c>
      <c r="I264">
        <v>1</v>
      </c>
      <c r="J264">
        <f t="shared" si="77"/>
        <v>109.14170017685908</v>
      </c>
      <c r="K264">
        <f t="shared" si="78"/>
        <v>1217.72287447756</v>
      </c>
      <c r="M264">
        <v>7519.6750800000309</v>
      </c>
      <c r="N264">
        <f t="shared" si="80"/>
        <v>396</v>
      </c>
      <c r="O264">
        <f t="shared" si="81"/>
        <v>397</v>
      </c>
      <c r="P264" cm="1">
        <f t="array" ref="P264">INDEX($C$2:$C$14395,$N264,0)</f>
        <v>361.18800000000005</v>
      </c>
      <c r="Q264" cm="1">
        <f t="array" ref="Q264">INDEX($C$2:$C$14395,$O264,0)</f>
        <v>0</v>
      </c>
      <c r="R264" cm="1">
        <f t="array" ref="R264">INDEX($D$2:$D$14395,$N264,0)</f>
        <v>-1209.0989280000001</v>
      </c>
      <c r="S264" cm="1">
        <f t="array" ref="S264">INDEX($D$2:$D$14395,$O264,0)</f>
        <v>0</v>
      </c>
      <c r="T264">
        <f t="shared" si="82"/>
        <v>-25172.572394809216</v>
      </c>
      <c r="U264">
        <f t="shared" si="83"/>
        <v>2531.1650857290538</v>
      </c>
      <c r="V264">
        <f t="shared" si="84"/>
        <v>2518.8179389694001</v>
      </c>
      <c r="W264">
        <f t="shared" si="85"/>
        <v>3761.1800857290536</v>
      </c>
      <c r="X264">
        <f t="shared" si="86"/>
        <v>3928.905085729054</v>
      </c>
      <c r="Y264">
        <f t="shared" si="87"/>
        <v>2518.8179389694001</v>
      </c>
      <c r="Z264">
        <f t="shared" si="88"/>
        <v>2274.5913760634453</v>
      </c>
      <c r="AA264">
        <f t="shared" si="89"/>
        <v>3627.4350857290538</v>
      </c>
    </row>
    <row r="265" spans="1:27" x14ac:dyDescent="0.35">
      <c r="A265">
        <v>789</v>
      </c>
      <c r="B265">
        <v>-3962.82</v>
      </c>
      <c r="C265">
        <f t="shared" si="79"/>
        <v>240.4872</v>
      </c>
      <c r="D265">
        <f t="shared" si="72"/>
        <v>-1207.8675360000002</v>
      </c>
      <c r="E265">
        <f t="shared" si="73"/>
        <v>121.45410041364003</v>
      </c>
      <c r="F265">
        <f t="shared" si="74"/>
        <v>120.86164138723204</v>
      </c>
      <c r="G265">
        <f t="shared" si="75"/>
        <v>1519.1941004136399</v>
      </c>
      <c r="H265">
        <f t="shared" si="76"/>
        <v>120.86164138723204</v>
      </c>
      <c r="I265">
        <v>1</v>
      </c>
      <c r="J265">
        <f t="shared" si="77"/>
        <v>109.14280184488177</v>
      </c>
      <c r="K265">
        <f t="shared" si="78"/>
        <v>1217.7241004136399</v>
      </c>
      <c r="M265">
        <v>7557.7750800000313</v>
      </c>
      <c r="N265">
        <f t="shared" si="80"/>
        <v>396</v>
      </c>
      <c r="O265">
        <f t="shared" si="81"/>
        <v>397</v>
      </c>
      <c r="P265" cm="1">
        <f t="array" ref="P265">INDEX($C$2:$C$14395,$N265,0)</f>
        <v>361.18800000000005</v>
      </c>
      <c r="Q265" cm="1">
        <f t="array" ref="Q265">INDEX($C$2:$C$14395,$O265,0)</f>
        <v>0</v>
      </c>
      <c r="R265" cm="1">
        <f t="array" ref="R265">INDEX($D$2:$D$14395,$N265,0)</f>
        <v>-1209.0989280000001</v>
      </c>
      <c r="S265" cm="1">
        <f t="array" ref="S265">INDEX($D$2:$D$14395,$O265,0)</f>
        <v>0</v>
      </c>
      <c r="T265">
        <f t="shared" si="82"/>
        <v>-25300.114475821876</v>
      </c>
      <c r="U265">
        <f t="shared" si="83"/>
        <v>2543.9897608300789</v>
      </c>
      <c r="V265">
        <f t="shared" si="84"/>
        <v>2531.5800546796886</v>
      </c>
      <c r="W265">
        <f t="shared" si="85"/>
        <v>3774.0047608300792</v>
      </c>
      <c r="X265">
        <f t="shared" si="86"/>
        <v>3941.7297608300787</v>
      </c>
      <c r="Y265">
        <f t="shared" si="87"/>
        <v>2531.5800546796886</v>
      </c>
      <c r="Z265">
        <f t="shared" si="88"/>
        <v>2286.1160670249619</v>
      </c>
      <c r="AA265">
        <f t="shared" si="89"/>
        <v>3640.2597608300789</v>
      </c>
    </row>
    <row r="266" spans="1:27" x14ac:dyDescent="0.35">
      <c r="A266">
        <v>792</v>
      </c>
      <c r="B266">
        <v>-3962.85</v>
      </c>
      <c r="C266">
        <f t="shared" si="79"/>
        <v>241.4016</v>
      </c>
      <c r="D266">
        <f t="shared" si="72"/>
        <v>-1207.8766800000001</v>
      </c>
      <c r="E266">
        <f t="shared" si="73"/>
        <v>121.45501986570001</v>
      </c>
      <c r="F266">
        <f t="shared" si="74"/>
        <v>120.86255635416001</v>
      </c>
      <c r="G266">
        <f t="shared" si="75"/>
        <v>1519.1950198657</v>
      </c>
      <c r="H266">
        <f t="shared" si="76"/>
        <v>120.86255635416001</v>
      </c>
      <c r="I266">
        <v>1</v>
      </c>
      <c r="J266">
        <f t="shared" si="77"/>
        <v>109.14362809589882</v>
      </c>
      <c r="K266">
        <f t="shared" si="78"/>
        <v>1217.7250198657</v>
      </c>
      <c r="M266">
        <v>7595.8750800000307</v>
      </c>
      <c r="N266">
        <f t="shared" si="80"/>
        <v>396</v>
      </c>
      <c r="O266">
        <f t="shared" si="81"/>
        <v>397</v>
      </c>
      <c r="P266" cm="1">
        <f t="array" ref="P266">INDEX($C$2:$C$14395,$N266,0)</f>
        <v>361.18800000000005</v>
      </c>
      <c r="Q266" cm="1">
        <f t="array" ref="Q266">INDEX($C$2:$C$14395,$O266,0)</f>
        <v>0</v>
      </c>
      <c r="R266" cm="1">
        <f t="array" ref="R266">INDEX($D$2:$D$14395,$N266,0)</f>
        <v>-1209.0989280000001</v>
      </c>
      <c r="S266" cm="1">
        <f t="array" ref="S266">INDEX($D$2:$D$14395,$O266,0)</f>
        <v>0</v>
      </c>
      <c r="T266">
        <f t="shared" si="82"/>
        <v>-25427.656556834532</v>
      </c>
      <c r="U266">
        <f t="shared" si="83"/>
        <v>2556.8144359311045</v>
      </c>
      <c r="V266">
        <f t="shared" si="84"/>
        <v>2544.3421703899771</v>
      </c>
      <c r="W266">
        <f t="shared" si="85"/>
        <v>3786.8294359311049</v>
      </c>
      <c r="X266">
        <f t="shared" si="86"/>
        <v>3954.5544359311043</v>
      </c>
      <c r="Y266">
        <f t="shared" si="87"/>
        <v>2544.3421703899771</v>
      </c>
      <c r="Z266">
        <f t="shared" si="88"/>
        <v>2297.6407579864781</v>
      </c>
      <c r="AA266">
        <f t="shared" si="89"/>
        <v>3653.0844359311045</v>
      </c>
    </row>
    <row r="267" spans="1:27" x14ac:dyDescent="0.35">
      <c r="A267">
        <v>795</v>
      </c>
      <c r="B267">
        <v>-3962.89</v>
      </c>
      <c r="C267">
        <f t="shared" si="79"/>
        <v>242.316</v>
      </c>
      <c r="D267">
        <f t="shared" si="72"/>
        <v>-1207.888872</v>
      </c>
      <c r="E267">
        <f t="shared" si="73"/>
        <v>121.45624580178</v>
      </c>
      <c r="F267">
        <f t="shared" si="74"/>
        <v>120.86377631006401</v>
      </c>
      <c r="G267">
        <f t="shared" si="75"/>
        <v>1519.1962458017799</v>
      </c>
      <c r="H267">
        <f t="shared" si="76"/>
        <v>120.86377631006401</v>
      </c>
      <c r="I267">
        <v>1</v>
      </c>
      <c r="J267">
        <f t="shared" si="77"/>
        <v>109.14472976392152</v>
      </c>
      <c r="K267">
        <f t="shared" si="78"/>
        <v>1217.7262458017799</v>
      </c>
      <c r="M267">
        <v>7633.9750800000311</v>
      </c>
      <c r="N267">
        <f t="shared" si="80"/>
        <v>396</v>
      </c>
      <c r="O267">
        <f t="shared" si="81"/>
        <v>397</v>
      </c>
      <c r="P267" cm="1">
        <f t="array" ref="P267">INDEX($C$2:$C$14395,$N267,0)</f>
        <v>361.18800000000005</v>
      </c>
      <c r="Q267" cm="1">
        <f t="array" ref="Q267">INDEX($C$2:$C$14395,$O267,0)</f>
        <v>0</v>
      </c>
      <c r="R267" cm="1">
        <f t="array" ref="R267">INDEX($D$2:$D$14395,$N267,0)</f>
        <v>-1209.0989280000001</v>
      </c>
      <c r="S267" cm="1">
        <f t="array" ref="S267">INDEX($D$2:$D$14395,$O267,0)</f>
        <v>0</v>
      </c>
      <c r="T267">
        <f t="shared" si="82"/>
        <v>-25555.198637847192</v>
      </c>
      <c r="U267">
        <f t="shared" si="83"/>
        <v>2569.6391110321297</v>
      </c>
      <c r="V267">
        <f t="shared" si="84"/>
        <v>2557.1042861002661</v>
      </c>
      <c r="W267">
        <f t="shared" si="85"/>
        <v>3799.6541110321295</v>
      </c>
      <c r="X267">
        <f t="shared" si="86"/>
        <v>3967.3791110321299</v>
      </c>
      <c r="Y267">
        <f t="shared" si="87"/>
        <v>2557.1042861002661</v>
      </c>
      <c r="Z267">
        <f t="shared" si="88"/>
        <v>2309.1654489479952</v>
      </c>
      <c r="AA267">
        <f t="shared" si="89"/>
        <v>3665.9091110321297</v>
      </c>
    </row>
    <row r="268" spans="1:27" x14ac:dyDescent="0.35">
      <c r="A268">
        <v>798</v>
      </c>
      <c r="B268">
        <v>-3962.94</v>
      </c>
      <c r="C268">
        <f t="shared" si="79"/>
        <v>243.2304</v>
      </c>
      <c r="D268">
        <f t="shared" si="72"/>
        <v>-1207.9041120000002</v>
      </c>
      <c r="E268">
        <f t="shared" si="73"/>
        <v>121.45777822188003</v>
      </c>
      <c r="F268">
        <f t="shared" si="74"/>
        <v>120.86530125494401</v>
      </c>
      <c r="G268">
        <f t="shared" si="75"/>
        <v>1519.1977782218801</v>
      </c>
      <c r="H268">
        <f t="shared" si="76"/>
        <v>120.86530125494401</v>
      </c>
      <c r="I268">
        <v>1</v>
      </c>
      <c r="J268">
        <f t="shared" si="77"/>
        <v>109.14610684894996</v>
      </c>
      <c r="K268">
        <f t="shared" si="78"/>
        <v>1217.72777822188</v>
      </c>
      <c r="M268">
        <v>7672.0750800000305</v>
      </c>
      <c r="N268">
        <f t="shared" si="80"/>
        <v>396</v>
      </c>
      <c r="O268">
        <f t="shared" si="81"/>
        <v>397</v>
      </c>
      <c r="P268" cm="1">
        <f t="array" ref="P268">INDEX($C$2:$C$14395,$N268,0)</f>
        <v>361.18800000000005</v>
      </c>
      <c r="Q268" cm="1">
        <f t="array" ref="Q268">INDEX($C$2:$C$14395,$O268,0)</f>
        <v>0</v>
      </c>
      <c r="R268" cm="1">
        <f t="array" ref="R268">INDEX($D$2:$D$14395,$N268,0)</f>
        <v>-1209.0989280000001</v>
      </c>
      <c r="S268" cm="1">
        <f t="array" ref="S268">INDEX($D$2:$D$14395,$O268,0)</f>
        <v>0</v>
      </c>
      <c r="T268">
        <f t="shared" si="82"/>
        <v>-25682.740718859848</v>
      </c>
      <c r="U268">
        <f t="shared" si="83"/>
        <v>2582.4637861331548</v>
      </c>
      <c r="V268">
        <f t="shared" si="84"/>
        <v>2569.8664018105542</v>
      </c>
      <c r="W268">
        <f t="shared" si="85"/>
        <v>3812.4787861331552</v>
      </c>
      <c r="X268">
        <f t="shared" si="86"/>
        <v>3980.2037861331546</v>
      </c>
      <c r="Y268">
        <f t="shared" si="87"/>
        <v>2569.8664018105542</v>
      </c>
      <c r="Z268">
        <f t="shared" si="88"/>
        <v>2320.6901399095113</v>
      </c>
      <c r="AA268">
        <f t="shared" si="89"/>
        <v>3678.7337861331548</v>
      </c>
    </row>
    <row r="269" spans="1:27" x14ac:dyDescent="0.35">
      <c r="A269">
        <v>801</v>
      </c>
      <c r="B269">
        <v>-3962.98</v>
      </c>
      <c r="C269">
        <f t="shared" si="79"/>
        <v>244.1448</v>
      </c>
      <c r="D269">
        <f t="shared" si="72"/>
        <v>-1207.9163040000001</v>
      </c>
      <c r="E269">
        <f t="shared" si="73"/>
        <v>121.45900415796001</v>
      </c>
      <c r="F269">
        <f t="shared" si="74"/>
        <v>120.86652121084802</v>
      </c>
      <c r="G269">
        <f t="shared" si="75"/>
        <v>1519.19900415796</v>
      </c>
      <c r="H269">
        <f t="shared" si="76"/>
        <v>120.86652121084802</v>
      </c>
      <c r="I269">
        <v>1</v>
      </c>
      <c r="J269">
        <f t="shared" si="77"/>
        <v>109.14720851697265</v>
      </c>
      <c r="K269">
        <f t="shared" si="78"/>
        <v>1217.7290041579599</v>
      </c>
      <c r="M269">
        <v>7702.4804040000317</v>
      </c>
      <c r="N269">
        <f t="shared" si="80"/>
        <v>396</v>
      </c>
      <c r="O269">
        <f t="shared" si="81"/>
        <v>397</v>
      </c>
      <c r="P269" cm="1">
        <f t="array" ref="P269">INDEX($C$2:$C$14395,$N269,0)</f>
        <v>361.18800000000005</v>
      </c>
      <c r="Q269" cm="1">
        <f t="array" ref="Q269">INDEX($C$2:$C$14395,$O269,0)</f>
        <v>0</v>
      </c>
      <c r="R269" cm="1">
        <f t="array" ref="R269">INDEX($D$2:$D$14395,$N269,0)</f>
        <v>-1209.0989280000001</v>
      </c>
      <c r="S269" cm="1">
        <f t="array" ref="S269">INDEX($D$2:$D$14395,$O269,0)</f>
        <v>0</v>
      </c>
      <c r="T269">
        <f t="shared" si="82"/>
        <v>-25784.524401191196</v>
      </c>
      <c r="U269">
        <f t="shared" si="83"/>
        <v>2592.6983898507779</v>
      </c>
      <c r="V269">
        <f t="shared" si="84"/>
        <v>2580.0510806319935</v>
      </c>
      <c r="W269">
        <f t="shared" si="85"/>
        <v>3822.7133898507782</v>
      </c>
      <c r="X269">
        <f t="shared" si="86"/>
        <v>3990.4383898507776</v>
      </c>
      <c r="Y269">
        <f t="shared" si="87"/>
        <v>2580.0510806319935</v>
      </c>
      <c r="Z269">
        <f t="shared" si="88"/>
        <v>2329.8873042844407</v>
      </c>
      <c r="AA269">
        <f t="shared" si="89"/>
        <v>3688.9683898507778</v>
      </c>
    </row>
    <row r="270" spans="1:27" x14ac:dyDescent="0.35">
      <c r="A270">
        <v>804</v>
      </c>
      <c r="B270">
        <v>-3963.03</v>
      </c>
      <c r="C270">
        <f t="shared" si="79"/>
        <v>245.0592</v>
      </c>
      <c r="D270">
        <f t="shared" si="72"/>
        <v>-1207.931544</v>
      </c>
      <c r="E270">
        <f t="shared" si="73"/>
        <v>121.46053657806002</v>
      </c>
      <c r="F270">
        <f t="shared" si="74"/>
        <v>120.86804615572801</v>
      </c>
      <c r="G270">
        <f t="shared" si="75"/>
        <v>1519.2005365780601</v>
      </c>
      <c r="H270">
        <f t="shared" si="76"/>
        <v>120.86804615572801</v>
      </c>
      <c r="I270">
        <v>1</v>
      </c>
      <c r="J270">
        <f t="shared" si="77"/>
        <v>109.14858560200105</v>
      </c>
      <c r="K270">
        <f t="shared" si="78"/>
        <v>1217.7305365780601</v>
      </c>
      <c r="M270">
        <v>7725.191052000031</v>
      </c>
      <c r="N270">
        <f t="shared" si="80"/>
        <v>396</v>
      </c>
      <c r="O270">
        <f t="shared" si="81"/>
        <v>397</v>
      </c>
      <c r="P270" cm="1">
        <f t="array" ref="P270">INDEX($C$2:$C$14395,$N270,0)</f>
        <v>361.18800000000005</v>
      </c>
      <c r="Q270" cm="1">
        <f t="array" ref="Q270">INDEX($C$2:$C$14395,$O270,0)</f>
        <v>0</v>
      </c>
      <c r="R270" cm="1">
        <f t="array" ref="R270">INDEX($D$2:$D$14395,$N270,0)</f>
        <v>-1209.0989280000001</v>
      </c>
      <c r="S270" cm="1">
        <f t="array" ref="S270">INDEX($D$2:$D$14395,$O270,0)</f>
        <v>0</v>
      </c>
      <c r="T270">
        <f t="shared" si="82"/>
        <v>-25860.549684841219</v>
      </c>
      <c r="U270">
        <f t="shared" si="83"/>
        <v>2600.342922184997</v>
      </c>
      <c r="V270">
        <f t="shared" si="84"/>
        <v>2587.6583225645822</v>
      </c>
      <c r="W270">
        <f t="shared" si="85"/>
        <v>3830.3579221849968</v>
      </c>
      <c r="X270">
        <f t="shared" si="86"/>
        <v>3998.0829221849972</v>
      </c>
      <c r="Y270">
        <f t="shared" si="87"/>
        <v>2587.6583225645822</v>
      </c>
      <c r="Z270">
        <f t="shared" si="88"/>
        <v>2336.7569420727809</v>
      </c>
      <c r="AA270">
        <f t="shared" si="89"/>
        <v>3696.6129221849969</v>
      </c>
    </row>
    <row r="271" spans="1:27" x14ac:dyDescent="0.35">
      <c r="A271">
        <v>807</v>
      </c>
      <c r="B271">
        <v>-3963.08</v>
      </c>
      <c r="C271">
        <f t="shared" si="79"/>
        <v>245.9736</v>
      </c>
      <c r="D271">
        <f t="shared" si="72"/>
        <v>-1207.946784</v>
      </c>
      <c r="E271">
        <f t="shared" si="73"/>
        <v>121.46206899815999</v>
      </c>
      <c r="F271">
        <f t="shared" si="74"/>
        <v>120.869571100608</v>
      </c>
      <c r="G271">
        <f t="shared" si="75"/>
        <v>1519.20206899816</v>
      </c>
      <c r="H271">
        <f t="shared" si="76"/>
        <v>120.869571100608</v>
      </c>
      <c r="I271">
        <v>1</v>
      </c>
      <c r="J271">
        <f t="shared" si="77"/>
        <v>109.14996268702944</v>
      </c>
      <c r="K271">
        <f t="shared" si="78"/>
        <v>1217.73206899816</v>
      </c>
      <c r="M271">
        <v>7755.5963760000313</v>
      </c>
      <c r="N271">
        <f t="shared" si="80"/>
        <v>396</v>
      </c>
      <c r="O271">
        <f t="shared" si="81"/>
        <v>397</v>
      </c>
      <c r="P271" cm="1">
        <f t="array" ref="P271">INDEX($C$2:$C$14395,$N271,0)</f>
        <v>361.18800000000005</v>
      </c>
      <c r="Q271" cm="1">
        <f t="array" ref="Q271">INDEX($C$2:$C$14395,$O271,0)</f>
        <v>0</v>
      </c>
      <c r="R271" cm="1">
        <f t="array" ref="R271">INDEX($D$2:$D$14395,$N271,0)</f>
        <v>-1209.0989280000001</v>
      </c>
      <c r="S271" cm="1">
        <f t="array" ref="S271">INDEX($D$2:$D$14395,$O271,0)</f>
        <v>0</v>
      </c>
      <c r="T271">
        <f t="shared" si="82"/>
        <v>-25962.33336717256</v>
      </c>
      <c r="U271">
        <f t="shared" si="83"/>
        <v>2610.5775259026191</v>
      </c>
      <c r="V271">
        <f t="shared" si="84"/>
        <v>2597.8430013860207</v>
      </c>
      <c r="W271">
        <f t="shared" si="85"/>
        <v>3840.5925259026189</v>
      </c>
      <c r="X271">
        <f t="shared" si="86"/>
        <v>4008.3175259026193</v>
      </c>
      <c r="Y271">
        <f t="shared" si="87"/>
        <v>2597.8430013860207</v>
      </c>
      <c r="Z271">
        <f t="shared" si="88"/>
        <v>2345.9541064477094</v>
      </c>
      <c r="AA271">
        <f t="shared" si="89"/>
        <v>3706.8475259026191</v>
      </c>
    </row>
    <row r="272" spans="1:27" x14ac:dyDescent="0.35">
      <c r="A272">
        <v>810</v>
      </c>
      <c r="B272">
        <v>-3963.13</v>
      </c>
      <c r="C272">
        <f t="shared" si="79"/>
        <v>246.88800000000001</v>
      </c>
      <c r="D272">
        <f t="shared" si="72"/>
        <v>-1207.9620240000002</v>
      </c>
      <c r="E272">
        <f t="shared" si="73"/>
        <v>121.46360141826003</v>
      </c>
      <c r="F272">
        <f t="shared" si="74"/>
        <v>120.87109604548803</v>
      </c>
      <c r="G272">
        <f t="shared" si="75"/>
        <v>1519.20360141826</v>
      </c>
      <c r="H272">
        <f t="shared" si="76"/>
        <v>120.87109604548803</v>
      </c>
      <c r="I272">
        <v>1</v>
      </c>
      <c r="J272">
        <f t="shared" si="77"/>
        <v>109.15133977205785</v>
      </c>
      <c r="K272">
        <f t="shared" si="78"/>
        <v>1217.7336014182599</v>
      </c>
      <c r="M272">
        <v>7793.6963760000308</v>
      </c>
      <c r="N272">
        <f t="shared" si="80"/>
        <v>396</v>
      </c>
      <c r="O272">
        <f t="shared" si="81"/>
        <v>397</v>
      </c>
      <c r="P272" cm="1">
        <f t="array" ref="P272">INDEX($C$2:$C$14395,$N272,0)</f>
        <v>361.18800000000005</v>
      </c>
      <c r="Q272" cm="1">
        <f t="array" ref="Q272">INDEX($C$2:$C$14395,$O272,0)</f>
        <v>0</v>
      </c>
      <c r="R272" cm="1">
        <f t="array" ref="R272">INDEX($D$2:$D$14395,$N272,0)</f>
        <v>-1209.0989280000001</v>
      </c>
      <c r="S272" cm="1">
        <f t="array" ref="S272">INDEX($D$2:$D$14395,$O272,0)</f>
        <v>0</v>
      </c>
      <c r="T272">
        <f t="shared" si="82"/>
        <v>-26089.875448185216</v>
      </c>
      <c r="U272">
        <f t="shared" si="83"/>
        <v>2623.4022010036442</v>
      </c>
      <c r="V272">
        <f t="shared" si="84"/>
        <v>2610.6051170963092</v>
      </c>
      <c r="W272">
        <f t="shared" si="85"/>
        <v>3853.4172010036445</v>
      </c>
      <c r="X272">
        <f t="shared" si="86"/>
        <v>4021.142201003644</v>
      </c>
      <c r="Y272">
        <f t="shared" si="87"/>
        <v>2610.6051170963092</v>
      </c>
      <c r="Z272">
        <f t="shared" si="88"/>
        <v>2357.478797409226</v>
      </c>
      <c r="AA272">
        <f t="shared" si="89"/>
        <v>3719.6722010036442</v>
      </c>
    </row>
    <row r="273" spans="1:27" x14ac:dyDescent="0.35">
      <c r="A273">
        <v>813</v>
      </c>
      <c r="B273">
        <v>-3963.17</v>
      </c>
      <c r="C273">
        <f t="shared" si="79"/>
        <v>247.80240000000001</v>
      </c>
      <c r="D273">
        <f t="shared" si="72"/>
        <v>-1207.9742160000001</v>
      </c>
      <c r="E273">
        <f t="shared" si="73"/>
        <v>121.46482735434002</v>
      </c>
      <c r="F273">
        <f t="shared" si="74"/>
        <v>120.87231600139201</v>
      </c>
      <c r="G273">
        <f t="shared" si="75"/>
        <v>1519.2048273543401</v>
      </c>
      <c r="H273">
        <f t="shared" si="76"/>
        <v>120.87231600139201</v>
      </c>
      <c r="I273">
        <v>1</v>
      </c>
      <c r="J273">
        <f t="shared" si="77"/>
        <v>109.15244144008057</v>
      </c>
      <c r="K273">
        <f t="shared" si="78"/>
        <v>1217.73482735434</v>
      </c>
      <c r="M273">
        <v>7824.1001760000308</v>
      </c>
      <c r="N273">
        <f t="shared" si="80"/>
        <v>396</v>
      </c>
      <c r="O273">
        <f t="shared" si="81"/>
        <v>397</v>
      </c>
      <c r="P273" cm="1">
        <f t="array" ref="P273">INDEX($C$2:$C$14395,$N273,0)</f>
        <v>361.18800000000005</v>
      </c>
      <c r="Q273" cm="1">
        <f t="array" ref="Q273">INDEX($C$2:$C$14395,$O273,0)</f>
        <v>0</v>
      </c>
      <c r="R273" cm="1">
        <f t="array" ref="R273">INDEX($D$2:$D$14395,$N273,0)</f>
        <v>-1209.0989280000001</v>
      </c>
      <c r="S273" cm="1">
        <f t="array" ref="S273">INDEX($D$2:$D$14395,$O273,0)</f>
        <v>0</v>
      </c>
      <c r="T273">
        <f t="shared" si="82"/>
        <v>-26191.65402883332</v>
      </c>
      <c r="U273">
        <f t="shared" si="83"/>
        <v>2633.6362917342626</v>
      </c>
      <c r="V273">
        <f t="shared" si="84"/>
        <v>2620.7892854331199</v>
      </c>
      <c r="W273">
        <f t="shared" si="85"/>
        <v>3863.6512917342625</v>
      </c>
      <c r="X273">
        <f t="shared" si="86"/>
        <v>4031.3762917342628</v>
      </c>
      <c r="Y273">
        <f t="shared" si="87"/>
        <v>2620.7892854331199</v>
      </c>
      <c r="Z273">
        <f t="shared" si="88"/>
        <v>2366.6755007965162</v>
      </c>
      <c r="AA273">
        <f t="shared" si="89"/>
        <v>3729.9062917342626</v>
      </c>
    </row>
    <row r="274" spans="1:27" x14ac:dyDescent="0.35">
      <c r="A274">
        <v>816</v>
      </c>
      <c r="B274">
        <v>-3963.22</v>
      </c>
      <c r="C274">
        <f t="shared" si="79"/>
        <v>248.71680000000001</v>
      </c>
      <c r="D274">
        <f t="shared" si="72"/>
        <v>-1207.989456</v>
      </c>
      <c r="E274">
        <f t="shared" si="73"/>
        <v>121.46635977444001</v>
      </c>
      <c r="F274">
        <f t="shared" si="74"/>
        <v>120.87384094627201</v>
      </c>
      <c r="G274">
        <f t="shared" si="75"/>
        <v>1519.20635977444</v>
      </c>
      <c r="H274">
        <f t="shared" si="76"/>
        <v>120.87384094627201</v>
      </c>
      <c r="I274">
        <v>1</v>
      </c>
      <c r="J274">
        <f t="shared" si="77"/>
        <v>109.15381852510897</v>
      </c>
      <c r="K274">
        <f t="shared" si="78"/>
        <v>1217.73635977444</v>
      </c>
      <c r="M274">
        <v>7846.8077760000315</v>
      </c>
      <c r="N274">
        <f t="shared" si="80"/>
        <v>396</v>
      </c>
      <c r="O274">
        <f t="shared" si="81"/>
        <v>397</v>
      </c>
      <c r="P274" cm="1">
        <f t="array" ref="P274">INDEX($C$2:$C$14395,$N274,0)</f>
        <v>361.18800000000005</v>
      </c>
      <c r="Q274" cm="1">
        <f t="array" ref="Q274">INDEX($C$2:$C$14395,$O274,0)</f>
        <v>0</v>
      </c>
      <c r="R274" cm="1">
        <f t="array" ref="R274">INDEX($D$2:$D$14395,$N274,0)</f>
        <v>-1209.0989280000001</v>
      </c>
      <c r="S274" cm="1">
        <f t="array" ref="S274">INDEX($D$2:$D$14395,$O274,0)</f>
        <v>0</v>
      </c>
      <c r="T274">
        <f t="shared" si="82"/>
        <v>-26267.669109116865</v>
      </c>
      <c r="U274">
        <f t="shared" si="83"/>
        <v>2641.2797980944738</v>
      </c>
      <c r="V274">
        <f t="shared" si="84"/>
        <v>2628.3955063964518</v>
      </c>
      <c r="W274">
        <f t="shared" si="85"/>
        <v>3871.2947980944737</v>
      </c>
      <c r="X274">
        <f t="shared" si="86"/>
        <v>4039.019798094474</v>
      </c>
      <c r="Y274">
        <f t="shared" si="87"/>
        <v>2628.3955063964518</v>
      </c>
      <c r="Z274">
        <f t="shared" si="88"/>
        <v>2373.5442166095804</v>
      </c>
      <c r="AA274">
        <f t="shared" si="89"/>
        <v>3737.5497980944738</v>
      </c>
    </row>
    <row r="275" spans="1:27" x14ac:dyDescent="0.35">
      <c r="A275">
        <v>819</v>
      </c>
      <c r="B275">
        <v>-3963.26</v>
      </c>
      <c r="C275">
        <f t="shared" si="79"/>
        <v>249.63120000000001</v>
      </c>
      <c r="D275">
        <f t="shared" si="72"/>
        <v>-1208.0016480000002</v>
      </c>
      <c r="E275">
        <f t="shared" si="73"/>
        <v>121.46758571052001</v>
      </c>
      <c r="F275">
        <f t="shared" si="74"/>
        <v>120.87506090217603</v>
      </c>
      <c r="G275">
        <f t="shared" si="75"/>
        <v>1519.2075857105201</v>
      </c>
      <c r="H275">
        <f t="shared" si="76"/>
        <v>120.87506090217603</v>
      </c>
      <c r="I275">
        <v>1</v>
      </c>
      <c r="J275">
        <f t="shared" si="77"/>
        <v>109.15492019313172</v>
      </c>
      <c r="K275">
        <f t="shared" si="78"/>
        <v>1217.7375857105201</v>
      </c>
      <c r="M275">
        <v>7877.2115760000315</v>
      </c>
      <c r="N275">
        <f t="shared" si="80"/>
        <v>396</v>
      </c>
      <c r="O275">
        <f t="shared" si="81"/>
        <v>397</v>
      </c>
      <c r="P275" cm="1">
        <f t="array" ref="P275">INDEX($C$2:$C$14395,$N275,0)</f>
        <v>361.18800000000005</v>
      </c>
      <c r="Q275" cm="1">
        <f t="array" ref="Q275">INDEX($C$2:$C$14395,$O275,0)</f>
        <v>0</v>
      </c>
      <c r="R275" cm="1">
        <f t="array" ref="R275">INDEX($D$2:$D$14395,$N275,0)</f>
        <v>-1209.0989280000001</v>
      </c>
      <c r="S275" cm="1">
        <f t="array" ref="S275">INDEX($D$2:$D$14395,$O275,0)</f>
        <v>0</v>
      </c>
      <c r="T275">
        <f t="shared" si="82"/>
        <v>-26369.447689764966</v>
      </c>
      <c r="U275">
        <f t="shared" si="83"/>
        <v>2651.5138888250917</v>
      </c>
      <c r="V275">
        <f t="shared" si="84"/>
        <v>2638.579674733262</v>
      </c>
      <c r="W275">
        <f t="shared" si="85"/>
        <v>3881.5288888250916</v>
      </c>
      <c r="X275">
        <f t="shared" si="86"/>
        <v>4049.253888825092</v>
      </c>
      <c r="Y275">
        <f t="shared" si="87"/>
        <v>2638.579674733262</v>
      </c>
      <c r="Z275">
        <f t="shared" si="88"/>
        <v>2382.7409199968706</v>
      </c>
      <c r="AA275">
        <f t="shared" si="89"/>
        <v>3747.7838888250917</v>
      </c>
    </row>
    <row r="276" spans="1:27" x14ac:dyDescent="0.35">
      <c r="A276">
        <v>822</v>
      </c>
      <c r="B276">
        <v>-3963.31</v>
      </c>
      <c r="C276">
        <f t="shared" si="79"/>
        <v>250.54560000000001</v>
      </c>
      <c r="D276">
        <f t="shared" si="72"/>
        <v>-1208.0168880000001</v>
      </c>
      <c r="E276">
        <f t="shared" si="73"/>
        <v>121.46911813062003</v>
      </c>
      <c r="F276">
        <f t="shared" si="74"/>
        <v>120.87658584705601</v>
      </c>
      <c r="G276">
        <f t="shared" si="75"/>
        <v>1519.20911813062</v>
      </c>
      <c r="H276">
        <f t="shared" si="76"/>
        <v>120.87658584705601</v>
      </c>
      <c r="I276">
        <v>1</v>
      </c>
      <c r="J276">
        <f t="shared" si="77"/>
        <v>109.1562972781601</v>
      </c>
      <c r="K276">
        <f t="shared" si="78"/>
        <v>1217.73911813062</v>
      </c>
      <c r="M276">
        <v>7915.311576000031</v>
      </c>
      <c r="N276">
        <f t="shared" si="80"/>
        <v>396</v>
      </c>
      <c r="O276">
        <f t="shared" si="81"/>
        <v>397</v>
      </c>
      <c r="P276" cm="1">
        <f t="array" ref="P276">INDEX($C$2:$C$14395,$N276,0)</f>
        <v>361.18800000000005</v>
      </c>
      <c r="Q276" cm="1">
        <f t="array" ref="Q276">INDEX($C$2:$C$14395,$O276,0)</f>
        <v>0</v>
      </c>
      <c r="R276" cm="1">
        <f t="array" ref="R276">INDEX($D$2:$D$14395,$N276,0)</f>
        <v>-1209.0989280000001</v>
      </c>
      <c r="S276" cm="1">
        <f t="array" ref="S276">INDEX($D$2:$D$14395,$O276,0)</f>
        <v>0</v>
      </c>
      <c r="T276">
        <f t="shared" si="82"/>
        <v>-26496.989770777622</v>
      </c>
      <c r="U276">
        <f t="shared" si="83"/>
        <v>2664.3385639261169</v>
      </c>
      <c r="V276">
        <f t="shared" si="84"/>
        <v>2651.3417904435505</v>
      </c>
      <c r="W276">
        <f t="shared" si="85"/>
        <v>3894.3535639261172</v>
      </c>
      <c r="X276">
        <f t="shared" si="86"/>
        <v>4062.0785639261167</v>
      </c>
      <c r="Y276">
        <f t="shared" si="87"/>
        <v>2651.3417904435505</v>
      </c>
      <c r="Z276">
        <f t="shared" si="88"/>
        <v>2394.2656109583868</v>
      </c>
      <c r="AA276">
        <f t="shared" si="89"/>
        <v>3760.6085639261169</v>
      </c>
    </row>
    <row r="277" spans="1:27" x14ac:dyDescent="0.35">
      <c r="A277">
        <v>825</v>
      </c>
      <c r="B277">
        <v>-3963.37</v>
      </c>
      <c r="C277">
        <f t="shared" si="79"/>
        <v>251.46</v>
      </c>
      <c r="D277">
        <f t="shared" si="72"/>
        <v>-1208.0351760000001</v>
      </c>
      <c r="E277">
        <f t="shared" si="73"/>
        <v>121.47095703474002</v>
      </c>
      <c r="F277">
        <f t="shared" si="74"/>
        <v>120.87841578091202</v>
      </c>
      <c r="G277">
        <f t="shared" si="75"/>
        <v>1519.21095703474</v>
      </c>
      <c r="H277">
        <f t="shared" si="76"/>
        <v>120.87841578091202</v>
      </c>
      <c r="I277">
        <v>1</v>
      </c>
      <c r="J277">
        <f t="shared" si="77"/>
        <v>109.15794978019419</v>
      </c>
      <c r="K277">
        <f t="shared" si="78"/>
        <v>1217.7409570347399</v>
      </c>
      <c r="M277">
        <v>7945.7161380000307</v>
      </c>
      <c r="N277">
        <f t="shared" si="80"/>
        <v>396</v>
      </c>
      <c r="O277">
        <f t="shared" si="81"/>
        <v>397</v>
      </c>
      <c r="P277" cm="1">
        <f t="array" ref="P277">INDEX($C$2:$C$14395,$N277,0)</f>
        <v>361.18800000000005</v>
      </c>
      <c r="Q277" cm="1">
        <f t="array" ref="Q277">INDEX($C$2:$C$14395,$O277,0)</f>
        <v>0</v>
      </c>
      <c r="R277" cm="1">
        <f t="array" ref="R277">INDEX($D$2:$D$14395,$N277,0)</f>
        <v>-1209.0989280000001</v>
      </c>
      <c r="S277" cm="1">
        <f t="array" ref="S277">INDEX($D$2:$D$14395,$O277,0)</f>
        <v>0</v>
      </c>
      <c r="T277">
        <f t="shared" si="82"/>
        <v>-26598.770902267344</v>
      </c>
      <c r="U277">
        <f t="shared" si="83"/>
        <v>2674.5729111502374</v>
      </c>
      <c r="V277">
        <f t="shared" si="84"/>
        <v>2661.526214022675</v>
      </c>
      <c r="W277">
        <f t="shared" si="85"/>
        <v>3904.5879111502372</v>
      </c>
      <c r="X277">
        <f t="shared" si="86"/>
        <v>4072.3129111502376</v>
      </c>
      <c r="Y277">
        <f t="shared" si="87"/>
        <v>2661.526214022675</v>
      </c>
      <c r="Z277">
        <f t="shared" si="88"/>
        <v>2403.4625448394963</v>
      </c>
      <c r="AA277">
        <f t="shared" si="89"/>
        <v>3770.8429111502373</v>
      </c>
    </row>
    <row r="278" spans="1:27" x14ac:dyDescent="0.35">
      <c r="A278">
        <v>828</v>
      </c>
      <c r="B278">
        <v>-3963.42</v>
      </c>
      <c r="C278">
        <f t="shared" si="79"/>
        <v>252.37440000000001</v>
      </c>
      <c r="D278">
        <f t="shared" si="72"/>
        <v>-1208.050416</v>
      </c>
      <c r="E278">
        <f t="shared" si="73"/>
        <v>121.47248945484002</v>
      </c>
      <c r="F278">
        <f t="shared" si="74"/>
        <v>120.87994072579201</v>
      </c>
      <c r="G278">
        <f t="shared" si="75"/>
        <v>1519.2124894548401</v>
      </c>
      <c r="H278">
        <f t="shared" si="76"/>
        <v>120.87994072579201</v>
      </c>
      <c r="I278">
        <v>1</v>
      </c>
      <c r="J278">
        <f t="shared" si="77"/>
        <v>109.15932686522257</v>
      </c>
      <c r="K278">
        <f t="shared" si="78"/>
        <v>1217.7424894548401</v>
      </c>
      <c r="M278">
        <v>7968.4252620000307</v>
      </c>
      <c r="N278">
        <f t="shared" si="80"/>
        <v>396</v>
      </c>
      <c r="O278">
        <f t="shared" si="81"/>
        <v>397</v>
      </c>
      <c r="P278" cm="1">
        <f t="array" ref="P278">INDEX($C$2:$C$14395,$N278,0)</f>
        <v>361.18800000000005</v>
      </c>
      <c r="Q278" cm="1">
        <f t="array" ref="Q278">INDEX($C$2:$C$14395,$O278,0)</f>
        <v>0</v>
      </c>
      <c r="R278" cm="1">
        <f t="array" ref="R278">INDEX($D$2:$D$14395,$N278,0)</f>
        <v>-1209.0989280000001</v>
      </c>
      <c r="S278" cm="1">
        <f t="array" ref="S278">INDEX($D$2:$D$14395,$O278,0)</f>
        <v>0</v>
      </c>
      <c r="T278">
        <f t="shared" si="82"/>
        <v>-26674.791084234126</v>
      </c>
      <c r="U278">
        <f t="shared" si="83"/>
        <v>2682.2169304974518</v>
      </c>
      <c r="V278">
        <f t="shared" si="84"/>
        <v>2669.1329454706356</v>
      </c>
      <c r="W278">
        <f t="shared" si="85"/>
        <v>3912.2319304974517</v>
      </c>
      <c r="X278">
        <f t="shared" si="86"/>
        <v>4079.956930497452</v>
      </c>
      <c r="Y278">
        <f t="shared" si="87"/>
        <v>2669.1329454706356</v>
      </c>
      <c r="Z278">
        <f t="shared" si="88"/>
        <v>2410.3317216401983</v>
      </c>
      <c r="AA278">
        <f t="shared" si="89"/>
        <v>3778.4869304974518</v>
      </c>
    </row>
    <row r="279" spans="1:27" x14ac:dyDescent="0.35">
      <c r="A279">
        <v>831</v>
      </c>
      <c r="B279">
        <v>-3963.47</v>
      </c>
      <c r="C279">
        <f t="shared" si="79"/>
        <v>253.28880000000001</v>
      </c>
      <c r="D279">
        <f t="shared" si="72"/>
        <v>-1208.065656</v>
      </c>
      <c r="E279">
        <f t="shared" si="73"/>
        <v>121.47402187494001</v>
      </c>
      <c r="F279">
        <f t="shared" si="74"/>
        <v>120.881465670672</v>
      </c>
      <c r="G279">
        <f t="shared" si="75"/>
        <v>1519.21402187494</v>
      </c>
      <c r="H279">
        <f t="shared" si="76"/>
        <v>120.881465670672</v>
      </c>
      <c r="I279">
        <v>1</v>
      </c>
      <c r="J279">
        <f t="shared" si="77"/>
        <v>109.16070395025096</v>
      </c>
      <c r="K279">
        <f t="shared" si="78"/>
        <v>1217.74402187494</v>
      </c>
      <c r="M279">
        <v>7991.133624000031</v>
      </c>
      <c r="N279">
        <f t="shared" si="80"/>
        <v>396</v>
      </c>
      <c r="O279">
        <f t="shared" si="81"/>
        <v>397</v>
      </c>
      <c r="P279" cm="1">
        <f t="array" ref="P279">INDEX($C$2:$C$14395,$N279,0)</f>
        <v>361.18800000000005</v>
      </c>
      <c r="Q279" cm="1">
        <f t="array" ref="Q279">INDEX($C$2:$C$14395,$O279,0)</f>
        <v>0</v>
      </c>
      <c r="R279" cm="1">
        <f t="array" ref="R279">INDEX($D$2:$D$14395,$N279,0)</f>
        <v>-1209.0989280000001</v>
      </c>
      <c r="S279" cm="1">
        <f t="array" ref="S279">INDEX($D$2:$D$14395,$O279,0)</f>
        <v>0</v>
      </c>
      <c r="T279">
        <f t="shared" si="82"/>
        <v>-26750.808715359293</v>
      </c>
      <c r="U279">
        <f t="shared" si="83"/>
        <v>2689.8606933511655</v>
      </c>
      <c r="V279">
        <f t="shared" si="84"/>
        <v>2676.7394216762818</v>
      </c>
      <c r="W279">
        <f t="shared" si="85"/>
        <v>3919.8756933511659</v>
      </c>
      <c r="X279">
        <f t="shared" si="86"/>
        <v>4087.6006933511653</v>
      </c>
      <c r="Y279">
        <f t="shared" si="87"/>
        <v>2676.7394216762818</v>
      </c>
      <c r="Z279">
        <f t="shared" si="88"/>
        <v>2417.2006679470815</v>
      </c>
      <c r="AA279">
        <f t="shared" si="89"/>
        <v>3786.1306933511655</v>
      </c>
    </row>
    <row r="280" spans="1:27" x14ac:dyDescent="0.35">
      <c r="A280">
        <v>834</v>
      </c>
      <c r="B280">
        <v>-3963.51</v>
      </c>
      <c r="C280">
        <f t="shared" si="79"/>
        <v>254.20320000000001</v>
      </c>
      <c r="D280">
        <f t="shared" si="72"/>
        <v>-1208.0778480000001</v>
      </c>
      <c r="E280">
        <f t="shared" si="73"/>
        <v>121.47524781102001</v>
      </c>
      <c r="F280">
        <f t="shared" si="74"/>
        <v>120.88268562657602</v>
      </c>
      <c r="G280">
        <f t="shared" si="75"/>
        <v>1519.2152478110199</v>
      </c>
      <c r="H280">
        <f t="shared" si="76"/>
        <v>120.88268562657602</v>
      </c>
      <c r="I280">
        <v>1</v>
      </c>
      <c r="J280">
        <f t="shared" si="77"/>
        <v>109.16180561827369</v>
      </c>
      <c r="K280">
        <f t="shared" si="78"/>
        <v>1217.7452478110199</v>
      </c>
      <c r="M280">
        <v>8013.8412240000307</v>
      </c>
      <c r="N280">
        <f t="shared" si="80"/>
        <v>396</v>
      </c>
      <c r="O280">
        <f t="shared" si="81"/>
        <v>397</v>
      </c>
      <c r="P280" cm="1">
        <f t="array" ref="P280">INDEX($C$2:$C$14395,$N280,0)</f>
        <v>361.18800000000005</v>
      </c>
      <c r="Q280" cm="1">
        <f t="array" ref="Q280">INDEX($C$2:$C$14395,$O280,0)</f>
        <v>0</v>
      </c>
      <c r="R280" cm="1">
        <f t="array" ref="R280">INDEX($D$2:$D$14395,$N280,0)</f>
        <v>-1209.0989280000001</v>
      </c>
      <c r="S280" cm="1">
        <f t="array" ref="S280">INDEX($D$2:$D$14395,$O280,0)</f>
        <v>0</v>
      </c>
      <c r="T280">
        <f t="shared" si="82"/>
        <v>-26826.823795642838</v>
      </c>
      <c r="U280">
        <f t="shared" si="83"/>
        <v>2697.5041997113763</v>
      </c>
      <c r="V280">
        <f t="shared" si="84"/>
        <v>2684.3456426396137</v>
      </c>
      <c r="W280">
        <f t="shared" si="85"/>
        <v>3927.5191997113761</v>
      </c>
      <c r="X280">
        <f t="shared" si="86"/>
        <v>4095.2441997113765</v>
      </c>
      <c r="Y280">
        <f t="shared" si="87"/>
        <v>2684.3456426396137</v>
      </c>
      <c r="Z280">
        <f t="shared" si="88"/>
        <v>2424.0693837601457</v>
      </c>
      <c r="AA280">
        <f t="shared" si="89"/>
        <v>3793.7741997113762</v>
      </c>
    </row>
    <row r="281" spans="1:27" x14ac:dyDescent="0.35">
      <c r="A281">
        <v>837</v>
      </c>
      <c r="B281">
        <v>-3963.55</v>
      </c>
      <c r="C281">
        <f t="shared" si="79"/>
        <v>255.11760000000001</v>
      </c>
      <c r="D281">
        <f t="shared" si="72"/>
        <v>-1208.09004</v>
      </c>
      <c r="E281">
        <f t="shared" si="73"/>
        <v>121.47647374710002</v>
      </c>
      <c r="F281">
        <f t="shared" si="74"/>
        <v>120.88390558248003</v>
      </c>
      <c r="G281">
        <f t="shared" si="75"/>
        <v>1519.2164737471001</v>
      </c>
      <c r="H281">
        <f t="shared" si="76"/>
        <v>120.88390558248003</v>
      </c>
      <c r="I281">
        <v>1</v>
      </c>
      <c r="J281">
        <f t="shared" si="77"/>
        <v>109.16290728629642</v>
      </c>
      <c r="K281">
        <f t="shared" si="78"/>
        <v>1217.7464737471</v>
      </c>
      <c r="M281">
        <v>8036.5488240000304</v>
      </c>
      <c r="N281">
        <f t="shared" si="80"/>
        <v>396</v>
      </c>
      <c r="O281">
        <f t="shared" si="81"/>
        <v>397</v>
      </c>
      <c r="P281" cm="1">
        <f t="array" ref="P281">INDEX($C$2:$C$14395,$N281,0)</f>
        <v>361.18800000000005</v>
      </c>
      <c r="Q281" cm="1">
        <f t="array" ref="Q281">INDEX($C$2:$C$14395,$O281,0)</f>
        <v>0</v>
      </c>
      <c r="R281" cm="1">
        <f t="array" ref="R281">INDEX($D$2:$D$14395,$N281,0)</f>
        <v>-1209.0989280000001</v>
      </c>
      <c r="S281" cm="1">
        <f t="array" ref="S281">INDEX($D$2:$D$14395,$O281,0)</f>
        <v>0</v>
      </c>
      <c r="T281">
        <f t="shared" si="82"/>
        <v>-26902.83887592638</v>
      </c>
      <c r="U281">
        <f t="shared" si="83"/>
        <v>2705.1477060715879</v>
      </c>
      <c r="V281">
        <f t="shared" si="84"/>
        <v>2691.9518636029457</v>
      </c>
      <c r="W281">
        <f t="shared" si="85"/>
        <v>3935.1627060715882</v>
      </c>
      <c r="X281">
        <f t="shared" si="86"/>
        <v>4102.8877060715877</v>
      </c>
      <c r="Y281">
        <f t="shared" si="87"/>
        <v>2691.9518636029457</v>
      </c>
      <c r="Z281">
        <f t="shared" si="88"/>
        <v>2430.9380995732095</v>
      </c>
      <c r="AA281">
        <f t="shared" si="89"/>
        <v>3801.4177060715879</v>
      </c>
    </row>
    <row r="282" spans="1:27" x14ac:dyDescent="0.35">
      <c r="A282">
        <v>840</v>
      </c>
      <c r="B282">
        <v>-3963.58</v>
      </c>
      <c r="C282">
        <f t="shared" si="79"/>
        <v>256.03200000000004</v>
      </c>
      <c r="D282">
        <f t="shared" si="72"/>
        <v>-1208.0991840000002</v>
      </c>
      <c r="E282">
        <f t="shared" si="73"/>
        <v>121.47739319916001</v>
      </c>
      <c r="F282">
        <f t="shared" si="74"/>
        <v>120.88482054940803</v>
      </c>
      <c r="G282">
        <f t="shared" si="75"/>
        <v>1519.2173931991599</v>
      </c>
      <c r="H282">
        <f t="shared" si="76"/>
        <v>120.88482054940803</v>
      </c>
      <c r="I282">
        <v>1</v>
      </c>
      <c r="J282">
        <f t="shared" si="77"/>
        <v>109.16373353731345</v>
      </c>
      <c r="K282">
        <f t="shared" si="78"/>
        <v>1217.7473931991599</v>
      </c>
      <c r="M282">
        <v>8059.2564240000311</v>
      </c>
      <c r="N282">
        <f t="shared" si="80"/>
        <v>396</v>
      </c>
      <c r="O282">
        <f t="shared" si="81"/>
        <v>397</v>
      </c>
      <c r="P282" cm="1">
        <f t="array" ref="P282">INDEX($C$2:$C$14395,$N282,0)</f>
        <v>361.18800000000005</v>
      </c>
      <c r="Q282" cm="1">
        <f t="array" ref="Q282">INDEX($C$2:$C$14395,$O282,0)</f>
        <v>0</v>
      </c>
      <c r="R282" cm="1">
        <f t="array" ref="R282">INDEX($D$2:$D$14395,$N282,0)</f>
        <v>-1209.0989280000001</v>
      </c>
      <c r="S282" cm="1">
        <f t="array" ref="S282">INDEX($D$2:$D$14395,$O282,0)</f>
        <v>0</v>
      </c>
      <c r="T282">
        <f t="shared" si="82"/>
        <v>-26978.853956209925</v>
      </c>
      <c r="U282">
        <f t="shared" si="83"/>
        <v>2712.7912124317986</v>
      </c>
      <c r="V282">
        <f t="shared" si="84"/>
        <v>2699.558084566278</v>
      </c>
      <c r="W282">
        <f t="shared" si="85"/>
        <v>3942.8062124317985</v>
      </c>
      <c r="X282">
        <f t="shared" si="86"/>
        <v>4110.5312124317988</v>
      </c>
      <c r="Y282">
        <f t="shared" si="87"/>
        <v>2699.558084566278</v>
      </c>
      <c r="Z282">
        <f t="shared" si="88"/>
        <v>2437.8068153862728</v>
      </c>
      <c r="AA282">
        <f t="shared" si="89"/>
        <v>3809.0612124317986</v>
      </c>
    </row>
    <row r="283" spans="1:27" x14ac:dyDescent="0.35">
      <c r="A283">
        <v>843</v>
      </c>
      <c r="B283">
        <v>-3963.61</v>
      </c>
      <c r="C283">
        <f t="shared" si="79"/>
        <v>256.94640000000004</v>
      </c>
      <c r="D283">
        <f t="shared" si="72"/>
        <v>-1208.108328</v>
      </c>
      <c r="E283">
        <f t="shared" si="73"/>
        <v>121.47831265121999</v>
      </c>
      <c r="F283">
        <f t="shared" si="74"/>
        <v>120.885735516336</v>
      </c>
      <c r="G283">
        <f t="shared" si="75"/>
        <v>1519.21831265122</v>
      </c>
      <c r="H283">
        <f t="shared" si="76"/>
        <v>120.885735516336</v>
      </c>
      <c r="I283">
        <v>1</v>
      </c>
      <c r="J283">
        <f t="shared" si="77"/>
        <v>109.16455978833049</v>
      </c>
      <c r="K283">
        <f t="shared" si="78"/>
        <v>1217.74831265122</v>
      </c>
      <c r="M283">
        <v>8081.9647860000314</v>
      </c>
      <c r="N283">
        <f t="shared" si="80"/>
        <v>396</v>
      </c>
      <c r="O283">
        <f t="shared" si="81"/>
        <v>397</v>
      </c>
      <c r="P283" cm="1">
        <f t="array" ref="P283">INDEX($C$2:$C$14395,$N283,0)</f>
        <v>361.18800000000005</v>
      </c>
      <c r="Q283" cm="1">
        <f t="array" ref="Q283">INDEX($C$2:$C$14395,$O283,0)</f>
        <v>0</v>
      </c>
      <c r="R283" cm="1">
        <f t="array" ref="R283">INDEX($D$2:$D$14395,$N283,0)</f>
        <v>-1209.0989280000001</v>
      </c>
      <c r="S283" cm="1">
        <f t="array" ref="S283">INDEX($D$2:$D$14395,$O283,0)</f>
        <v>0</v>
      </c>
      <c r="T283">
        <f t="shared" si="82"/>
        <v>-27054.871587335092</v>
      </c>
      <c r="U283">
        <f t="shared" si="83"/>
        <v>2720.4349752855123</v>
      </c>
      <c r="V283">
        <f t="shared" si="84"/>
        <v>2707.1645607719242</v>
      </c>
      <c r="W283">
        <f t="shared" si="85"/>
        <v>3950.4499752855127</v>
      </c>
      <c r="X283">
        <f t="shared" si="86"/>
        <v>4118.1749752855121</v>
      </c>
      <c r="Y283">
        <f t="shared" si="87"/>
        <v>2707.1645607719242</v>
      </c>
      <c r="Z283">
        <f t="shared" si="88"/>
        <v>2444.6757616931563</v>
      </c>
      <c r="AA283">
        <f t="shared" si="89"/>
        <v>3816.7049752855123</v>
      </c>
    </row>
    <row r="284" spans="1:27" x14ac:dyDescent="0.35">
      <c r="A284">
        <v>846</v>
      </c>
      <c r="B284">
        <v>-3963.63</v>
      </c>
      <c r="C284">
        <f t="shared" si="79"/>
        <v>257.86080000000004</v>
      </c>
      <c r="D284">
        <f t="shared" si="72"/>
        <v>-1208.1144240000001</v>
      </c>
      <c r="E284">
        <f t="shared" si="73"/>
        <v>121.47892561926001</v>
      </c>
      <c r="F284">
        <f t="shared" si="74"/>
        <v>120.88634549428801</v>
      </c>
      <c r="G284">
        <f t="shared" si="75"/>
        <v>1519.2189256192601</v>
      </c>
      <c r="H284">
        <f t="shared" si="76"/>
        <v>120.88634549428801</v>
      </c>
      <c r="I284">
        <v>1</v>
      </c>
      <c r="J284">
        <f t="shared" si="77"/>
        <v>109.16511062234186</v>
      </c>
      <c r="K284">
        <f t="shared" si="78"/>
        <v>1217.74892561926</v>
      </c>
      <c r="M284">
        <v>8104.6739100000304</v>
      </c>
      <c r="N284">
        <f t="shared" si="80"/>
        <v>396</v>
      </c>
      <c r="O284">
        <f t="shared" si="81"/>
        <v>397</v>
      </c>
      <c r="P284" cm="1">
        <f t="array" ref="P284">INDEX($C$2:$C$14395,$N284,0)</f>
        <v>361.18800000000005</v>
      </c>
      <c r="Q284" cm="1">
        <f t="array" ref="Q284">INDEX($C$2:$C$14395,$O284,0)</f>
        <v>0</v>
      </c>
      <c r="R284" cm="1">
        <f t="array" ref="R284">INDEX($D$2:$D$14395,$N284,0)</f>
        <v>-1209.0989280000001</v>
      </c>
      <c r="S284" cm="1">
        <f t="array" ref="S284">INDEX($D$2:$D$14395,$O284,0)</f>
        <v>0</v>
      </c>
      <c r="T284">
        <f t="shared" si="82"/>
        <v>-27130.891769301874</v>
      </c>
      <c r="U284">
        <f t="shared" si="83"/>
        <v>2728.0789946327268</v>
      </c>
      <c r="V284">
        <f t="shared" si="84"/>
        <v>2714.7712922198843</v>
      </c>
      <c r="W284">
        <f t="shared" si="85"/>
        <v>3958.0939946327271</v>
      </c>
      <c r="X284">
        <f t="shared" si="86"/>
        <v>4125.8189946327266</v>
      </c>
      <c r="Y284">
        <f t="shared" si="87"/>
        <v>2714.7712922198843</v>
      </c>
      <c r="Z284">
        <f t="shared" si="88"/>
        <v>2451.5449384938584</v>
      </c>
      <c r="AA284">
        <f t="shared" si="89"/>
        <v>3824.3489946327268</v>
      </c>
    </row>
    <row r="285" spans="1:27" x14ac:dyDescent="0.35">
      <c r="A285">
        <v>849</v>
      </c>
      <c r="B285">
        <v>-3963.66</v>
      </c>
      <c r="C285">
        <f t="shared" si="79"/>
        <v>258.77520000000004</v>
      </c>
      <c r="D285">
        <f t="shared" si="72"/>
        <v>-1208.123568</v>
      </c>
      <c r="E285">
        <f t="shared" si="73"/>
        <v>121.47984507132001</v>
      </c>
      <c r="F285">
        <f t="shared" si="74"/>
        <v>120.88726046121602</v>
      </c>
      <c r="G285">
        <f t="shared" si="75"/>
        <v>1519.2198450713199</v>
      </c>
      <c r="H285">
        <f t="shared" si="76"/>
        <v>120.88726046121602</v>
      </c>
      <c r="I285">
        <v>1</v>
      </c>
      <c r="J285">
        <f t="shared" si="77"/>
        <v>109.16593687335887</v>
      </c>
      <c r="K285">
        <f t="shared" si="78"/>
        <v>1217.7498450713199</v>
      </c>
      <c r="M285">
        <v>8135.0784720000311</v>
      </c>
      <c r="N285">
        <f t="shared" si="80"/>
        <v>396</v>
      </c>
      <c r="O285">
        <f t="shared" si="81"/>
        <v>397</v>
      </c>
      <c r="P285" cm="1">
        <f t="array" ref="P285">INDEX($C$2:$C$14395,$N285,0)</f>
        <v>361.18800000000005</v>
      </c>
      <c r="Q285" cm="1">
        <f t="array" ref="Q285">INDEX($C$2:$C$14395,$O285,0)</f>
        <v>0</v>
      </c>
      <c r="R285" cm="1">
        <f t="array" ref="R285">INDEX($D$2:$D$14395,$N285,0)</f>
        <v>-1209.0989280000001</v>
      </c>
      <c r="S285" cm="1">
        <f t="array" ref="S285">INDEX($D$2:$D$14395,$O285,0)</f>
        <v>0</v>
      </c>
      <c r="T285">
        <f t="shared" si="82"/>
        <v>-27232.672900791596</v>
      </c>
      <c r="U285">
        <f t="shared" si="83"/>
        <v>2738.3133418568473</v>
      </c>
      <c r="V285">
        <f t="shared" si="84"/>
        <v>2724.9557157990093</v>
      </c>
      <c r="W285">
        <f t="shared" si="85"/>
        <v>3968.3283418568471</v>
      </c>
      <c r="X285">
        <f t="shared" si="86"/>
        <v>4136.0533418568475</v>
      </c>
      <c r="Y285">
        <f t="shared" si="87"/>
        <v>2724.9557157990093</v>
      </c>
      <c r="Z285">
        <f t="shared" si="88"/>
        <v>2460.7418723749674</v>
      </c>
      <c r="AA285">
        <f t="shared" si="89"/>
        <v>3834.5833418568473</v>
      </c>
    </row>
    <row r="286" spans="1:27" x14ac:dyDescent="0.35">
      <c r="A286">
        <v>852</v>
      </c>
      <c r="B286">
        <v>-3963.68</v>
      </c>
      <c r="C286">
        <f t="shared" si="79"/>
        <v>259.68960000000004</v>
      </c>
      <c r="D286">
        <f t="shared" si="72"/>
        <v>-1208.129664</v>
      </c>
      <c r="E286">
        <f t="shared" si="73"/>
        <v>121.48045803936002</v>
      </c>
      <c r="F286">
        <f t="shared" si="74"/>
        <v>120.88787043916801</v>
      </c>
      <c r="G286">
        <f t="shared" si="75"/>
        <v>1519.22045803936</v>
      </c>
      <c r="H286">
        <f t="shared" si="76"/>
        <v>120.88787043916801</v>
      </c>
      <c r="I286">
        <v>1</v>
      </c>
      <c r="J286">
        <f t="shared" si="77"/>
        <v>109.16648770737027</v>
      </c>
      <c r="K286">
        <f t="shared" si="78"/>
        <v>1217.75045803936</v>
      </c>
      <c r="M286">
        <v>8173.1784720000314</v>
      </c>
      <c r="N286">
        <f t="shared" si="80"/>
        <v>396</v>
      </c>
      <c r="O286">
        <f t="shared" si="81"/>
        <v>397</v>
      </c>
      <c r="P286" cm="1">
        <f t="array" ref="P286">INDEX($C$2:$C$14395,$N286,0)</f>
        <v>361.18800000000005</v>
      </c>
      <c r="Q286" cm="1">
        <f t="array" ref="Q286">INDEX($C$2:$C$14395,$O286,0)</f>
        <v>0</v>
      </c>
      <c r="R286" cm="1">
        <f t="array" ref="R286">INDEX($D$2:$D$14395,$N286,0)</f>
        <v>-1209.0989280000001</v>
      </c>
      <c r="S286" cm="1">
        <f t="array" ref="S286">INDEX($D$2:$D$14395,$O286,0)</f>
        <v>0</v>
      </c>
      <c r="T286">
        <f t="shared" si="82"/>
        <v>-27360.214981804256</v>
      </c>
      <c r="U286">
        <f t="shared" si="83"/>
        <v>2751.1380169578724</v>
      </c>
      <c r="V286">
        <f t="shared" si="84"/>
        <v>2737.7178315092974</v>
      </c>
      <c r="W286">
        <f t="shared" si="85"/>
        <v>3981.1530169578728</v>
      </c>
      <c r="X286">
        <f t="shared" si="86"/>
        <v>4148.8780169578722</v>
      </c>
      <c r="Y286">
        <f t="shared" si="87"/>
        <v>2737.7178315092974</v>
      </c>
      <c r="Z286">
        <f t="shared" si="88"/>
        <v>2472.2665633364845</v>
      </c>
      <c r="AA286">
        <f t="shared" si="89"/>
        <v>3847.4080169578724</v>
      </c>
    </row>
    <row r="287" spans="1:27" x14ac:dyDescent="0.35">
      <c r="A287">
        <v>855</v>
      </c>
      <c r="B287">
        <v>-3963.7</v>
      </c>
      <c r="C287">
        <f t="shared" si="79"/>
        <v>260.60399999999998</v>
      </c>
      <c r="D287">
        <f t="shared" si="72"/>
        <v>-1208.1357600000001</v>
      </c>
      <c r="E287">
        <f t="shared" si="73"/>
        <v>121.48107100740002</v>
      </c>
      <c r="F287">
        <f t="shared" si="74"/>
        <v>120.88848041712002</v>
      </c>
      <c r="G287">
        <f t="shared" si="75"/>
        <v>1519.2210710074</v>
      </c>
      <c r="H287">
        <f t="shared" si="76"/>
        <v>120.88848041712002</v>
      </c>
      <c r="I287">
        <v>1</v>
      </c>
      <c r="J287">
        <f t="shared" si="77"/>
        <v>109.16703854138161</v>
      </c>
      <c r="K287">
        <f t="shared" si="78"/>
        <v>1217.7510710074</v>
      </c>
      <c r="M287">
        <v>8203.5830340000302</v>
      </c>
      <c r="N287">
        <f t="shared" si="80"/>
        <v>396</v>
      </c>
      <c r="O287">
        <f t="shared" si="81"/>
        <v>397</v>
      </c>
      <c r="P287" cm="1">
        <f t="array" ref="P287">INDEX($C$2:$C$14395,$N287,0)</f>
        <v>361.18800000000005</v>
      </c>
      <c r="Q287" cm="1">
        <f t="array" ref="Q287">INDEX($C$2:$C$14395,$O287,0)</f>
        <v>0</v>
      </c>
      <c r="R287" cm="1">
        <f t="array" ref="R287">INDEX($D$2:$D$14395,$N287,0)</f>
        <v>-1209.0989280000001</v>
      </c>
      <c r="S287" cm="1">
        <f t="array" ref="S287">INDEX($D$2:$D$14395,$O287,0)</f>
        <v>0</v>
      </c>
      <c r="T287">
        <f t="shared" si="82"/>
        <v>-27461.996113293975</v>
      </c>
      <c r="U287">
        <f t="shared" si="83"/>
        <v>2761.3723641819925</v>
      </c>
      <c r="V287">
        <f t="shared" si="84"/>
        <v>2747.9022550884215</v>
      </c>
      <c r="W287">
        <f t="shared" si="85"/>
        <v>3991.3873641819928</v>
      </c>
      <c r="X287">
        <f t="shared" si="86"/>
        <v>4159.1123641819922</v>
      </c>
      <c r="Y287">
        <f t="shared" si="87"/>
        <v>2747.9022550884215</v>
      </c>
      <c r="Z287">
        <f t="shared" si="88"/>
        <v>2481.4634972175936</v>
      </c>
      <c r="AA287">
        <f t="shared" si="89"/>
        <v>3857.6423641819924</v>
      </c>
    </row>
    <row r="288" spans="1:27" x14ac:dyDescent="0.35">
      <c r="A288">
        <v>858</v>
      </c>
      <c r="B288">
        <v>-3963.73</v>
      </c>
      <c r="C288">
        <f t="shared" si="79"/>
        <v>261.51839999999999</v>
      </c>
      <c r="D288">
        <f t="shared" si="72"/>
        <v>-1208.144904</v>
      </c>
      <c r="E288">
        <f t="shared" si="73"/>
        <v>121.48199045946001</v>
      </c>
      <c r="F288">
        <f t="shared" si="74"/>
        <v>120.88939538404802</v>
      </c>
      <c r="G288">
        <f t="shared" si="75"/>
        <v>1519.2219904594599</v>
      </c>
      <c r="H288">
        <f t="shared" si="76"/>
        <v>120.88939538404802</v>
      </c>
      <c r="I288">
        <v>1</v>
      </c>
      <c r="J288">
        <f t="shared" si="77"/>
        <v>109.16786479239865</v>
      </c>
      <c r="K288">
        <f t="shared" si="78"/>
        <v>1217.7519904594601</v>
      </c>
      <c r="M288">
        <v>8226.2921580000311</v>
      </c>
      <c r="N288">
        <f t="shared" si="80"/>
        <v>396</v>
      </c>
      <c r="O288">
        <f t="shared" si="81"/>
        <v>397</v>
      </c>
      <c r="P288" cm="1">
        <f t="array" ref="P288">INDEX($C$2:$C$14395,$N288,0)</f>
        <v>361.18800000000005</v>
      </c>
      <c r="Q288" cm="1">
        <f t="array" ref="Q288">INDEX($C$2:$C$14395,$O288,0)</f>
        <v>0</v>
      </c>
      <c r="R288" cm="1">
        <f t="array" ref="R288">INDEX($D$2:$D$14395,$N288,0)</f>
        <v>-1209.0989280000001</v>
      </c>
      <c r="S288" cm="1">
        <f t="array" ref="S288">INDEX($D$2:$D$14395,$O288,0)</f>
        <v>0</v>
      </c>
      <c r="T288">
        <f t="shared" si="82"/>
        <v>-27538.016295260761</v>
      </c>
      <c r="U288">
        <f t="shared" si="83"/>
        <v>2769.0163835292078</v>
      </c>
      <c r="V288">
        <f t="shared" si="84"/>
        <v>2755.5089865363825</v>
      </c>
      <c r="W288">
        <f t="shared" si="85"/>
        <v>3999.0313835292081</v>
      </c>
      <c r="X288">
        <f t="shared" si="86"/>
        <v>4166.7563835292076</v>
      </c>
      <c r="Y288">
        <f t="shared" si="87"/>
        <v>2755.5089865363825</v>
      </c>
      <c r="Z288">
        <f t="shared" si="88"/>
        <v>2488.3326740182961</v>
      </c>
      <c r="AA288">
        <f t="shared" si="89"/>
        <v>3865.2863835292078</v>
      </c>
    </row>
    <row r="289" spans="1:27" x14ac:dyDescent="0.35">
      <c r="A289">
        <v>861</v>
      </c>
      <c r="B289">
        <v>-3963.76</v>
      </c>
      <c r="C289">
        <f t="shared" si="79"/>
        <v>262.43279999999999</v>
      </c>
      <c r="D289">
        <f t="shared" si="72"/>
        <v>-1208.1540480000001</v>
      </c>
      <c r="E289">
        <f t="shared" si="73"/>
        <v>121.48290991152001</v>
      </c>
      <c r="F289">
        <f t="shared" si="74"/>
        <v>120.89031035097601</v>
      </c>
      <c r="G289">
        <f t="shared" si="75"/>
        <v>1519.22290991152</v>
      </c>
      <c r="H289">
        <f t="shared" si="76"/>
        <v>120.89031035097601</v>
      </c>
      <c r="I289">
        <v>1</v>
      </c>
      <c r="J289">
        <f t="shared" si="77"/>
        <v>109.16869104341571</v>
      </c>
      <c r="K289">
        <f t="shared" si="78"/>
        <v>1217.75290991152</v>
      </c>
      <c r="M289">
        <v>8249.0028060000313</v>
      </c>
      <c r="N289">
        <f t="shared" si="80"/>
        <v>396</v>
      </c>
      <c r="O289">
        <f t="shared" si="81"/>
        <v>397</v>
      </c>
      <c r="P289" cm="1">
        <f t="array" ref="P289">INDEX($C$2:$C$14395,$N289,0)</f>
        <v>361.18800000000005</v>
      </c>
      <c r="Q289" cm="1">
        <f t="array" ref="Q289">INDEX($C$2:$C$14395,$O289,0)</f>
        <v>0</v>
      </c>
      <c r="R289" cm="1">
        <f t="array" ref="R289">INDEX($D$2:$D$14395,$N289,0)</f>
        <v>-1209.0989280000001</v>
      </c>
      <c r="S289" cm="1">
        <f t="array" ref="S289">INDEX($D$2:$D$14395,$O289,0)</f>
        <v>0</v>
      </c>
      <c r="T289">
        <f t="shared" si="82"/>
        <v>-27614.041578910786</v>
      </c>
      <c r="U289">
        <f t="shared" si="83"/>
        <v>2776.6609158634269</v>
      </c>
      <c r="V289">
        <f t="shared" si="84"/>
        <v>2763.1162284689713</v>
      </c>
      <c r="W289">
        <f t="shared" si="85"/>
        <v>4006.6759158634268</v>
      </c>
      <c r="X289">
        <f t="shared" si="86"/>
        <v>4174.4009158634271</v>
      </c>
      <c r="Y289">
        <f t="shared" si="87"/>
        <v>2763.1162284689713</v>
      </c>
      <c r="Z289">
        <f t="shared" si="88"/>
        <v>2495.2023118066368</v>
      </c>
      <c r="AA289">
        <f t="shared" si="89"/>
        <v>3872.9309158634269</v>
      </c>
    </row>
    <row r="290" spans="1:27" x14ac:dyDescent="0.35">
      <c r="A290">
        <v>864</v>
      </c>
      <c r="B290">
        <v>-3963.79</v>
      </c>
      <c r="C290">
        <f t="shared" si="79"/>
        <v>263.34719999999999</v>
      </c>
      <c r="D290">
        <f t="shared" si="72"/>
        <v>-1208.163192</v>
      </c>
      <c r="E290">
        <f t="shared" si="73"/>
        <v>121.48382936358001</v>
      </c>
      <c r="F290">
        <f t="shared" si="74"/>
        <v>120.891225317904</v>
      </c>
      <c r="G290">
        <f t="shared" si="75"/>
        <v>1519.2238293635801</v>
      </c>
      <c r="H290">
        <f t="shared" si="76"/>
        <v>120.891225317904</v>
      </c>
      <c r="I290">
        <v>1</v>
      </c>
      <c r="J290">
        <f t="shared" si="77"/>
        <v>109.16951729443272</v>
      </c>
      <c r="K290">
        <f t="shared" si="78"/>
        <v>1217.7538293635801</v>
      </c>
      <c r="M290">
        <v>8271.7149780000309</v>
      </c>
      <c r="N290">
        <f t="shared" si="80"/>
        <v>396</v>
      </c>
      <c r="O290">
        <f t="shared" si="81"/>
        <v>397</v>
      </c>
      <c r="P290" cm="1">
        <f t="array" ref="P290">INDEX($C$2:$C$14395,$N290,0)</f>
        <v>361.18800000000005</v>
      </c>
      <c r="Q290" cm="1">
        <f t="array" ref="Q290">INDEX($C$2:$C$14395,$O290,0)</f>
        <v>0</v>
      </c>
      <c r="R290" cm="1">
        <f t="array" ref="R290">INDEX($D$2:$D$14395,$N290,0)</f>
        <v>-1209.0989280000001</v>
      </c>
      <c r="S290" cm="1">
        <f t="array" ref="S290">INDEX($D$2:$D$14395,$O290,0)</f>
        <v>0</v>
      </c>
      <c r="T290">
        <f t="shared" si="82"/>
        <v>-27690.071964244053</v>
      </c>
      <c r="U290">
        <f t="shared" si="83"/>
        <v>2784.3059611846506</v>
      </c>
      <c r="V290">
        <f t="shared" si="84"/>
        <v>2770.7239808861882</v>
      </c>
      <c r="W290">
        <f t="shared" si="85"/>
        <v>4014.3209611846505</v>
      </c>
      <c r="X290">
        <f t="shared" si="86"/>
        <v>4182.0459611846509</v>
      </c>
      <c r="Y290">
        <f t="shared" si="87"/>
        <v>2770.7239808861882</v>
      </c>
      <c r="Z290">
        <f t="shared" si="88"/>
        <v>2502.0724105826162</v>
      </c>
      <c r="AA290">
        <f t="shared" si="89"/>
        <v>3880.5759611846506</v>
      </c>
    </row>
    <row r="291" spans="1:27" x14ac:dyDescent="0.35">
      <c r="A291">
        <v>867</v>
      </c>
      <c r="B291">
        <v>-3963.83</v>
      </c>
      <c r="C291">
        <f t="shared" si="79"/>
        <v>264.26159999999999</v>
      </c>
      <c r="D291">
        <f t="shared" si="72"/>
        <v>-1208.1753840000001</v>
      </c>
      <c r="E291">
        <f t="shared" si="73"/>
        <v>121.48505529966</v>
      </c>
      <c r="F291">
        <f t="shared" si="74"/>
        <v>120.89244527380802</v>
      </c>
      <c r="G291">
        <f t="shared" si="75"/>
        <v>1519.22505529966</v>
      </c>
      <c r="H291">
        <f t="shared" si="76"/>
        <v>120.89244527380802</v>
      </c>
      <c r="I291">
        <v>1</v>
      </c>
      <c r="J291">
        <f t="shared" si="77"/>
        <v>109.17061896245545</v>
      </c>
      <c r="K291">
        <f t="shared" si="78"/>
        <v>1217.7550552996599</v>
      </c>
      <c r="M291">
        <v>8294.4271500000305</v>
      </c>
      <c r="N291">
        <f t="shared" si="80"/>
        <v>396</v>
      </c>
      <c r="O291">
        <f t="shared" si="81"/>
        <v>397</v>
      </c>
      <c r="P291" cm="1">
        <f t="array" ref="P291">INDEX($C$2:$C$14395,$N291,0)</f>
        <v>361.18800000000005</v>
      </c>
      <c r="Q291" cm="1">
        <f t="array" ref="Q291">INDEX($C$2:$C$14395,$O291,0)</f>
        <v>0</v>
      </c>
      <c r="R291" cm="1">
        <f t="array" ref="R291">INDEX($D$2:$D$14395,$N291,0)</f>
        <v>-1209.0989280000001</v>
      </c>
      <c r="S291" cm="1">
        <f t="array" ref="S291">INDEX($D$2:$D$14395,$O291,0)</f>
        <v>0</v>
      </c>
      <c r="T291">
        <f t="shared" si="82"/>
        <v>-27766.102349577315</v>
      </c>
      <c r="U291">
        <f t="shared" si="83"/>
        <v>2791.951006505873</v>
      </c>
      <c r="V291">
        <f t="shared" si="84"/>
        <v>2778.3317333034056</v>
      </c>
      <c r="W291">
        <f t="shared" si="85"/>
        <v>4021.9660065058733</v>
      </c>
      <c r="X291">
        <f t="shared" si="86"/>
        <v>4189.6910065058728</v>
      </c>
      <c r="Y291">
        <f t="shared" si="87"/>
        <v>2778.3317333034056</v>
      </c>
      <c r="Z291">
        <f t="shared" si="88"/>
        <v>2508.9425093585951</v>
      </c>
      <c r="AA291">
        <f t="shared" si="89"/>
        <v>3888.221006505873</v>
      </c>
    </row>
    <row r="292" spans="1:27" x14ac:dyDescent="0.35">
      <c r="A292">
        <v>870</v>
      </c>
      <c r="B292">
        <v>-3963.88</v>
      </c>
      <c r="C292">
        <f t="shared" si="79"/>
        <v>265.17599999999999</v>
      </c>
      <c r="D292">
        <f t="shared" si="72"/>
        <v>-1208.1906240000001</v>
      </c>
      <c r="E292">
        <f t="shared" si="73"/>
        <v>121.48658771976001</v>
      </c>
      <c r="F292">
        <f t="shared" si="74"/>
        <v>120.89397021868803</v>
      </c>
      <c r="G292">
        <f t="shared" si="75"/>
        <v>1519.2265877197601</v>
      </c>
      <c r="H292">
        <f t="shared" si="76"/>
        <v>120.89397021868803</v>
      </c>
      <c r="I292">
        <v>1</v>
      </c>
      <c r="J292">
        <f t="shared" si="77"/>
        <v>109.17199604748387</v>
      </c>
      <c r="K292">
        <f t="shared" si="78"/>
        <v>1217.7565877197601</v>
      </c>
      <c r="M292">
        <v>8317.1393220000318</v>
      </c>
      <c r="N292">
        <f t="shared" si="80"/>
        <v>396</v>
      </c>
      <c r="O292">
        <f t="shared" si="81"/>
        <v>397</v>
      </c>
      <c r="P292" cm="1">
        <f t="array" ref="P292">INDEX($C$2:$C$14395,$N292,0)</f>
        <v>361.18800000000005</v>
      </c>
      <c r="Q292" cm="1">
        <f t="array" ref="Q292">INDEX($C$2:$C$14395,$O292,0)</f>
        <v>0</v>
      </c>
      <c r="R292" cm="1">
        <f t="array" ref="R292">INDEX($D$2:$D$14395,$N292,0)</f>
        <v>-1209.0989280000001</v>
      </c>
      <c r="S292" cm="1">
        <f t="array" ref="S292">INDEX($D$2:$D$14395,$O292,0)</f>
        <v>0</v>
      </c>
      <c r="T292">
        <f t="shared" si="82"/>
        <v>-27842.132734910589</v>
      </c>
      <c r="U292">
        <f t="shared" si="83"/>
        <v>2799.5960518270967</v>
      </c>
      <c r="V292">
        <f t="shared" si="84"/>
        <v>2785.9394857206239</v>
      </c>
      <c r="W292">
        <f t="shared" si="85"/>
        <v>4029.6110518270971</v>
      </c>
      <c r="X292">
        <f t="shared" si="86"/>
        <v>4197.3360518270965</v>
      </c>
      <c r="Y292">
        <f t="shared" si="87"/>
        <v>2785.9394857206239</v>
      </c>
      <c r="Z292">
        <f t="shared" si="88"/>
        <v>2515.8126081345749</v>
      </c>
      <c r="AA292">
        <f t="shared" si="89"/>
        <v>3895.8660518270967</v>
      </c>
    </row>
    <row r="293" spans="1:27" x14ac:dyDescent="0.35">
      <c r="A293">
        <v>873</v>
      </c>
      <c r="B293">
        <v>-3963.92</v>
      </c>
      <c r="C293">
        <f t="shared" si="79"/>
        <v>266.09039999999999</v>
      </c>
      <c r="D293">
        <f t="shared" si="72"/>
        <v>-1208.202816</v>
      </c>
      <c r="E293">
        <f t="shared" si="73"/>
        <v>121.48781365584001</v>
      </c>
      <c r="F293">
        <f t="shared" si="74"/>
        <v>120.895190174592</v>
      </c>
      <c r="G293">
        <f t="shared" si="75"/>
        <v>1519.22781365584</v>
      </c>
      <c r="H293">
        <f t="shared" si="76"/>
        <v>120.895190174592</v>
      </c>
      <c r="I293">
        <v>1</v>
      </c>
      <c r="J293">
        <f t="shared" si="77"/>
        <v>109.17309771550657</v>
      </c>
      <c r="K293">
        <f t="shared" si="78"/>
        <v>1217.75781365584</v>
      </c>
      <c r="M293">
        <v>8339.8514940000314</v>
      </c>
      <c r="N293">
        <f t="shared" si="80"/>
        <v>396</v>
      </c>
      <c r="O293">
        <f t="shared" si="81"/>
        <v>397</v>
      </c>
      <c r="P293" cm="1">
        <f t="array" ref="P293">INDEX($C$2:$C$14395,$N293,0)</f>
        <v>361.18800000000005</v>
      </c>
      <c r="Q293" cm="1">
        <f t="array" ref="Q293">INDEX($C$2:$C$14395,$O293,0)</f>
        <v>0</v>
      </c>
      <c r="R293" cm="1">
        <f t="array" ref="R293">INDEX($D$2:$D$14395,$N293,0)</f>
        <v>-1209.0989280000001</v>
      </c>
      <c r="S293" cm="1">
        <f t="array" ref="S293">INDEX($D$2:$D$14395,$O293,0)</f>
        <v>0</v>
      </c>
      <c r="T293">
        <f t="shared" si="82"/>
        <v>-27918.163120243851</v>
      </c>
      <c r="U293">
        <f t="shared" si="83"/>
        <v>2807.24109714832</v>
      </c>
      <c r="V293">
        <f t="shared" si="84"/>
        <v>2793.5472381378408</v>
      </c>
      <c r="W293">
        <f t="shared" si="85"/>
        <v>4037.2560971483199</v>
      </c>
      <c r="X293">
        <f t="shared" si="86"/>
        <v>4204.9810971483203</v>
      </c>
      <c r="Y293">
        <f t="shared" si="87"/>
        <v>2793.5472381378408</v>
      </c>
      <c r="Z293">
        <f t="shared" si="88"/>
        <v>2522.6827069105534</v>
      </c>
      <c r="AA293">
        <f t="shared" si="89"/>
        <v>3903.51109714832</v>
      </c>
    </row>
    <row r="294" spans="1:27" x14ac:dyDescent="0.35">
      <c r="A294">
        <v>876</v>
      </c>
      <c r="B294">
        <v>-3963.96</v>
      </c>
      <c r="C294">
        <f t="shared" si="79"/>
        <v>267.00479999999999</v>
      </c>
      <c r="D294">
        <f t="shared" si="72"/>
        <v>-1208.2150080000001</v>
      </c>
      <c r="E294">
        <f t="shared" si="73"/>
        <v>121.48903959192</v>
      </c>
      <c r="F294">
        <f t="shared" si="74"/>
        <v>120.89641013049601</v>
      </c>
      <c r="G294">
        <f t="shared" si="75"/>
        <v>1519.2290395919199</v>
      </c>
      <c r="H294">
        <f t="shared" si="76"/>
        <v>120.89641013049601</v>
      </c>
      <c r="I294">
        <v>1</v>
      </c>
      <c r="J294">
        <f t="shared" si="77"/>
        <v>109.17419938352931</v>
      </c>
      <c r="K294">
        <f t="shared" si="78"/>
        <v>1217.7590395919201</v>
      </c>
      <c r="M294">
        <v>8362.563666</v>
      </c>
      <c r="N294">
        <f t="shared" si="80"/>
        <v>396</v>
      </c>
      <c r="O294">
        <f t="shared" si="81"/>
        <v>397</v>
      </c>
      <c r="P294" cm="1">
        <f t="array" ref="P294">INDEX($C$2:$C$14395,$N294,0)</f>
        <v>361.18800000000005</v>
      </c>
      <c r="Q294" cm="1">
        <f t="array" ref="Q294">INDEX($C$2:$C$14395,$O294,0)</f>
        <v>0</v>
      </c>
      <c r="R294" cm="1">
        <f t="array" ref="R294">INDEX($D$2:$D$14395,$N294,0)</f>
        <v>-1209.0989280000001</v>
      </c>
      <c r="S294" cm="1">
        <f t="array" ref="S294">INDEX($D$2:$D$14395,$O294,0)</f>
        <v>0</v>
      </c>
      <c r="T294">
        <f t="shared" si="82"/>
        <v>-27994.193505577012</v>
      </c>
      <c r="U294">
        <f t="shared" si="83"/>
        <v>2814.8861424695324</v>
      </c>
      <c r="V294">
        <f t="shared" si="84"/>
        <v>2801.1549905550473</v>
      </c>
      <c r="W294">
        <f t="shared" si="85"/>
        <v>4044.9011424695327</v>
      </c>
      <c r="X294">
        <f t="shared" si="86"/>
        <v>4212.6261424695322</v>
      </c>
      <c r="Y294">
        <f t="shared" si="87"/>
        <v>2801.1549905550473</v>
      </c>
      <c r="Z294">
        <f t="shared" si="88"/>
        <v>2529.5528056865237</v>
      </c>
      <c r="AA294">
        <f t="shared" si="89"/>
        <v>3911.1561424695324</v>
      </c>
    </row>
    <row r="295" spans="1:27" x14ac:dyDescent="0.35">
      <c r="A295">
        <v>879</v>
      </c>
      <c r="B295">
        <v>-3963.99</v>
      </c>
      <c r="C295">
        <f t="shared" si="79"/>
        <v>267.91919999999999</v>
      </c>
      <c r="D295">
        <f t="shared" si="72"/>
        <v>-1208.224152</v>
      </c>
      <c r="E295">
        <f t="shared" si="73"/>
        <v>121.48995904397999</v>
      </c>
      <c r="F295">
        <f t="shared" si="74"/>
        <v>120.89732509742402</v>
      </c>
      <c r="G295">
        <f t="shared" si="75"/>
        <v>1519.22995904398</v>
      </c>
      <c r="H295">
        <f t="shared" si="76"/>
        <v>120.89732509742402</v>
      </c>
      <c r="I295">
        <v>1</v>
      </c>
      <c r="J295">
        <f t="shared" si="77"/>
        <v>109.17502563454633</v>
      </c>
      <c r="K295">
        <f t="shared" si="78"/>
        <v>1217.75995904398</v>
      </c>
      <c r="M295">
        <v>8388.931152000001</v>
      </c>
      <c r="N295">
        <f t="shared" si="80"/>
        <v>396</v>
      </c>
      <c r="O295">
        <f t="shared" si="81"/>
        <v>397</v>
      </c>
      <c r="P295" cm="1">
        <f t="array" ref="P295">INDEX($C$2:$C$14395,$N295,0)</f>
        <v>361.18800000000005</v>
      </c>
      <c r="Q295" cm="1">
        <f t="array" ref="Q295">INDEX($C$2:$C$14395,$O295,0)</f>
        <v>0</v>
      </c>
      <c r="R295" cm="1">
        <f t="array" ref="R295">INDEX($D$2:$D$14395,$N295,0)</f>
        <v>-1209.0989280000001</v>
      </c>
      <c r="S295" cm="1">
        <f t="array" ref="S295">INDEX($D$2:$D$14395,$O295,0)</f>
        <v>0</v>
      </c>
      <c r="T295">
        <f t="shared" si="82"/>
        <v>-28082.460278162634</v>
      </c>
      <c r="U295">
        <f t="shared" si="83"/>
        <v>2823.7615871199482</v>
      </c>
      <c r="V295">
        <f t="shared" si="84"/>
        <v>2809.9871403535099</v>
      </c>
      <c r="W295">
        <f t="shared" si="85"/>
        <v>4053.7765871199481</v>
      </c>
      <c r="X295">
        <f t="shared" si="86"/>
        <v>4221.5015871199485</v>
      </c>
      <c r="Y295">
        <f t="shared" si="87"/>
        <v>2809.9871403535099</v>
      </c>
      <c r="Z295">
        <f t="shared" si="88"/>
        <v>2537.5285833133507</v>
      </c>
      <c r="AA295">
        <f t="shared" si="89"/>
        <v>3920.0315871199482</v>
      </c>
    </row>
    <row r="296" spans="1:27" x14ac:dyDescent="0.35">
      <c r="A296">
        <v>882</v>
      </c>
      <c r="B296">
        <v>-3964.02</v>
      </c>
      <c r="C296">
        <f t="shared" si="79"/>
        <v>268.83359999999999</v>
      </c>
      <c r="D296">
        <f t="shared" si="72"/>
        <v>-1208.2332960000001</v>
      </c>
      <c r="E296">
        <f t="shared" si="73"/>
        <v>121.49087849604001</v>
      </c>
      <c r="F296">
        <f t="shared" si="74"/>
        <v>120.89824006435202</v>
      </c>
      <c r="G296">
        <f t="shared" si="75"/>
        <v>1519.2308784960401</v>
      </c>
      <c r="H296">
        <f t="shared" si="76"/>
        <v>120.89824006435202</v>
      </c>
      <c r="I296">
        <v>1</v>
      </c>
      <c r="J296">
        <f t="shared" si="77"/>
        <v>109.17585188556338</v>
      </c>
      <c r="K296">
        <f t="shared" si="78"/>
        <v>1217.76087849604</v>
      </c>
      <c r="M296">
        <v>8418.9539520000017</v>
      </c>
      <c r="N296">
        <f t="shared" si="80"/>
        <v>396</v>
      </c>
      <c r="O296">
        <f t="shared" si="81"/>
        <v>397</v>
      </c>
      <c r="P296" cm="1">
        <f t="array" ref="P296">INDEX($C$2:$C$14395,$N296,0)</f>
        <v>361.18800000000005</v>
      </c>
      <c r="Q296" cm="1">
        <f t="array" ref="Q296">INDEX($C$2:$C$14395,$O296,0)</f>
        <v>0</v>
      </c>
      <c r="R296" cm="1">
        <f t="array" ref="R296">INDEX($D$2:$D$14395,$N296,0)</f>
        <v>-1209.0989280000001</v>
      </c>
      <c r="S296" cm="1">
        <f t="array" ref="S296">INDEX($D$2:$D$14395,$O296,0)</f>
        <v>0</v>
      </c>
      <c r="T296">
        <f t="shared" si="82"/>
        <v>-28182.963438000614</v>
      </c>
      <c r="U296">
        <f t="shared" si="83"/>
        <v>2833.8674310995566</v>
      </c>
      <c r="V296">
        <f t="shared" si="84"/>
        <v>2820.0436875332175</v>
      </c>
      <c r="W296">
        <f t="shared" si="85"/>
        <v>4063.8824310995569</v>
      </c>
      <c r="X296">
        <f t="shared" si="86"/>
        <v>4231.6074310995564</v>
      </c>
      <c r="Y296">
        <f t="shared" si="87"/>
        <v>2820.0436875332175</v>
      </c>
      <c r="Z296">
        <f t="shared" si="88"/>
        <v>2546.6100397910263</v>
      </c>
      <c r="AA296">
        <f t="shared" si="89"/>
        <v>3930.1374310995566</v>
      </c>
    </row>
    <row r="297" spans="1:27" x14ac:dyDescent="0.35">
      <c r="A297">
        <v>885</v>
      </c>
      <c r="B297">
        <v>-3964.05</v>
      </c>
      <c r="C297">
        <f t="shared" si="79"/>
        <v>269.74799999999999</v>
      </c>
      <c r="D297">
        <f t="shared" si="72"/>
        <v>-1208.2424400000002</v>
      </c>
      <c r="E297">
        <f t="shared" si="73"/>
        <v>121.49179794810003</v>
      </c>
      <c r="F297">
        <f t="shared" si="74"/>
        <v>120.89915503128003</v>
      </c>
      <c r="G297">
        <f t="shared" si="75"/>
        <v>1519.2317979480999</v>
      </c>
      <c r="H297">
        <f t="shared" si="76"/>
        <v>120.89915503128003</v>
      </c>
      <c r="I297">
        <v>1</v>
      </c>
      <c r="J297">
        <f t="shared" si="77"/>
        <v>109.17667813658042</v>
      </c>
      <c r="K297">
        <f t="shared" si="78"/>
        <v>1217.7617979480999</v>
      </c>
      <c r="M297">
        <v>8453.0153520000003</v>
      </c>
      <c r="N297">
        <f t="shared" si="80"/>
        <v>396</v>
      </c>
      <c r="O297">
        <f t="shared" si="81"/>
        <v>397</v>
      </c>
      <c r="P297" cm="1">
        <f t="array" ref="P297">INDEX($C$2:$C$14395,$N297,0)</f>
        <v>361.18800000000005</v>
      </c>
      <c r="Q297" cm="1">
        <f t="array" ref="Q297">INDEX($C$2:$C$14395,$O297,0)</f>
        <v>0</v>
      </c>
      <c r="R297" cm="1">
        <f t="array" ref="R297">INDEX($D$2:$D$14395,$N297,0)</f>
        <v>-1209.0989280000001</v>
      </c>
      <c r="S297" cm="1">
        <f t="array" ref="S297">INDEX($D$2:$D$14395,$O297,0)</f>
        <v>0</v>
      </c>
      <c r="T297">
        <f t="shared" si="82"/>
        <v>-28296.986058425926</v>
      </c>
      <c r="U297">
        <f t="shared" si="83"/>
        <v>2845.3326906398734</v>
      </c>
      <c r="V297">
        <f t="shared" si="84"/>
        <v>2831.4530189782149</v>
      </c>
      <c r="W297">
        <f t="shared" si="85"/>
        <v>4075.3476906398737</v>
      </c>
      <c r="X297">
        <f t="shared" si="86"/>
        <v>4243.0726906398731</v>
      </c>
      <c r="Y297">
        <f t="shared" si="87"/>
        <v>2831.4530189782149</v>
      </c>
      <c r="Z297">
        <f t="shared" si="88"/>
        <v>2556.9131135106218</v>
      </c>
      <c r="AA297">
        <f t="shared" si="89"/>
        <v>3941.6026906398733</v>
      </c>
    </row>
    <row r="298" spans="1:27" x14ac:dyDescent="0.35">
      <c r="A298">
        <v>888</v>
      </c>
      <c r="B298">
        <v>-3964.08</v>
      </c>
      <c r="C298">
        <f t="shared" si="79"/>
        <v>270.66239999999999</v>
      </c>
      <c r="D298">
        <f t="shared" si="72"/>
        <v>-1208.2515840000001</v>
      </c>
      <c r="E298">
        <f t="shared" si="73"/>
        <v>121.49271740016</v>
      </c>
      <c r="F298">
        <f t="shared" si="74"/>
        <v>120.90006999820801</v>
      </c>
      <c r="G298">
        <f t="shared" si="75"/>
        <v>1519.23271740016</v>
      </c>
      <c r="H298">
        <f t="shared" si="76"/>
        <v>120.90006999820801</v>
      </c>
      <c r="I298">
        <v>1</v>
      </c>
      <c r="J298">
        <f t="shared" si="77"/>
        <v>109.17750438759747</v>
      </c>
      <c r="K298">
        <f t="shared" si="78"/>
        <v>1217.76271740016</v>
      </c>
      <c r="M298">
        <v>8491.1153520000007</v>
      </c>
      <c r="N298">
        <f t="shared" si="80"/>
        <v>396</v>
      </c>
      <c r="O298">
        <f t="shared" si="81"/>
        <v>397</v>
      </c>
      <c r="P298" cm="1">
        <f t="array" ref="P298">INDEX($C$2:$C$14395,$N298,0)</f>
        <v>361.18800000000005</v>
      </c>
      <c r="Q298" cm="1">
        <f t="array" ref="Q298">INDEX($C$2:$C$14395,$O298,0)</f>
        <v>0</v>
      </c>
      <c r="R298" cm="1">
        <f t="array" ref="R298">INDEX($D$2:$D$14395,$N298,0)</f>
        <v>-1209.0989280000001</v>
      </c>
      <c r="S298" cm="1">
        <f t="array" ref="S298">INDEX($D$2:$D$14395,$O298,0)</f>
        <v>0</v>
      </c>
      <c r="T298">
        <f t="shared" si="82"/>
        <v>-28424.528139438586</v>
      </c>
      <c r="U298">
        <f t="shared" si="83"/>
        <v>2858.1573657408981</v>
      </c>
      <c r="V298">
        <f t="shared" si="84"/>
        <v>2844.2151346885039</v>
      </c>
      <c r="W298">
        <f t="shared" si="85"/>
        <v>4088.1723657408984</v>
      </c>
      <c r="X298">
        <f t="shared" si="86"/>
        <v>4255.8973657408978</v>
      </c>
      <c r="Y298">
        <f t="shared" si="87"/>
        <v>2844.2151346885039</v>
      </c>
      <c r="Z298">
        <f t="shared" si="88"/>
        <v>2568.4378044721384</v>
      </c>
      <c r="AA298">
        <f t="shared" si="89"/>
        <v>3954.427365740898</v>
      </c>
    </row>
    <row r="299" spans="1:27" x14ac:dyDescent="0.35">
      <c r="A299">
        <v>891</v>
      </c>
      <c r="B299">
        <v>-3964.11</v>
      </c>
      <c r="C299">
        <f t="shared" si="79"/>
        <v>271.57679999999999</v>
      </c>
      <c r="D299">
        <f t="shared" si="72"/>
        <v>-1208.2607280000002</v>
      </c>
      <c r="E299">
        <f t="shared" si="73"/>
        <v>121.49363685222002</v>
      </c>
      <c r="F299">
        <f t="shared" si="74"/>
        <v>120.90098496513602</v>
      </c>
      <c r="G299">
        <f t="shared" si="75"/>
        <v>1519.2336368522201</v>
      </c>
      <c r="H299">
        <f t="shared" si="76"/>
        <v>120.90098496513602</v>
      </c>
      <c r="I299">
        <v>1</v>
      </c>
      <c r="J299">
        <f t="shared" si="77"/>
        <v>109.17833063861453</v>
      </c>
      <c r="K299">
        <f t="shared" si="78"/>
        <v>1217.7636368522201</v>
      </c>
      <c r="M299">
        <v>8521.5199140000313</v>
      </c>
      <c r="N299">
        <f t="shared" si="80"/>
        <v>396</v>
      </c>
      <c r="O299">
        <f t="shared" si="81"/>
        <v>397</v>
      </c>
      <c r="P299" cm="1">
        <f t="array" ref="P299">INDEX($C$2:$C$14395,$N299,0)</f>
        <v>361.18800000000005</v>
      </c>
      <c r="Q299" cm="1">
        <f t="array" ref="Q299">INDEX($C$2:$C$14395,$O299,0)</f>
        <v>0</v>
      </c>
      <c r="R299" cm="1">
        <f t="array" ref="R299">INDEX($D$2:$D$14395,$N299,0)</f>
        <v>-1209.0989280000001</v>
      </c>
      <c r="S299" cm="1">
        <f t="array" ref="S299">INDEX($D$2:$D$14395,$O299,0)</f>
        <v>0</v>
      </c>
      <c r="T299">
        <f t="shared" si="82"/>
        <v>-28526.30927092841</v>
      </c>
      <c r="U299">
        <f t="shared" si="83"/>
        <v>2868.3917129650295</v>
      </c>
      <c r="V299">
        <f t="shared" si="84"/>
        <v>2854.3995582676389</v>
      </c>
      <c r="W299">
        <f t="shared" si="85"/>
        <v>4098.4067129650293</v>
      </c>
      <c r="X299">
        <f t="shared" si="86"/>
        <v>4266.1317129650297</v>
      </c>
      <c r="Y299">
        <f t="shared" si="87"/>
        <v>2854.3995582676389</v>
      </c>
      <c r="Z299">
        <f t="shared" si="88"/>
        <v>2577.634738353257</v>
      </c>
      <c r="AA299">
        <f t="shared" si="89"/>
        <v>3964.6617129650294</v>
      </c>
    </row>
    <row r="300" spans="1:27" x14ac:dyDescent="0.35">
      <c r="A300">
        <v>894</v>
      </c>
      <c r="B300">
        <v>-3964.14</v>
      </c>
      <c r="C300">
        <f t="shared" si="79"/>
        <v>272.49119999999999</v>
      </c>
      <c r="D300">
        <f t="shared" si="72"/>
        <v>-1208.2698720000001</v>
      </c>
      <c r="E300">
        <f t="shared" si="73"/>
        <v>121.49455630428001</v>
      </c>
      <c r="F300">
        <f t="shared" si="74"/>
        <v>120.90189993206403</v>
      </c>
      <c r="G300">
        <f t="shared" si="75"/>
        <v>1519.23455630428</v>
      </c>
      <c r="H300">
        <f t="shared" si="76"/>
        <v>120.90189993206403</v>
      </c>
      <c r="I300">
        <v>1</v>
      </c>
      <c r="J300">
        <f t="shared" si="77"/>
        <v>109.17915688963153</v>
      </c>
      <c r="K300">
        <f t="shared" si="78"/>
        <v>1217.7645563042799</v>
      </c>
      <c r="M300">
        <v>8544.2290380000304</v>
      </c>
      <c r="N300">
        <f t="shared" si="80"/>
        <v>396</v>
      </c>
      <c r="O300">
        <f t="shared" si="81"/>
        <v>397</v>
      </c>
      <c r="P300" cm="1">
        <f t="array" ref="P300">INDEX($C$2:$C$14395,$N300,0)</f>
        <v>361.18800000000005</v>
      </c>
      <c r="Q300" cm="1">
        <f t="array" ref="Q300">INDEX($C$2:$C$14395,$O300,0)</f>
        <v>0</v>
      </c>
      <c r="R300" cm="1">
        <f t="array" ref="R300">INDEX($D$2:$D$14395,$N300,0)</f>
        <v>-1209.0989280000001</v>
      </c>
      <c r="S300" cm="1">
        <f t="array" ref="S300">INDEX($D$2:$D$14395,$O300,0)</f>
        <v>0</v>
      </c>
      <c r="T300">
        <f t="shared" si="82"/>
        <v>-28602.329452895192</v>
      </c>
      <c r="U300">
        <f t="shared" si="83"/>
        <v>2876.0357323122435</v>
      </c>
      <c r="V300">
        <f t="shared" si="84"/>
        <v>2862.006289715599</v>
      </c>
      <c r="W300">
        <f t="shared" si="85"/>
        <v>4106.0507323122438</v>
      </c>
      <c r="X300">
        <f t="shared" si="86"/>
        <v>4273.7757323122432</v>
      </c>
      <c r="Y300">
        <f t="shared" si="87"/>
        <v>2862.006289715599</v>
      </c>
      <c r="Z300">
        <f t="shared" si="88"/>
        <v>2584.503915153959</v>
      </c>
      <c r="AA300">
        <f t="shared" si="89"/>
        <v>3972.3057323122434</v>
      </c>
    </row>
    <row r="301" spans="1:27" x14ac:dyDescent="0.35">
      <c r="A301">
        <v>897</v>
      </c>
      <c r="B301">
        <v>-3964.17</v>
      </c>
      <c r="C301">
        <f t="shared" si="79"/>
        <v>273.40559999999999</v>
      </c>
      <c r="D301">
        <f t="shared" si="72"/>
        <v>-1208.2790160000002</v>
      </c>
      <c r="E301">
        <f t="shared" si="73"/>
        <v>121.49547575634003</v>
      </c>
      <c r="F301">
        <f t="shared" si="74"/>
        <v>120.90281489899203</v>
      </c>
      <c r="G301">
        <f t="shared" si="75"/>
        <v>1519.2354757563401</v>
      </c>
      <c r="H301">
        <f t="shared" si="76"/>
        <v>120.90281489899203</v>
      </c>
      <c r="I301">
        <v>1</v>
      </c>
      <c r="J301">
        <f t="shared" si="77"/>
        <v>109.17998314064859</v>
      </c>
      <c r="K301">
        <f t="shared" si="78"/>
        <v>1217.76547575634</v>
      </c>
      <c r="M301">
        <v>8574.6336000000301</v>
      </c>
      <c r="N301">
        <f t="shared" si="80"/>
        <v>396</v>
      </c>
      <c r="O301">
        <f t="shared" si="81"/>
        <v>397</v>
      </c>
      <c r="P301" cm="1">
        <f t="array" ref="P301">INDEX($C$2:$C$14395,$N301,0)</f>
        <v>361.18800000000005</v>
      </c>
      <c r="Q301" cm="1">
        <f t="array" ref="Q301">INDEX($C$2:$C$14395,$O301,0)</f>
        <v>0</v>
      </c>
      <c r="R301" cm="1">
        <f t="array" ref="R301">INDEX($D$2:$D$14395,$N301,0)</f>
        <v>-1209.0989280000001</v>
      </c>
      <c r="S301" cm="1">
        <f t="array" ref="S301">INDEX($D$2:$D$14395,$O301,0)</f>
        <v>0</v>
      </c>
      <c r="T301">
        <f t="shared" si="82"/>
        <v>-28704.110584384911</v>
      </c>
      <c r="U301">
        <f t="shared" si="83"/>
        <v>2886.2700795363639</v>
      </c>
      <c r="V301">
        <f t="shared" si="84"/>
        <v>2872.1907132947231</v>
      </c>
      <c r="W301">
        <f t="shared" si="85"/>
        <v>4116.2850795363638</v>
      </c>
      <c r="X301">
        <f t="shared" si="86"/>
        <v>4284.0100795363642</v>
      </c>
      <c r="Y301">
        <f t="shared" si="87"/>
        <v>2872.1907132947231</v>
      </c>
      <c r="Z301">
        <f t="shared" si="88"/>
        <v>2593.7008490350681</v>
      </c>
      <c r="AA301">
        <f t="shared" si="89"/>
        <v>3982.5400795363639</v>
      </c>
    </row>
    <row r="302" spans="1:27" x14ac:dyDescent="0.35">
      <c r="A302">
        <v>900</v>
      </c>
      <c r="B302">
        <v>-3964.2</v>
      </c>
      <c r="C302">
        <f t="shared" si="79"/>
        <v>274.32</v>
      </c>
      <c r="D302">
        <f t="shared" si="72"/>
        <v>-1208.2881600000001</v>
      </c>
      <c r="E302">
        <f t="shared" si="73"/>
        <v>121.4963952084</v>
      </c>
      <c r="F302">
        <f t="shared" si="74"/>
        <v>120.90372986592003</v>
      </c>
      <c r="G302">
        <f t="shared" si="75"/>
        <v>1519.2363952083999</v>
      </c>
      <c r="H302">
        <f t="shared" si="76"/>
        <v>120.90372986592003</v>
      </c>
      <c r="I302">
        <v>1</v>
      </c>
      <c r="J302">
        <f t="shared" si="77"/>
        <v>109.1808093916656</v>
      </c>
      <c r="K302">
        <f t="shared" si="78"/>
        <v>1217.7663952083999</v>
      </c>
      <c r="M302">
        <v>8612.7336000000305</v>
      </c>
      <c r="N302">
        <f t="shared" si="80"/>
        <v>396</v>
      </c>
      <c r="O302">
        <f t="shared" si="81"/>
        <v>397</v>
      </c>
      <c r="P302" cm="1">
        <f t="array" ref="P302">INDEX($C$2:$C$14395,$N302,0)</f>
        <v>361.18800000000005</v>
      </c>
      <c r="Q302" cm="1">
        <f t="array" ref="Q302">INDEX($C$2:$C$14395,$O302,0)</f>
        <v>0</v>
      </c>
      <c r="R302" cm="1">
        <f t="array" ref="R302">INDEX($D$2:$D$14395,$N302,0)</f>
        <v>-1209.0989280000001</v>
      </c>
      <c r="S302" cm="1">
        <f t="array" ref="S302">INDEX($D$2:$D$14395,$O302,0)</f>
        <v>0</v>
      </c>
      <c r="T302">
        <f t="shared" si="82"/>
        <v>-28831.652665397571</v>
      </c>
      <c r="U302">
        <f t="shared" si="83"/>
        <v>2899.09475463739</v>
      </c>
      <c r="V302">
        <f t="shared" si="84"/>
        <v>2884.9528290050121</v>
      </c>
      <c r="W302">
        <f t="shared" si="85"/>
        <v>4129.1097546373903</v>
      </c>
      <c r="X302">
        <f t="shared" si="86"/>
        <v>4296.8347546373898</v>
      </c>
      <c r="Y302">
        <f t="shared" si="87"/>
        <v>2884.9528290050121</v>
      </c>
      <c r="Z302">
        <f t="shared" si="88"/>
        <v>2605.2255399965848</v>
      </c>
      <c r="AA302">
        <f t="shared" si="89"/>
        <v>3995.36475463739</v>
      </c>
    </row>
    <row r="303" spans="1:27" x14ac:dyDescent="0.35">
      <c r="A303">
        <v>903</v>
      </c>
      <c r="B303">
        <v>-3964.23</v>
      </c>
      <c r="C303">
        <f t="shared" si="79"/>
        <v>275.23439999999999</v>
      </c>
      <c r="D303">
        <f t="shared" si="72"/>
        <v>-1208.2973040000002</v>
      </c>
      <c r="E303">
        <f t="shared" si="73"/>
        <v>121.49731466046002</v>
      </c>
      <c r="F303">
        <f t="shared" si="74"/>
        <v>120.90464483284801</v>
      </c>
      <c r="G303">
        <f t="shared" si="75"/>
        <v>1519.23731466046</v>
      </c>
      <c r="H303">
        <f t="shared" si="76"/>
        <v>120.90464483284801</v>
      </c>
      <c r="I303">
        <v>1</v>
      </c>
      <c r="J303">
        <f t="shared" si="77"/>
        <v>109.18163564268266</v>
      </c>
      <c r="K303">
        <f t="shared" si="78"/>
        <v>1217.76731466046</v>
      </c>
      <c r="M303">
        <v>8650.8336000000309</v>
      </c>
      <c r="N303">
        <f t="shared" si="80"/>
        <v>396</v>
      </c>
      <c r="O303">
        <f t="shared" si="81"/>
        <v>397</v>
      </c>
      <c r="P303" cm="1">
        <f t="array" ref="P303">INDEX($C$2:$C$14395,$N303,0)</f>
        <v>361.18800000000005</v>
      </c>
      <c r="Q303" cm="1">
        <f t="array" ref="Q303">INDEX($C$2:$C$14395,$O303,0)</f>
        <v>0</v>
      </c>
      <c r="R303" cm="1">
        <f t="array" ref="R303">INDEX($D$2:$D$14395,$N303,0)</f>
        <v>-1209.0989280000001</v>
      </c>
      <c r="S303" cm="1">
        <f t="array" ref="S303">INDEX($D$2:$D$14395,$O303,0)</f>
        <v>0</v>
      </c>
      <c r="T303">
        <f t="shared" si="82"/>
        <v>-28959.19474641023</v>
      </c>
      <c r="U303">
        <f t="shared" si="83"/>
        <v>2911.9194297384147</v>
      </c>
      <c r="V303">
        <f t="shared" si="84"/>
        <v>2897.7149447153006</v>
      </c>
      <c r="W303">
        <f t="shared" si="85"/>
        <v>4141.934429738415</v>
      </c>
      <c r="X303">
        <f t="shared" si="86"/>
        <v>4309.6594297384145</v>
      </c>
      <c r="Y303">
        <f t="shared" si="87"/>
        <v>2897.7149447153006</v>
      </c>
      <c r="Z303">
        <f t="shared" si="88"/>
        <v>2616.7502309581014</v>
      </c>
      <c r="AA303">
        <f t="shared" si="89"/>
        <v>4008.1894297384147</v>
      </c>
    </row>
    <row r="304" spans="1:27" x14ac:dyDescent="0.35">
      <c r="A304">
        <v>906</v>
      </c>
      <c r="B304">
        <v>-3964.26</v>
      </c>
      <c r="C304">
        <f t="shared" si="79"/>
        <v>276.14879999999999</v>
      </c>
      <c r="D304">
        <f t="shared" si="72"/>
        <v>-1208.306448</v>
      </c>
      <c r="E304">
        <f t="shared" si="73"/>
        <v>121.49823411252001</v>
      </c>
      <c r="F304">
        <f t="shared" si="74"/>
        <v>120.905559799776</v>
      </c>
      <c r="G304">
        <f t="shared" si="75"/>
        <v>1519.2382341125201</v>
      </c>
      <c r="H304">
        <f t="shared" si="76"/>
        <v>120.905559799776</v>
      </c>
      <c r="I304">
        <v>1</v>
      </c>
      <c r="J304">
        <f t="shared" si="77"/>
        <v>109.1824618936997</v>
      </c>
      <c r="K304">
        <f t="shared" si="78"/>
        <v>1217.7682341125201</v>
      </c>
      <c r="M304">
        <v>8688.9336000000312</v>
      </c>
      <c r="N304">
        <f t="shared" si="80"/>
        <v>396</v>
      </c>
      <c r="O304">
        <f t="shared" si="81"/>
        <v>397</v>
      </c>
      <c r="P304" cm="1">
        <f t="array" ref="P304">INDEX($C$2:$C$14395,$N304,0)</f>
        <v>361.18800000000005</v>
      </c>
      <c r="Q304" cm="1">
        <f t="array" ref="Q304">INDEX($C$2:$C$14395,$O304,0)</f>
        <v>0</v>
      </c>
      <c r="R304" cm="1">
        <f t="array" ref="R304">INDEX($D$2:$D$14395,$N304,0)</f>
        <v>-1209.0989280000001</v>
      </c>
      <c r="S304" cm="1">
        <f t="array" ref="S304">INDEX($D$2:$D$14395,$O304,0)</f>
        <v>0</v>
      </c>
      <c r="T304">
        <f t="shared" si="82"/>
        <v>-29086.73682742289</v>
      </c>
      <c r="U304">
        <f t="shared" si="83"/>
        <v>2924.7441048394398</v>
      </c>
      <c r="V304">
        <f t="shared" si="84"/>
        <v>2910.4770604255896</v>
      </c>
      <c r="W304">
        <f t="shared" si="85"/>
        <v>4154.7591048394397</v>
      </c>
      <c r="X304">
        <f t="shared" si="86"/>
        <v>4322.4841048394401</v>
      </c>
      <c r="Y304">
        <f t="shared" si="87"/>
        <v>2910.4770604255896</v>
      </c>
      <c r="Z304">
        <f t="shared" si="88"/>
        <v>2628.2749219196185</v>
      </c>
      <c r="AA304">
        <f t="shared" si="89"/>
        <v>4021.0141048394398</v>
      </c>
    </row>
    <row r="305" spans="1:27" x14ac:dyDescent="0.35">
      <c r="A305">
        <v>909</v>
      </c>
      <c r="B305">
        <v>-3964.3</v>
      </c>
      <c r="C305">
        <f t="shared" si="79"/>
        <v>277.06319999999999</v>
      </c>
      <c r="D305">
        <f t="shared" si="72"/>
        <v>-1208.3186400000002</v>
      </c>
      <c r="E305">
        <f t="shared" si="73"/>
        <v>121.49946004860003</v>
      </c>
      <c r="F305">
        <f t="shared" si="74"/>
        <v>120.90677975568002</v>
      </c>
      <c r="G305">
        <f t="shared" si="75"/>
        <v>1519.2394600486</v>
      </c>
      <c r="H305">
        <f t="shared" si="76"/>
        <v>120.90677975568002</v>
      </c>
      <c r="I305">
        <v>1</v>
      </c>
      <c r="J305">
        <f t="shared" si="77"/>
        <v>109.18356356172241</v>
      </c>
      <c r="K305">
        <f t="shared" si="78"/>
        <v>1217.7694600486</v>
      </c>
      <c r="M305">
        <v>8727.0336000000298</v>
      </c>
      <c r="N305">
        <f t="shared" si="80"/>
        <v>396</v>
      </c>
      <c r="O305">
        <f t="shared" si="81"/>
        <v>397</v>
      </c>
      <c r="P305" cm="1">
        <f t="array" ref="P305">INDEX($C$2:$C$14395,$N305,0)</f>
        <v>361.18800000000005</v>
      </c>
      <c r="Q305" cm="1">
        <f t="array" ref="Q305">INDEX($C$2:$C$14395,$O305,0)</f>
        <v>0</v>
      </c>
      <c r="R305" cm="1">
        <f t="array" ref="R305">INDEX($D$2:$D$14395,$N305,0)</f>
        <v>-1209.0989280000001</v>
      </c>
      <c r="S305" cm="1">
        <f t="array" ref="S305">INDEX($D$2:$D$14395,$O305,0)</f>
        <v>0</v>
      </c>
      <c r="T305">
        <f t="shared" si="82"/>
        <v>-29214.278908435543</v>
      </c>
      <c r="U305">
        <f t="shared" si="83"/>
        <v>2937.568779940465</v>
      </c>
      <c r="V305">
        <f t="shared" si="84"/>
        <v>2923.2391761358772</v>
      </c>
      <c r="W305">
        <f t="shared" si="85"/>
        <v>4167.5837799404653</v>
      </c>
      <c r="X305">
        <f t="shared" si="86"/>
        <v>4335.3087799404648</v>
      </c>
      <c r="Y305">
        <f t="shared" si="87"/>
        <v>2923.2391761358772</v>
      </c>
      <c r="Z305">
        <f t="shared" si="88"/>
        <v>2639.7996128811342</v>
      </c>
      <c r="AA305">
        <f t="shared" si="89"/>
        <v>4033.838779940465</v>
      </c>
    </row>
    <row r="306" spans="1:27" x14ac:dyDescent="0.35">
      <c r="A306">
        <v>912</v>
      </c>
      <c r="B306">
        <v>-3964.33</v>
      </c>
      <c r="C306">
        <f t="shared" si="79"/>
        <v>277.9776</v>
      </c>
      <c r="D306">
        <f t="shared" si="72"/>
        <v>-1208.3277840000001</v>
      </c>
      <c r="E306">
        <f t="shared" si="73"/>
        <v>121.50037950066</v>
      </c>
      <c r="F306">
        <f t="shared" si="74"/>
        <v>120.90769472260801</v>
      </c>
      <c r="G306">
        <f t="shared" si="75"/>
        <v>1519.2403795006601</v>
      </c>
      <c r="H306">
        <f t="shared" si="76"/>
        <v>120.90769472260801</v>
      </c>
      <c r="I306">
        <v>1</v>
      </c>
      <c r="J306">
        <f t="shared" si="77"/>
        <v>109.18438981273945</v>
      </c>
      <c r="K306">
        <f t="shared" si="78"/>
        <v>1217.7703795006601</v>
      </c>
      <c r="M306">
        <v>8765.1336000000301</v>
      </c>
      <c r="N306">
        <f t="shared" si="80"/>
        <v>396</v>
      </c>
      <c r="O306">
        <f t="shared" si="81"/>
        <v>397</v>
      </c>
      <c r="P306" cm="1">
        <f t="array" ref="P306">INDEX($C$2:$C$14395,$N306,0)</f>
        <v>361.18800000000005</v>
      </c>
      <c r="Q306" cm="1">
        <f t="array" ref="Q306">INDEX($C$2:$C$14395,$O306,0)</f>
        <v>0</v>
      </c>
      <c r="R306" cm="1">
        <f t="array" ref="R306">INDEX($D$2:$D$14395,$N306,0)</f>
        <v>-1209.0989280000001</v>
      </c>
      <c r="S306" cm="1">
        <f t="array" ref="S306">INDEX($D$2:$D$14395,$O306,0)</f>
        <v>0</v>
      </c>
      <c r="T306">
        <f t="shared" si="82"/>
        <v>-29341.820989448202</v>
      </c>
      <c r="U306">
        <f t="shared" si="83"/>
        <v>2950.3934550414906</v>
      </c>
      <c r="V306">
        <f t="shared" si="84"/>
        <v>2936.0012918461662</v>
      </c>
      <c r="W306">
        <f t="shared" si="85"/>
        <v>4180.4084550414909</v>
      </c>
      <c r="X306">
        <f t="shared" si="86"/>
        <v>4348.1334550414904</v>
      </c>
      <c r="Y306">
        <f t="shared" si="87"/>
        <v>2936.0012918461662</v>
      </c>
      <c r="Z306">
        <f t="shared" si="88"/>
        <v>2651.3243038426508</v>
      </c>
      <c r="AA306">
        <f t="shared" si="89"/>
        <v>4046.6634550414906</v>
      </c>
    </row>
    <row r="307" spans="1:27" x14ac:dyDescent="0.35">
      <c r="A307">
        <v>915</v>
      </c>
      <c r="B307">
        <v>-3964.36</v>
      </c>
      <c r="C307">
        <f t="shared" si="79"/>
        <v>278.892</v>
      </c>
      <c r="D307">
        <f t="shared" si="72"/>
        <v>-1208.3369280000002</v>
      </c>
      <c r="E307">
        <f t="shared" si="73"/>
        <v>121.50129895272002</v>
      </c>
      <c r="F307">
        <f t="shared" si="74"/>
        <v>120.90860968953604</v>
      </c>
      <c r="G307">
        <f t="shared" si="75"/>
        <v>1519.2412989527199</v>
      </c>
      <c r="H307">
        <f t="shared" si="76"/>
        <v>120.90860968953604</v>
      </c>
      <c r="I307">
        <v>1</v>
      </c>
      <c r="J307">
        <f t="shared" si="77"/>
        <v>109.1852160637565</v>
      </c>
      <c r="K307">
        <f t="shared" si="78"/>
        <v>1217.7712989527199</v>
      </c>
      <c r="M307">
        <v>8803.2336000000305</v>
      </c>
      <c r="N307">
        <f t="shared" si="80"/>
        <v>396</v>
      </c>
      <c r="O307">
        <f t="shared" si="81"/>
        <v>397</v>
      </c>
      <c r="P307" cm="1">
        <f t="array" ref="P307">INDEX($C$2:$C$14395,$N307,0)</f>
        <v>361.18800000000005</v>
      </c>
      <c r="Q307" cm="1">
        <f t="array" ref="Q307">INDEX($C$2:$C$14395,$O307,0)</f>
        <v>0</v>
      </c>
      <c r="R307" cm="1">
        <f t="array" ref="R307">INDEX($D$2:$D$14395,$N307,0)</f>
        <v>-1209.0989280000001</v>
      </c>
      <c r="S307" cm="1">
        <f t="array" ref="S307">INDEX($D$2:$D$14395,$O307,0)</f>
        <v>0</v>
      </c>
      <c r="T307">
        <f t="shared" si="82"/>
        <v>-29469.363070460862</v>
      </c>
      <c r="U307">
        <f t="shared" si="83"/>
        <v>2963.2181301425157</v>
      </c>
      <c r="V307">
        <f t="shared" si="84"/>
        <v>2948.7634075564551</v>
      </c>
      <c r="W307">
        <f t="shared" si="85"/>
        <v>4193.2331301425156</v>
      </c>
      <c r="X307">
        <f t="shared" si="86"/>
        <v>4360.958130142516</v>
      </c>
      <c r="Y307">
        <f t="shared" si="87"/>
        <v>2948.7634075564551</v>
      </c>
      <c r="Z307">
        <f t="shared" si="88"/>
        <v>2662.8489948041674</v>
      </c>
      <c r="AA307">
        <f t="shared" si="89"/>
        <v>4059.4881301425157</v>
      </c>
    </row>
    <row r="308" spans="1:27" x14ac:dyDescent="0.35">
      <c r="A308">
        <v>918</v>
      </c>
      <c r="B308">
        <v>-3964.39</v>
      </c>
      <c r="C308">
        <f t="shared" si="79"/>
        <v>279.8064</v>
      </c>
      <c r="D308">
        <f t="shared" si="72"/>
        <v>-1208.346072</v>
      </c>
      <c r="E308">
        <f t="shared" si="73"/>
        <v>121.50221840478001</v>
      </c>
      <c r="F308">
        <f t="shared" si="74"/>
        <v>120.90952465646401</v>
      </c>
      <c r="G308">
        <f t="shared" si="75"/>
        <v>1519.24221840478</v>
      </c>
      <c r="H308">
        <f t="shared" si="76"/>
        <v>120.90952465646401</v>
      </c>
      <c r="I308">
        <v>1</v>
      </c>
      <c r="J308">
        <f t="shared" si="77"/>
        <v>109.18604231477353</v>
      </c>
      <c r="K308">
        <f t="shared" si="78"/>
        <v>1217.77221840478</v>
      </c>
      <c r="M308">
        <v>8841.3336000000309</v>
      </c>
      <c r="N308">
        <f t="shared" si="80"/>
        <v>396</v>
      </c>
      <c r="O308">
        <f t="shared" si="81"/>
        <v>397</v>
      </c>
      <c r="P308" cm="1">
        <f t="array" ref="P308">INDEX($C$2:$C$14395,$N308,0)</f>
        <v>361.18800000000005</v>
      </c>
      <c r="Q308" cm="1">
        <f t="array" ref="Q308">INDEX($C$2:$C$14395,$O308,0)</f>
        <v>0</v>
      </c>
      <c r="R308" cm="1">
        <f t="array" ref="R308">INDEX($D$2:$D$14395,$N308,0)</f>
        <v>-1209.0989280000001</v>
      </c>
      <c r="S308" cm="1">
        <f t="array" ref="S308">INDEX($D$2:$D$14395,$O308,0)</f>
        <v>0</v>
      </c>
      <c r="T308">
        <f t="shared" si="82"/>
        <v>-29596.905151473522</v>
      </c>
      <c r="U308">
        <f t="shared" si="83"/>
        <v>2976.0428052435418</v>
      </c>
      <c r="V308">
        <f t="shared" si="84"/>
        <v>2961.5255232667441</v>
      </c>
      <c r="W308">
        <f t="shared" si="85"/>
        <v>4206.0578052435421</v>
      </c>
      <c r="X308">
        <f t="shared" si="86"/>
        <v>4373.7828052435416</v>
      </c>
      <c r="Y308">
        <f t="shared" si="87"/>
        <v>2961.5255232667441</v>
      </c>
      <c r="Z308">
        <f t="shared" si="88"/>
        <v>2674.3736857656841</v>
      </c>
      <c r="AA308">
        <f t="shared" si="89"/>
        <v>4072.3128052435418</v>
      </c>
    </row>
    <row r="309" spans="1:27" x14ac:dyDescent="0.35">
      <c r="A309">
        <v>921</v>
      </c>
      <c r="B309">
        <v>-3964.39</v>
      </c>
      <c r="C309">
        <f t="shared" si="79"/>
        <v>280.7208</v>
      </c>
      <c r="D309">
        <f t="shared" si="72"/>
        <v>-1208.346072</v>
      </c>
      <c r="E309">
        <f t="shared" si="73"/>
        <v>121.50221840478001</v>
      </c>
      <c r="F309">
        <f t="shared" si="74"/>
        <v>120.90952465646401</v>
      </c>
      <c r="G309">
        <f t="shared" si="75"/>
        <v>1519.24221840478</v>
      </c>
      <c r="H309">
        <f t="shared" si="76"/>
        <v>120.90952465646401</v>
      </c>
      <c r="I309">
        <v>1</v>
      </c>
      <c r="J309">
        <f t="shared" si="77"/>
        <v>109.18604231477353</v>
      </c>
      <c r="K309">
        <f t="shared" si="78"/>
        <v>1217.77221840478</v>
      </c>
      <c r="M309">
        <v>8879.4336000000312</v>
      </c>
      <c r="N309">
        <f t="shared" si="80"/>
        <v>396</v>
      </c>
      <c r="O309">
        <f t="shared" si="81"/>
        <v>397</v>
      </c>
      <c r="P309" cm="1">
        <f t="array" ref="P309">INDEX($C$2:$C$14395,$N309,0)</f>
        <v>361.18800000000005</v>
      </c>
      <c r="Q309" cm="1">
        <f t="array" ref="Q309">INDEX($C$2:$C$14395,$O309,0)</f>
        <v>0</v>
      </c>
      <c r="R309" cm="1">
        <f t="array" ref="R309">INDEX($D$2:$D$14395,$N309,0)</f>
        <v>-1209.0989280000001</v>
      </c>
      <c r="S309" cm="1">
        <f t="array" ref="S309">INDEX($D$2:$D$14395,$O309,0)</f>
        <v>0</v>
      </c>
      <c r="T309">
        <f t="shared" si="82"/>
        <v>-29724.447232486182</v>
      </c>
      <c r="U309">
        <f t="shared" si="83"/>
        <v>2988.8674803445665</v>
      </c>
      <c r="V309">
        <f t="shared" si="84"/>
        <v>2974.2876389770331</v>
      </c>
      <c r="W309">
        <f t="shared" si="85"/>
        <v>4218.8824803445668</v>
      </c>
      <c r="X309">
        <f t="shared" si="86"/>
        <v>4386.6074803445663</v>
      </c>
      <c r="Y309">
        <f t="shared" si="87"/>
        <v>2974.2876389770331</v>
      </c>
      <c r="Z309">
        <f t="shared" si="88"/>
        <v>2685.8983767272007</v>
      </c>
      <c r="AA309">
        <f t="shared" si="89"/>
        <v>4085.1374803445665</v>
      </c>
    </row>
    <row r="310" spans="1:27" x14ac:dyDescent="0.35">
      <c r="A310">
        <v>924</v>
      </c>
      <c r="B310">
        <v>-3964.4</v>
      </c>
      <c r="C310">
        <f t="shared" si="79"/>
        <v>281.6352</v>
      </c>
      <c r="D310">
        <f t="shared" si="72"/>
        <v>-1208.3491200000001</v>
      </c>
      <c r="E310">
        <f t="shared" si="73"/>
        <v>121.50252488880001</v>
      </c>
      <c r="F310">
        <f t="shared" si="74"/>
        <v>120.90982964544</v>
      </c>
      <c r="G310">
        <f t="shared" si="75"/>
        <v>1519.2425248888001</v>
      </c>
      <c r="H310">
        <f t="shared" si="76"/>
        <v>120.90982964544</v>
      </c>
      <c r="I310">
        <v>1</v>
      </c>
      <c r="J310">
        <f t="shared" si="77"/>
        <v>109.18631773177921</v>
      </c>
      <c r="K310">
        <f t="shared" si="78"/>
        <v>1217.7725248888</v>
      </c>
      <c r="M310">
        <v>8917.5336000000298</v>
      </c>
      <c r="N310">
        <f t="shared" si="80"/>
        <v>396</v>
      </c>
      <c r="O310">
        <f t="shared" si="81"/>
        <v>397</v>
      </c>
      <c r="P310" cm="1">
        <f t="array" ref="P310">INDEX($C$2:$C$14395,$N310,0)</f>
        <v>361.18800000000005</v>
      </c>
      <c r="Q310" cm="1">
        <f t="array" ref="Q310">INDEX($C$2:$C$14395,$O310,0)</f>
        <v>0</v>
      </c>
      <c r="R310" cm="1">
        <f t="array" ref="R310">INDEX($D$2:$D$14395,$N310,0)</f>
        <v>-1209.0989280000001</v>
      </c>
      <c r="S310" cm="1">
        <f t="array" ref="S310">INDEX($D$2:$D$14395,$O310,0)</f>
        <v>0</v>
      </c>
      <c r="T310">
        <f t="shared" si="82"/>
        <v>-29851.989313498834</v>
      </c>
      <c r="U310">
        <f t="shared" si="83"/>
        <v>3001.6921554455917</v>
      </c>
      <c r="V310">
        <f t="shared" si="84"/>
        <v>2987.0497546873207</v>
      </c>
      <c r="W310">
        <f t="shared" si="85"/>
        <v>4231.7071554455915</v>
      </c>
      <c r="X310">
        <f t="shared" si="86"/>
        <v>4399.4321554455919</v>
      </c>
      <c r="Y310">
        <f t="shared" si="87"/>
        <v>2987.0497546873207</v>
      </c>
      <c r="Z310">
        <f t="shared" si="88"/>
        <v>2697.4230676887169</v>
      </c>
      <c r="AA310">
        <f t="shared" si="89"/>
        <v>4097.9621554455916</v>
      </c>
    </row>
    <row r="311" spans="1:27" x14ac:dyDescent="0.35">
      <c r="A311">
        <v>927</v>
      </c>
      <c r="B311">
        <v>-3964.41</v>
      </c>
      <c r="C311">
        <f t="shared" si="79"/>
        <v>282.5496</v>
      </c>
      <c r="D311">
        <f t="shared" si="72"/>
        <v>-1208.3521680000001</v>
      </c>
      <c r="E311">
        <f t="shared" si="73"/>
        <v>121.50283137282003</v>
      </c>
      <c r="F311">
        <f t="shared" si="74"/>
        <v>120.91013463441601</v>
      </c>
      <c r="G311">
        <f t="shared" si="75"/>
        <v>1519.2428313728201</v>
      </c>
      <c r="H311">
        <f t="shared" si="76"/>
        <v>120.91013463441601</v>
      </c>
      <c r="I311">
        <v>1</v>
      </c>
      <c r="J311">
        <f t="shared" si="77"/>
        <v>109.18659314878489</v>
      </c>
      <c r="K311">
        <f t="shared" si="78"/>
        <v>1217.7728313728201</v>
      </c>
      <c r="M311">
        <v>8955.6336000000301</v>
      </c>
      <c r="N311">
        <f t="shared" si="80"/>
        <v>396</v>
      </c>
      <c r="O311">
        <f t="shared" si="81"/>
        <v>397</v>
      </c>
      <c r="P311" cm="1">
        <f t="array" ref="P311">INDEX($C$2:$C$14395,$N311,0)</f>
        <v>361.18800000000005</v>
      </c>
      <c r="Q311" cm="1">
        <f t="array" ref="Q311">INDEX($C$2:$C$14395,$O311,0)</f>
        <v>0</v>
      </c>
      <c r="R311" cm="1">
        <f t="array" ref="R311">INDEX($D$2:$D$14395,$N311,0)</f>
        <v>-1209.0989280000001</v>
      </c>
      <c r="S311" cm="1">
        <f t="array" ref="S311">INDEX($D$2:$D$14395,$O311,0)</f>
        <v>0</v>
      </c>
      <c r="T311">
        <f t="shared" si="82"/>
        <v>-29979.531394511494</v>
      </c>
      <c r="U311">
        <f t="shared" si="83"/>
        <v>3014.5168305466168</v>
      </c>
      <c r="V311">
        <f t="shared" si="84"/>
        <v>2999.8118703976093</v>
      </c>
      <c r="W311">
        <f t="shared" si="85"/>
        <v>4244.5318305466171</v>
      </c>
      <c r="X311">
        <f t="shared" si="86"/>
        <v>4412.2568305466166</v>
      </c>
      <c r="Y311">
        <f t="shared" si="87"/>
        <v>2999.8118703976093</v>
      </c>
      <c r="Z311">
        <f t="shared" si="88"/>
        <v>2708.947758650233</v>
      </c>
      <c r="AA311">
        <f t="shared" si="89"/>
        <v>4110.7868305466163</v>
      </c>
    </row>
    <row r="312" spans="1:27" x14ac:dyDescent="0.35">
      <c r="A312">
        <v>930</v>
      </c>
      <c r="B312">
        <v>-3964.44</v>
      </c>
      <c r="C312">
        <f t="shared" si="79"/>
        <v>283.464</v>
      </c>
      <c r="D312">
        <f t="shared" si="72"/>
        <v>-1208.361312</v>
      </c>
      <c r="E312">
        <f t="shared" si="73"/>
        <v>121.50375082488003</v>
      </c>
      <c r="F312">
        <f t="shared" si="74"/>
        <v>120.911049601344</v>
      </c>
      <c r="G312">
        <f t="shared" si="75"/>
        <v>1519.24375082488</v>
      </c>
      <c r="H312">
        <f t="shared" si="76"/>
        <v>120.911049601344</v>
      </c>
      <c r="I312">
        <v>1</v>
      </c>
      <c r="J312">
        <f t="shared" si="77"/>
        <v>109.18741939980193</v>
      </c>
      <c r="K312">
        <f t="shared" si="78"/>
        <v>1217.7737508248799</v>
      </c>
      <c r="M312">
        <v>8993.7336000000305</v>
      </c>
      <c r="N312">
        <f t="shared" si="80"/>
        <v>396</v>
      </c>
      <c r="O312">
        <f t="shared" si="81"/>
        <v>397</v>
      </c>
      <c r="P312" cm="1">
        <f t="array" ref="P312">INDEX($C$2:$C$14395,$N312,0)</f>
        <v>361.18800000000005</v>
      </c>
      <c r="Q312" cm="1">
        <f t="array" ref="Q312">INDEX($C$2:$C$14395,$O312,0)</f>
        <v>0</v>
      </c>
      <c r="R312" cm="1">
        <f t="array" ref="R312">INDEX($D$2:$D$14395,$N312,0)</f>
        <v>-1209.0989280000001</v>
      </c>
      <c r="S312" cm="1">
        <f t="array" ref="S312">INDEX($D$2:$D$14395,$O312,0)</f>
        <v>0</v>
      </c>
      <c r="T312">
        <f t="shared" si="82"/>
        <v>-30107.073475524154</v>
      </c>
      <c r="U312">
        <f t="shared" si="83"/>
        <v>3027.3415056476424</v>
      </c>
      <c r="V312">
        <f t="shared" si="84"/>
        <v>3012.5739861078982</v>
      </c>
      <c r="W312">
        <f t="shared" si="85"/>
        <v>4257.3565056476427</v>
      </c>
      <c r="X312">
        <f t="shared" si="86"/>
        <v>4425.0815056476422</v>
      </c>
      <c r="Y312">
        <f t="shared" si="87"/>
        <v>3012.5739861078982</v>
      </c>
      <c r="Z312">
        <f t="shared" si="88"/>
        <v>2720.4724496117497</v>
      </c>
      <c r="AA312">
        <f t="shared" si="89"/>
        <v>4123.6115056476428</v>
      </c>
    </row>
    <row r="313" spans="1:27" x14ac:dyDescent="0.35">
      <c r="A313">
        <v>933</v>
      </c>
      <c r="B313">
        <v>-3964.47</v>
      </c>
      <c r="C313">
        <f t="shared" si="79"/>
        <v>284.3784</v>
      </c>
      <c r="D313">
        <f t="shared" si="72"/>
        <v>-1208.3704560000001</v>
      </c>
      <c r="E313">
        <f t="shared" si="73"/>
        <v>121.50467027694002</v>
      </c>
      <c r="F313">
        <f t="shared" si="74"/>
        <v>120.91196456827203</v>
      </c>
      <c r="G313">
        <f t="shared" si="75"/>
        <v>1519.24467027694</v>
      </c>
      <c r="H313">
        <f t="shared" si="76"/>
        <v>120.91196456827203</v>
      </c>
      <c r="I313">
        <v>1</v>
      </c>
      <c r="J313">
        <f t="shared" si="77"/>
        <v>109.18824565081898</v>
      </c>
      <c r="K313">
        <f t="shared" si="78"/>
        <v>1217.77467027694</v>
      </c>
      <c r="M313">
        <v>9031.8336000000309</v>
      </c>
      <c r="N313">
        <f t="shared" si="80"/>
        <v>396</v>
      </c>
      <c r="O313">
        <f t="shared" si="81"/>
        <v>397</v>
      </c>
      <c r="P313" cm="1">
        <f t="array" ref="P313">INDEX($C$2:$C$14395,$N313,0)</f>
        <v>361.18800000000005</v>
      </c>
      <c r="Q313" cm="1">
        <f t="array" ref="Q313">INDEX($C$2:$C$14395,$O313,0)</f>
        <v>0</v>
      </c>
      <c r="R313" cm="1">
        <f t="array" ref="R313">INDEX($D$2:$D$14395,$N313,0)</f>
        <v>-1209.0989280000001</v>
      </c>
      <c r="S313" cm="1">
        <f t="array" ref="S313">INDEX($D$2:$D$14395,$O313,0)</f>
        <v>0</v>
      </c>
      <c r="T313">
        <f t="shared" si="82"/>
        <v>-30234.615556536814</v>
      </c>
      <c r="U313">
        <f t="shared" si="83"/>
        <v>3040.1661807486685</v>
      </c>
      <c r="V313">
        <f t="shared" si="84"/>
        <v>3025.3361018181868</v>
      </c>
      <c r="W313">
        <f t="shared" si="85"/>
        <v>4270.1811807486683</v>
      </c>
      <c r="X313">
        <f t="shared" si="86"/>
        <v>4437.9061807486687</v>
      </c>
      <c r="Y313">
        <f t="shared" si="87"/>
        <v>3025.3361018181868</v>
      </c>
      <c r="Z313">
        <f t="shared" si="88"/>
        <v>2731.9971405732667</v>
      </c>
      <c r="AA313">
        <f t="shared" si="89"/>
        <v>4136.4361807486684</v>
      </c>
    </row>
    <row r="314" spans="1:27" x14ac:dyDescent="0.35">
      <c r="A314">
        <v>936</v>
      </c>
      <c r="B314">
        <v>-3964.5</v>
      </c>
      <c r="C314">
        <f t="shared" si="79"/>
        <v>285.2928</v>
      </c>
      <c r="D314">
        <f t="shared" si="72"/>
        <v>-1208.3796</v>
      </c>
      <c r="E314">
        <f t="shared" si="73"/>
        <v>121.50558972900001</v>
      </c>
      <c r="F314">
        <f t="shared" si="74"/>
        <v>120.91287953520002</v>
      </c>
      <c r="G314">
        <f t="shared" si="75"/>
        <v>1519.2455897290001</v>
      </c>
      <c r="H314">
        <f t="shared" si="76"/>
        <v>120.91287953520002</v>
      </c>
      <c r="I314">
        <v>1</v>
      </c>
      <c r="J314">
        <f t="shared" si="77"/>
        <v>109.18907190183602</v>
      </c>
      <c r="K314">
        <f t="shared" si="78"/>
        <v>1217.7755897289999</v>
      </c>
      <c r="M314">
        <v>9069.9336000000312</v>
      </c>
      <c r="N314">
        <f t="shared" si="80"/>
        <v>396</v>
      </c>
      <c r="O314">
        <f t="shared" si="81"/>
        <v>397</v>
      </c>
      <c r="P314" cm="1">
        <f t="array" ref="P314">INDEX($C$2:$C$14395,$N314,0)</f>
        <v>361.18800000000005</v>
      </c>
      <c r="Q314" cm="1">
        <f t="array" ref="Q314">INDEX($C$2:$C$14395,$O314,0)</f>
        <v>0</v>
      </c>
      <c r="R314" cm="1">
        <f t="array" ref="R314">INDEX($D$2:$D$14395,$N314,0)</f>
        <v>-1209.0989280000001</v>
      </c>
      <c r="S314" cm="1">
        <f t="array" ref="S314">INDEX($D$2:$D$14395,$O314,0)</f>
        <v>0</v>
      </c>
      <c r="T314">
        <f t="shared" si="82"/>
        <v>-30362.15763754947</v>
      </c>
      <c r="U314">
        <f t="shared" si="83"/>
        <v>3052.9908558496927</v>
      </c>
      <c r="V314">
        <f t="shared" si="84"/>
        <v>3038.0982175284748</v>
      </c>
      <c r="W314">
        <f t="shared" si="85"/>
        <v>4283.005855849693</v>
      </c>
      <c r="X314">
        <f t="shared" si="86"/>
        <v>4450.7308558496925</v>
      </c>
      <c r="Y314">
        <f t="shared" si="87"/>
        <v>3038.0982175284748</v>
      </c>
      <c r="Z314">
        <f t="shared" si="88"/>
        <v>2743.5218315347825</v>
      </c>
      <c r="AA314">
        <f t="shared" si="89"/>
        <v>4149.2608558496922</v>
      </c>
    </row>
    <row r="315" spans="1:27" x14ac:dyDescent="0.35">
      <c r="A315">
        <v>939</v>
      </c>
      <c r="B315">
        <v>-3964.53</v>
      </c>
      <c r="C315">
        <f t="shared" si="79"/>
        <v>286.2072</v>
      </c>
      <c r="D315">
        <f t="shared" si="72"/>
        <v>-1208.3887440000001</v>
      </c>
      <c r="E315">
        <f t="shared" si="73"/>
        <v>121.50650918106003</v>
      </c>
      <c r="F315">
        <f t="shared" si="74"/>
        <v>120.91379450212801</v>
      </c>
      <c r="G315">
        <f t="shared" si="75"/>
        <v>1519.24650918106</v>
      </c>
      <c r="H315">
        <f t="shared" si="76"/>
        <v>120.91379450212801</v>
      </c>
      <c r="I315">
        <v>1</v>
      </c>
      <c r="J315">
        <f t="shared" si="77"/>
        <v>109.18989815285305</v>
      </c>
      <c r="K315">
        <f t="shared" si="78"/>
        <v>1217.77650918106</v>
      </c>
      <c r="M315">
        <v>9108.0336000000298</v>
      </c>
      <c r="N315">
        <f t="shared" si="80"/>
        <v>396</v>
      </c>
      <c r="O315">
        <f t="shared" si="81"/>
        <v>397</v>
      </c>
      <c r="P315" cm="1">
        <f t="array" ref="P315">INDEX($C$2:$C$14395,$N315,0)</f>
        <v>361.18800000000005</v>
      </c>
      <c r="Q315" cm="1">
        <f t="array" ref="Q315">INDEX($C$2:$C$14395,$O315,0)</f>
        <v>0</v>
      </c>
      <c r="R315" cm="1">
        <f t="array" ref="R315">INDEX($D$2:$D$14395,$N315,0)</f>
        <v>-1209.0989280000001</v>
      </c>
      <c r="S315" cm="1">
        <f t="array" ref="S315">INDEX($D$2:$D$14395,$O315,0)</f>
        <v>0</v>
      </c>
      <c r="T315">
        <f t="shared" si="82"/>
        <v>-30489.699718562126</v>
      </c>
      <c r="U315">
        <f t="shared" si="83"/>
        <v>3065.8155309507179</v>
      </c>
      <c r="V315">
        <f t="shared" si="84"/>
        <v>3050.8603332387638</v>
      </c>
      <c r="W315">
        <f t="shared" si="85"/>
        <v>4295.8305309507177</v>
      </c>
      <c r="X315">
        <f t="shared" si="86"/>
        <v>4463.5555309507181</v>
      </c>
      <c r="Y315">
        <f t="shared" si="87"/>
        <v>3050.8603332387638</v>
      </c>
      <c r="Z315">
        <f t="shared" si="88"/>
        <v>2755.0465224962991</v>
      </c>
      <c r="AA315">
        <f t="shared" si="89"/>
        <v>4162.0855309507178</v>
      </c>
    </row>
    <row r="316" spans="1:27" x14ac:dyDescent="0.35">
      <c r="A316">
        <v>942</v>
      </c>
      <c r="B316">
        <v>-3964.56</v>
      </c>
      <c r="C316">
        <f t="shared" si="79"/>
        <v>287.1216</v>
      </c>
      <c r="D316">
        <f t="shared" si="72"/>
        <v>-1208.397888</v>
      </c>
      <c r="E316">
        <f t="shared" si="73"/>
        <v>121.50742863311999</v>
      </c>
      <c r="F316">
        <f t="shared" si="74"/>
        <v>120.91470946905599</v>
      </c>
      <c r="G316">
        <f t="shared" si="75"/>
        <v>1519.2474286331201</v>
      </c>
      <c r="H316">
        <f t="shared" si="76"/>
        <v>120.91470946905599</v>
      </c>
      <c r="I316">
        <v>1</v>
      </c>
      <c r="J316">
        <f t="shared" si="77"/>
        <v>109.19072440387009</v>
      </c>
      <c r="K316">
        <f t="shared" si="78"/>
        <v>1217.7774286331201</v>
      </c>
      <c r="M316">
        <v>9146.1336000000301</v>
      </c>
      <c r="N316">
        <f t="shared" si="80"/>
        <v>396</v>
      </c>
      <c r="O316">
        <f t="shared" si="81"/>
        <v>397</v>
      </c>
      <c r="P316" cm="1">
        <f t="array" ref="P316">INDEX($C$2:$C$14395,$N316,0)</f>
        <v>361.18800000000005</v>
      </c>
      <c r="Q316" cm="1">
        <f t="array" ref="Q316">INDEX($C$2:$C$14395,$O316,0)</f>
        <v>0</v>
      </c>
      <c r="R316" cm="1">
        <f t="array" ref="R316">INDEX($D$2:$D$14395,$N316,0)</f>
        <v>-1209.0989280000001</v>
      </c>
      <c r="S316" cm="1">
        <f t="array" ref="S316">INDEX($D$2:$D$14395,$O316,0)</f>
        <v>0</v>
      </c>
      <c r="T316">
        <f t="shared" si="82"/>
        <v>-30617.241799574786</v>
      </c>
      <c r="U316">
        <f t="shared" si="83"/>
        <v>3078.6402060517435</v>
      </c>
      <c r="V316">
        <f t="shared" si="84"/>
        <v>3063.6224489490528</v>
      </c>
      <c r="W316">
        <f t="shared" si="85"/>
        <v>4308.6552060517433</v>
      </c>
      <c r="X316">
        <f t="shared" si="86"/>
        <v>4476.3802060517437</v>
      </c>
      <c r="Y316">
        <f t="shared" si="87"/>
        <v>3063.6224489490528</v>
      </c>
      <c r="Z316">
        <f t="shared" si="88"/>
        <v>2766.5712134578157</v>
      </c>
      <c r="AA316">
        <f t="shared" si="89"/>
        <v>4174.9102060517434</v>
      </c>
    </row>
    <row r="317" spans="1:27" x14ac:dyDescent="0.35">
      <c r="A317">
        <v>945</v>
      </c>
      <c r="B317">
        <v>-3964.59</v>
      </c>
      <c r="C317">
        <f t="shared" si="79"/>
        <v>288.036</v>
      </c>
      <c r="D317">
        <f t="shared" si="72"/>
        <v>-1208.4070320000001</v>
      </c>
      <c r="E317">
        <f t="shared" si="73"/>
        <v>121.50834808518</v>
      </c>
      <c r="F317">
        <f t="shared" si="74"/>
        <v>120.91562443598401</v>
      </c>
      <c r="G317">
        <f t="shared" si="75"/>
        <v>1519.2483480851799</v>
      </c>
      <c r="H317">
        <f t="shared" si="76"/>
        <v>120.91562443598401</v>
      </c>
      <c r="I317">
        <v>1</v>
      </c>
      <c r="J317">
        <f t="shared" si="77"/>
        <v>109.19155065488712</v>
      </c>
      <c r="K317">
        <f t="shared" si="78"/>
        <v>1217.7783480851799</v>
      </c>
      <c r="M317">
        <v>9184.2336000000305</v>
      </c>
      <c r="N317">
        <f t="shared" si="80"/>
        <v>396</v>
      </c>
      <c r="O317">
        <f t="shared" si="81"/>
        <v>397</v>
      </c>
      <c r="P317" cm="1">
        <f t="array" ref="P317">INDEX($C$2:$C$14395,$N317,0)</f>
        <v>361.18800000000005</v>
      </c>
      <c r="Q317" cm="1">
        <f t="array" ref="Q317">INDEX($C$2:$C$14395,$O317,0)</f>
        <v>0</v>
      </c>
      <c r="R317" cm="1">
        <f t="array" ref="R317">INDEX($D$2:$D$14395,$N317,0)</f>
        <v>-1209.0989280000001</v>
      </c>
      <c r="S317" cm="1">
        <f t="array" ref="S317">INDEX($D$2:$D$14395,$O317,0)</f>
        <v>0</v>
      </c>
      <c r="T317">
        <f t="shared" si="82"/>
        <v>-30744.783880587445</v>
      </c>
      <c r="U317">
        <f t="shared" si="83"/>
        <v>3091.4648811527695</v>
      </c>
      <c r="V317">
        <f t="shared" si="84"/>
        <v>3076.3845646593409</v>
      </c>
      <c r="W317">
        <f t="shared" si="85"/>
        <v>4321.4798811527698</v>
      </c>
      <c r="X317">
        <f t="shared" si="86"/>
        <v>4489.2048811527693</v>
      </c>
      <c r="Y317">
        <f t="shared" si="87"/>
        <v>3076.3845646593409</v>
      </c>
      <c r="Z317">
        <f t="shared" si="88"/>
        <v>2778.0959044193328</v>
      </c>
      <c r="AA317">
        <f t="shared" si="89"/>
        <v>4187.73488115277</v>
      </c>
    </row>
    <row r="318" spans="1:27" x14ac:dyDescent="0.35">
      <c r="A318">
        <v>948</v>
      </c>
      <c r="B318">
        <v>-3964.62</v>
      </c>
      <c r="C318">
        <f t="shared" si="79"/>
        <v>288.9504</v>
      </c>
      <c r="D318">
        <f t="shared" si="72"/>
        <v>-1208.416176</v>
      </c>
      <c r="E318">
        <f t="shared" si="73"/>
        <v>121.50926753723999</v>
      </c>
      <c r="F318">
        <f t="shared" si="74"/>
        <v>120.91653940291199</v>
      </c>
      <c r="G318">
        <f t="shared" si="75"/>
        <v>1519.24926753724</v>
      </c>
      <c r="H318">
        <f t="shared" si="76"/>
        <v>120.91653940291199</v>
      </c>
      <c r="I318">
        <v>1</v>
      </c>
      <c r="J318">
        <f t="shared" si="77"/>
        <v>109.19237690590417</v>
      </c>
      <c r="K318">
        <f t="shared" si="78"/>
        <v>1217.77926753724</v>
      </c>
      <c r="M318">
        <v>9222.3336000000309</v>
      </c>
      <c r="N318">
        <f t="shared" si="80"/>
        <v>396</v>
      </c>
      <c r="O318">
        <f t="shared" si="81"/>
        <v>397</v>
      </c>
      <c r="P318" cm="1">
        <f t="array" ref="P318">INDEX($C$2:$C$14395,$N318,0)</f>
        <v>361.18800000000005</v>
      </c>
      <c r="Q318" cm="1">
        <f t="array" ref="Q318">INDEX($C$2:$C$14395,$O318,0)</f>
        <v>0</v>
      </c>
      <c r="R318" cm="1">
        <f t="array" ref="R318">INDEX($D$2:$D$14395,$N318,0)</f>
        <v>-1209.0989280000001</v>
      </c>
      <c r="S318" cm="1">
        <f t="array" ref="S318">INDEX($D$2:$D$14395,$O318,0)</f>
        <v>0</v>
      </c>
      <c r="T318">
        <f t="shared" si="82"/>
        <v>-30872.325961600101</v>
      </c>
      <c r="U318">
        <f t="shared" si="83"/>
        <v>3104.2895562537942</v>
      </c>
      <c r="V318">
        <f t="shared" si="84"/>
        <v>3089.1466803696294</v>
      </c>
      <c r="W318">
        <f t="shared" si="85"/>
        <v>4334.3045562537945</v>
      </c>
      <c r="X318">
        <f t="shared" si="86"/>
        <v>4502.029556253794</v>
      </c>
      <c r="Y318">
        <f t="shared" si="87"/>
        <v>3089.1466803696294</v>
      </c>
      <c r="Z318">
        <f t="shared" si="88"/>
        <v>2789.6205953808485</v>
      </c>
      <c r="AA318">
        <f t="shared" si="89"/>
        <v>4200.5595562537947</v>
      </c>
    </row>
    <row r="319" spans="1:27" x14ac:dyDescent="0.35">
      <c r="A319">
        <v>951</v>
      </c>
      <c r="B319">
        <v>-3964.65</v>
      </c>
      <c r="C319">
        <f t="shared" si="79"/>
        <v>289.8648</v>
      </c>
      <c r="D319">
        <f t="shared" si="72"/>
        <v>-1208.4253200000001</v>
      </c>
      <c r="E319">
        <f t="shared" si="73"/>
        <v>121.51018698930001</v>
      </c>
      <c r="F319">
        <f t="shared" si="74"/>
        <v>120.91745436984003</v>
      </c>
      <c r="G319">
        <f t="shared" si="75"/>
        <v>1519.2501869893001</v>
      </c>
      <c r="H319">
        <f t="shared" si="76"/>
        <v>120.91745436984003</v>
      </c>
      <c r="I319">
        <v>1</v>
      </c>
      <c r="J319">
        <f t="shared" si="77"/>
        <v>109.19320315692121</v>
      </c>
      <c r="K319">
        <f t="shared" si="78"/>
        <v>1217.7801869893001</v>
      </c>
      <c r="M319">
        <v>9260.4336000000312</v>
      </c>
      <c r="N319">
        <f t="shared" si="80"/>
        <v>396</v>
      </c>
      <c r="O319">
        <f t="shared" si="81"/>
        <v>397</v>
      </c>
      <c r="P319" cm="1">
        <f t="array" ref="P319">INDEX($C$2:$C$14395,$N319,0)</f>
        <v>361.18800000000005</v>
      </c>
      <c r="Q319" cm="1">
        <f t="array" ref="Q319">INDEX($C$2:$C$14395,$O319,0)</f>
        <v>0</v>
      </c>
      <c r="R319" cm="1">
        <f t="array" ref="R319">INDEX($D$2:$D$14395,$N319,0)</f>
        <v>-1209.0989280000001</v>
      </c>
      <c r="S319" cm="1">
        <f t="array" ref="S319">INDEX($D$2:$D$14395,$O319,0)</f>
        <v>0</v>
      </c>
      <c r="T319">
        <f t="shared" si="82"/>
        <v>-30999.868042612761</v>
      </c>
      <c r="U319">
        <f t="shared" si="83"/>
        <v>3117.1142313548203</v>
      </c>
      <c r="V319">
        <f t="shared" si="84"/>
        <v>3101.9087960799179</v>
      </c>
      <c r="W319">
        <f t="shared" si="85"/>
        <v>4347.1292313548201</v>
      </c>
      <c r="X319">
        <f t="shared" si="86"/>
        <v>4514.8542313548205</v>
      </c>
      <c r="Y319">
        <f t="shared" si="87"/>
        <v>3101.9087960799179</v>
      </c>
      <c r="Z319">
        <f t="shared" si="88"/>
        <v>2801.1452863423656</v>
      </c>
      <c r="AA319">
        <f t="shared" si="89"/>
        <v>4213.3842313548203</v>
      </c>
    </row>
    <row r="320" spans="1:27" x14ac:dyDescent="0.35">
      <c r="A320">
        <v>954</v>
      </c>
      <c r="B320">
        <v>-3964.68</v>
      </c>
      <c r="C320">
        <f t="shared" si="79"/>
        <v>290.7792</v>
      </c>
      <c r="D320">
        <f t="shared" si="72"/>
        <v>-1208.4344639999999</v>
      </c>
      <c r="E320">
        <f t="shared" si="73"/>
        <v>121.51110644135998</v>
      </c>
      <c r="F320">
        <f t="shared" si="74"/>
        <v>120.918369336768</v>
      </c>
      <c r="G320">
        <f t="shared" si="75"/>
        <v>1519.25110644136</v>
      </c>
      <c r="H320">
        <f t="shared" si="76"/>
        <v>120.918369336768</v>
      </c>
      <c r="I320">
        <v>1</v>
      </c>
      <c r="J320">
        <f t="shared" si="77"/>
        <v>109.19402940793823</v>
      </c>
      <c r="K320">
        <f t="shared" si="78"/>
        <v>1217.78110644136</v>
      </c>
      <c r="M320">
        <v>9298.5336000000298</v>
      </c>
      <c r="N320">
        <f t="shared" si="80"/>
        <v>396</v>
      </c>
      <c r="O320">
        <f t="shared" si="81"/>
        <v>397</v>
      </c>
      <c r="P320" cm="1">
        <f t="array" ref="P320">INDEX($C$2:$C$14395,$N320,0)</f>
        <v>361.18800000000005</v>
      </c>
      <c r="Q320" cm="1">
        <f t="array" ref="Q320">INDEX($C$2:$C$14395,$O320,0)</f>
        <v>0</v>
      </c>
      <c r="R320" cm="1">
        <f t="array" ref="R320">INDEX($D$2:$D$14395,$N320,0)</f>
        <v>-1209.0989280000001</v>
      </c>
      <c r="S320" cm="1">
        <f t="array" ref="S320">INDEX($D$2:$D$14395,$O320,0)</f>
        <v>0</v>
      </c>
      <c r="T320">
        <f t="shared" si="82"/>
        <v>-31127.410123625417</v>
      </c>
      <c r="U320">
        <f t="shared" si="83"/>
        <v>3129.9389064558445</v>
      </c>
      <c r="V320">
        <f t="shared" si="84"/>
        <v>3114.6709117902064</v>
      </c>
      <c r="W320">
        <f t="shared" si="85"/>
        <v>4359.9539064558448</v>
      </c>
      <c r="X320">
        <f t="shared" si="86"/>
        <v>4527.6789064558443</v>
      </c>
      <c r="Y320">
        <f t="shared" si="87"/>
        <v>3114.6709117902064</v>
      </c>
      <c r="Z320">
        <f t="shared" si="88"/>
        <v>2812.6699773038818</v>
      </c>
      <c r="AA320">
        <f t="shared" si="89"/>
        <v>4226.208906455844</v>
      </c>
    </row>
    <row r="321" spans="1:27" x14ac:dyDescent="0.35">
      <c r="A321">
        <v>957</v>
      </c>
      <c r="B321">
        <v>-3964.7</v>
      </c>
      <c r="C321">
        <f t="shared" si="79"/>
        <v>291.6936</v>
      </c>
      <c r="D321">
        <f t="shared" si="72"/>
        <v>-1208.44056</v>
      </c>
      <c r="E321">
        <f t="shared" si="73"/>
        <v>121.5117194094</v>
      </c>
      <c r="F321">
        <f t="shared" si="74"/>
        <v>120.91897931471999</v>
      </c>
      <c r="G321">
        <f t="shared" si="75"/>
        <v>1519.2517194094</v>
      </c>
      <c r="H321">
        <f t="shared" si="76"/>
        <v>120.91897931471999</v>
      </c>
      <c r="I321">
        <v>1</v>
      </c>
      <c r="J321">
        <f t="shared" si="77"/>
        <v>109.19458024194961</v>
      </c>
      <c r="K321">
        <f t="shared" si="78"/>
        <v>1217.7817194094</v>
      </c>
      <c r="M321">
        <v>9328.9374000000298</v>
      </c>
      <c r="N321">
        <f t="shared" si="80"/>
        <v>396</v>
      </c>
      <c r="O321">
        <f t="shared" si="81"/>
        <v>397</v>
      </c>
      <c r="P321" cm="1">
        <f t="array" ref="P321">INDEX($C$2:$C$14395,$N321,0)</f>
        <v>361.18800000000005</v>
      </c>
      <c r="Q321" cm="1">
        <f t="array" ref="Q321">INDEX($C$2:$C$14395,$O321,0)</f>
        <v>0</v>
      </c>
      <c r="R321" cm="1">
        <f t="array" ref="R321">INDEX($D$2:$D$14395,$N321,0)</f>
        <v>-1209.0989280000001</v>
      </c>
      <c r="S321" cm="1">
        <f t="array" ref="S321">INDEX($D$2:$D$14395,$O321,0)</f>
        <v>0</v>
      </c>
      <c r="T321">
        <f t="shared" si="82"/>
        <v>-31229.188704273518</v>
      </c>
      <c r="U321">
        <f t="shared" si="83"/>
        <v>3140.1729971864634</v>
      </c>
      <c r="V321">
        <f t="shared" si="84"/>
        <v>3124.8550801270171</v>
      </c>
      <c r="W321">
        <f t="shared" si="85"/>
        <v>4370.1879971864637</v>
      </c>
      <c r="X321">
        <f t="shared" si="86"/>
        <v>4537.9129971864631</v>
      </c>
      <c r="Y321">
        <f t="shared" si="87"/>
        <v>3124.8550801270171</v>
      </c>
      <c r="Z321">
        <f t="shared" si="88"/>
        <v>2821.866680691172</v>
      </c>
      <c r="AA321">
        <f t="shared" si="89"/>
        <v>4236.4429971864629</v>
      </c>
    </row>
    <row r="322" spans="1:27" x14ac:dyDescent="0.35">
      <c r="A322">
        <v>960</v>
      </c>
      <c r="B322">
        <v>-3964.72</v>
      </c>
      <c r="C322">
        <f t="shared" si="79"/>
        <v>292.608</v>
      </c>
      <c r="D322">
        <f t="shared" si="72"/>
        <v>-1208.4466560000001</v>
      </c>
      <c r="E322">
        <f t="shared" si="73"/>
        <v>121.51233237744002</v>
      </c>
      <c r="F322">
        <f t="shared" si="74"/>
        <v>120.91958929267201</v>
      </c>
      <c r="G322">
        <f t="shared" si="75"/>
        <v>1519.2523323774401</v>
      </c>
      <c r="H322">
        <f t="shared" si="76"/>
        <v>120.91958929267201</v>
      </c>
      <c r="I322">
        <v>1</v>
      </c>
      <c r="J322">
        <f t="shared" si="77"/>
        <v>109.19513107596097</v>
      </c>
      <c r="K322">
        <f t="shared" si="78"/>
        <v>1217.7823323774401</v>
      </c>
      <c r="M322">
        <v>9351.6450000000295</v>
      </c>
      <c r="N322">
        <f t="shared" si="80"/>
        <v>396</v>
      </c>
      <c r="O322">
        <f t="shared" si="81"/>
        <v>397</v>
      </c>
      <c r="P322" cm="1">
        <f t="array" ref="P322">INDEX($C$2:$C$14395,$N322,0)</f>
        <v>361.18800000000005</v>
      </c>
      <c r="Q322" cm="1">
        <f t="array" ref="Q322">INDEX($C$2:$C$14395,$O322,0)</f>
        <v>0</v>
      </c>
      <c r="R322" cm="1">
        <f t="array" ref="R322">INDEX($D$2:$D$14395,$N322,0)</f>
        <v>-1209.0989280000001</v>
      </c>
      <c r="S322" cm="1">
        <f t="array" ref="S322">INDEX($D$2:$D$14395,$O322,0)</f>
        <v>0</v>
      </c>
      <c r="T322">
        <f t="shared" si="82"/>
        <v>-31305.203784557059</v>
      </c>
      <c r="U322">
        <f t="shared" si="83"/>
        <v>3147.8165035466736</v>
      </c>
      <c r="V322">
        <f t="shared" si="84"/>
        <v>3132.4613010903486</v>
      </c>
      <c r="W322">
        <f t="shared" si="85"/>
        <v>4377.831503546674</v>
      </c>
      <c r="X322">
        <f t="shared" si="86"/>
        <v>4545.5565035466734</v>
      </c>
      <c r="Y322">
        <f t="shared" si="87"/>
        <v>3132.4613010903486</v>
      </c>
      <c r="Z322">
        <f t="shared" si="88"/>
        <v>2828.7353965042357</v>
      </c>
      <c r="AA322">
        <f t="shared" si="89"/>
        <v>4244.0865035466741</v>
      </c>
    </row>
    <row r="323" spans="1:27" x14ac:dyDescent="0.35">
      <c r="A323">
        <v>963</v>
      </c>
      <c r="B323">
        <v>-3964.75</v>
      </c>
      <c r="C323">
        <f t="shared" si="79"/>
        <v>293.5224</v>
      </c>
      <c r="D323">
        <f t="shared" ref="D323:D386" si="90">B323*0.3048</f>
        <v>-1208.4558</v>
      </c>
      <c r="E323">
        <f t="shared" ref="E323:E386" si="91">D323*-1*1025*9.81/10^5</f>
        <v>121.51325182950001</v>
      </c>
      <c r="F323">
        <f t="shared" ref="F323:F386" si="92">1020*D323*-1*9.81/10^5</f>
        <v>120.92050425960001</v>
      </c>
      <c r="G323">
        <f t="shared" ref="G323:G386" si="93">1397.74+E323</f>
        <v>1519.2532518295</v>
      </c>
      <c r="H323">
        <f t="shared" ref="H323:H386" si="94">F323</f>
        <v>120.92050425960001</v>
      </c>
      <c r="I323">
        <v>1</v>
      </c>
      <c r="J323">
        <f t="shared" ref="J323:J386" si="95">921.1*D323*-1*9.81/10^5</f>
        <v>109.195957326978</v>
      </c>
      <c r="K323">
        <f t="shared" ref="K323:K386" si="96">1096.27+E323</f>
        <v>1217.7832518294999</v>
      </c>
      <c r="M323">
        <v>9382.0488000000296</v>
      </c>
      <c r="N323">
        <f t="shared" si="80"/>
        <v>396</v>
      </c>
      <c r="O323">
        <f t="shared" si="81"/>
        <v>397</v>
      </c>
      <c r="P323" cm="1">
        <f t="array" ref="P323">INDEX($C$2:$C$14395,$N323,0)</f>
        <v>361.18800000000005</v>
      </c>
      <c r="Q323" cm="1">
        <f t="array" ref="Q323">INDEX($C$2:$C$14395,$O323,0)</f>
        <v>0</v>
      </c>
      <c r="R323" cm="1">
        <f t="array" ref="R323">INDEX($D$2:$D$14395,$N323,0)</f>
        <v>-1209.0989280000001</v>
      </c>
      <c r="S323" cm="1">
        <f t="array" ref="S323">INDEX($D$2:$D$14395,$O323,0)</f>
        <v>0</v>
      </c>
      <c r="T323">
        <f t="shared" si="82"/>
        <v>-31406.982365205164</v>
      </c>
      <c r="U323">
        <f t="shared" si="83"/>
        <v>3158.0505942772925</v>
      </c>
      <c r="V323">
        <f t="shared" si="84"/>
        <v>3142.6454694271592</v>
      </c>
      <c r="W323">
        <f t="shared" si="85"/>
        <v>4388.0655942772928</v>
      </c>
      <c r="X323">
        <f t="shared" si="86"/>
        <v>4555.7905942772923</v>
      </c>
      <c r="Y323">
        <f t="shared" si="87"/>
        <v>3142.6454694271592</v>
      </c>
      <c r="Z323">
        <f t="shared" si="88"/>
        <v>2837.9320998915259</v>
      </c>
      <c r="AA323">
        <f t="shared" si="89"/>
        <v>4254.3205942772929</v>
      </c>
    </row>
    <row r="324" spans="1:27" x14ac:dyDescent="0.35">
      <c r="A324">
        <v>966</v>
      </c>
      <c r="B324">
        <v>-3964.79</v>
      </c>
      <c r="C324">
        <f t="shared" ref="C324:C387" si="97">A324*0.3048</f>
        <v>294.43680000000001</v>
      </c>
      <c r="D324">
        <f t="shared" si="90"/>
        <v>-1208.4679920000001</v>
      </c>
      <c r="E324">
        <f t="shared" si="91"/>
        <v>121.51447776558003</v>
      </c>
      <c r="F324">
        <f t="shared" si="92"/>
        <v>120.92172421550403</v>
      </c>
      <c r="G324">
        <f t="shared" si="93"/>
        <v>1519.2544777655801</v>
      </c>
      <c r="H324">
        <f t="shared" si="94"/>
        <v>120.92172421550403</v>
      </c>
      <c r="I324">
        <v>1</v>
      </c>
      <c r="J324">
        <f t="shared" si="95"/>
        <v>109.19705899500075</v>
      </c>
      <c r="K324">
        <f t="shared" si="96"/>
        <v>1217.78447776558</v>
      </c>
      <c r="M324">
        <v>9420.14880000003</v>
      </c>
      <c r="N324">
        <f t="shared" ref="N324:N387" si="98">MATCH($M324,$C$2:$C$14395,1)</f>
        <v>396</v>
      </c>
      <c r="O324">
        <f t="shared" ref="O324:O387" si="99">N324+1</f>
        <v>397</v>
      </c>
      <c r="P324" cm="1">
        <f t="array" ref="P324">INDEX($C$2:$C$14395,$N324,0)</f>
        <v>361.18800000000005</v>
      </c>
      <c r="Q324" cm="1">
        <f t="array" ref="Q324">INDEX($C$2:$C$14395,$O324,0)</f>
        <v>0</v>
      </c>
      <c r="R324" cm="1">
        <f t="array" ref="R324">INDEX($D$2:$D$14395,$N324,0)</f>
        <v>-1209.0989280000001</v>
      </c>
      <c r="S324" cm="1">
        <f t="array" ref="S324">INDEX($D$2:$D$14395,$O324,0)</f>
        <v>0</v>
      </c>
      <c r="T324">
        <f t="shared" ref="T324:T387" si="100">FORECAST(M324,R324:S324,P324:Q324)</f>
        <v>-31534.52444621782</v>
      </c>
      <c r="U324">
        <f t="shared" ref="U324:U387" si="101">1025*T324*-1*9.81/10^5</f>
        <v>3170.8752693783176</v>
      </c>
      <c r="V324">
        <f t="shared" ref="V324:V387" si="102">1020*T324*-1*9.81/10^5</f>
        <v>3155.4075851374478</v>
      </c>
      <c r="W324">
        <f t="shared" ref="W324:W387" si="103">1230.015+U324</f>
        <v>4400.8902693783175</v>
      </c>
      <c r="X324">
        <f t="shared" ref="X324:X387" si="104">1397.74+U324</f>
        <v>4568.6152693783179</v>
      </c>
      <c r="Y324">
        <f t="shared" ref="Y324:Y387" si="105">V324</f>
        <v>3155.4075851374478</v>
      </c>
      <c r="Z324">
        <f t="shared" ref="Z324:Z387" si="106">921.1*T324*-1*9.81/10^5</f>
        <v>2849.4567908530421</v>
      </c>
      <c r="AA324">
        <f t="shared" ref="AA324:AA387" si="107">1096.27+U324</f>
        <v>4267.1452693783176</v>
      </c>
    </row>
    <row r="325" spans="1:27" x14ac:dyDescent="0.35">
      <c r="A325">
        <v>969</v>
      </c>
      <c r="B325">
        <v>-3964.82</v>
      </c>
      <c r="C325">
        <f t="shared" si="97"/>
        <v>295.35120000000001</v>
      </c>
      <c r="D325">
        <f t="shared" si="90"/>
        <v>-1208.4771360000002</v>
      </c>
      <c r="E325">
        <f t="shared" si="91"/>
        <v>121.51539721764004</v>
      </c>
      <c r="F325">
        <f t="shared" si="92"/>
        <v>120.92263918243204</v>
      </c>
      <c r="G325">
        <f t="shared" si="93"/>
        <v>1519.2553972176402</v>
      </c>
      <c r="H325">
        <f t="shared" si="94"/>
        <v>120.92263918243204</v>
      </c>
      <c r="I325">
        <v>1</v>
      </c>
      <c r="J325">
        <f t="shared" si="95"/>
        <v>109.1978852460178</v>
      </c>
      <c r="K325">
        <f t="shared" si="96"/>
        <v>1217.7853972176399</v>
      </c>
      <c r="M325">
        <v>9458.2488000000303</v>
      </c>
      <c r="N325">
        <f t="shared" si="98"/>
        <v>396</v>
      </c>
      <c r="O325">
        <f t="shared" si="99"/>
        <v>397</v>
      </c>
      <c r="P325" cm="1">
        <f t="array" ref="P325">INDEX($C$2:$C$14395,$N325,0)</f>
        <v>361.18800000000005</v>
      </c>
      <c r="Q325" cm="1">
        <f t="array" ref="Q325">INDEX($C$2:$C$14395,$O325,0)</f>
        <v>0</v>
      </c>
      <c r="R325" cm="1">
        <f t="array" ref="R325">INDEX($D$2:$D$14395,$N325,0)</f>
        <v>-1209.0989280000001</v>
      </c>
      <c r="S325" cm="1">
        <f t="array" ref="S325">INDEX($D$2:$D$14395,$O325,0)</f>
        <v>0</v>
      </c>
      <c r="T325">
        <f t="shared" si="100"/>
        <v>-31662.06652723048</v>
      </c>
      <c r="U325">
        <f t="shared" si="101"/>
        <v>3183.6999444793428</v>
      </c>
      <c r="V325">
        <f t="shared" si="102"/>
        <v>3168.1697008477367</v>
      </c>
      <c r="W325">
        <f t="shared" si="103"/>
        <v>4413.7149444793431</v>
      </c>
      <c r="X325">
        <f t="shared" si="104"/>
        <v>4581.4399444793426</v>
      </c>
      <c r="Y325">
        <f t="shared" si="105"/>
        <v>3168.1697008477367</v>
      </c>
      <c r="Z325">
        <f t="shared" si="106"/>
        <v>2860.9814818145592</v>
      </c>
      <c r="AA325">
        <f t="shared" si="107"/>
        <v>4279.9699444793423</v>
      </c>
    </row>
    <row r="326" spans="1:27" x14ac:dyDescent="0.35">
      <c r="A326">
        <v>972</v>
      </c>
      <c r="B326">
        <v>-3964.85</v>
      </c>
      <c r="C326">
        <f t="shared" si="97"/>
        <v>296.26560000000001</v>
      </c>
      <c r="D326">
        <f t="shared" si="90"/>
        <v>-1208.4862800000001</v>
      </c>
      <c r="E326">
        <f t="shared" si="91"/>
        <v>121.51631666970002</v>
      </c>
      <c r="F326">
        <f t="shared" si="92"/>
        <v>120.92355414936</v>
      </c>
      <c r="G326">
        <f t="shared" si="93"/>
        <v>1519.2563166697</v>
      </c>
      <c r="H326">
        <f t="shared" si="94"/>
        <v>120.92355414936</v>
      </c>
      <c r="I326">
        <v>1</v>
      </c>
      <c r="J326">
        <f t="shared" si="95"/>
        <v>109.19871149703482</v>
      </c>
      <c r="K326">
        <f t="shared" si="96"/>
        <v>1217.7863166697</v>
      </c>
      <c r="M326">
        <v>9496.3488000000307</v>
      </c>
      <c r="N326">
        <f t="shared" si="98"/>
        <v>396</v>
      </c>
      <c r="O326">
        <f t="shared" si="99"/>
        <v>397</v>
      </c>
      <c r="P326" cm="1">
        <f t="array" ref="P326">INDEX($C$2:$C$14395,$N326,0)</f>
        <v>361.18800000000005</v>
      </c>
      <c r="Q326" cm="1">
        <f t="array" ref="Q326">INDEX($C$2:$C$14395,$O326,0)</f>
        <v>0</v>
      </c>
      <c r="R326" cm="1">
        <f t="array" ref="R326">INDEX($D$2:$D$14395,$N326,0)</f>
        <v>-1209.0989280000001</v>
      </c>
      <c r="S326" cm="1">
        <f t="array" ref="S326">INDEX($D$2:$D$14395,$O326,0)</f>
        <v>0</v>
      </c>
      <c r="T326">
        <f t="shared" si="100"/>
        <v>-31789.608608243139</v>
      </c>
      <c r="U326">
        <f t="shared" si="101"/>
        <v>3196.5246195803684</v>
      </c>
      <c r="V326">
        <f t="shared" si="102"/>
        <v>3180.9318165580253</v>
      </c>
      <c r="W326">
        <f t="shared" si="103"/>
        <v>4426.5396195803687</v>
      </c>
      <c r="X326">
        <f t="shared" si="104"/>
        <v>4594.2646195803682</v>
      </c>
      <c r="Y326">
        <f t="shared" si="105"/>
        <v>3180.9318165580253</v>
      </c>
      <c r="Z326">
        <f t="shared" si="106"/>
        <v>2872.5061727760758</v>
      </c>
      <c r="AA326">
        <f t="shared" si="107"/>
        <v>4292.7946195803688</v>
      </c>
    </row>
    <row r="327" spans="1:27" x14ac:dyDescent="0.35">
      <c r="A327">
        <v>975</v>
      </c>
      <c r="B327">
        <v>-3964.87</v>
      </c>
      <c r="C327">
        <f t="shared" si="97"/>
        <v>297.18</v>
      </c>
      <c r="D327">
        <f t="shared" si="90"/>
        <v>-1208.4923759999999</v>
      </c>
      <c r="E327">
        <f t="shared" si="91"/>
        <v>121.51692963773999</v>
      </c>
      <c r="F327">
        <f t="shared" si="92"/>
        <v>120.92416412731201</v>
      </c>
      <c r="G327">
        <f t="shared" si="93"/>
        <v>1519.2569296377401</v>
      </c>
      <c r="H327">
        <f t="shared" si="94"/>
        <v>120.92416412731201</v>
      </c>
      <c r="I327">
        <v>1</v>
      </c>
      <c r="J327">
        <f t="shared" si="95"/>
        <v>109.19926233104617</v>
      </c>
      <c r="K327">
        <f t="shared" si="96"/>
        <v>1217.7869296377401</v>
      </c>
      <c r="M327">
        <v>9534.448800000031</v>
      </c>
      <c r="N327">
        <f t="shared" si="98"/>
        <v>396</v>
      </c>
      <c r="O327">
        <f t="shared" si="99"/>
        <v>397</v>
      </c>
      <c r="P327" cm="1">
        <f t="array" ref="P327">INDEX($C$2:$C$14395,$N327,0)</f>
        <v>361.18800000000005</v>
      </c>
      <c r="Q327" cm="1">
        <f t="array" ref="Q327">INDEX($C$2:$C$14395,$O327,0)</f>
        <v>0</v>
      </c>
      <c r="R327" cm="1">
        <f t="array" ref="R327">INDEX($D$2:$D$14395,$N327,0)</f>
        <v>-1209.0989280000001</v>
      </c>
      <c r="S327" cm="1">
        <f t="array" ref="S327">INDEX($D$2:$D$14395,$O327,0)</f>
        <v>0</v>
      </c>
      <c r="T327">
        <f t="shared" si="100"/>
        <v>-31917.150689255799</v>
      </c>
      <c r="U327">
        <f t="shared" si="101"/>
        <v>3209.349294681394</v>
      </c>
      <c r="V327">
        <f t="shared" si="102"/>
        <v>3193.6939322683143</v>
      </c>
      <c r="W327">
        <f t="shared" si="103"/>
        <v>4439.3642946813943</v>
      </c>
      <c r="X327">
        <f t="shared" si="104"/>
        <v>4607.0892946813938</v>
      </c>
      <c r="Y327">
        <f t="shared" si="105"/>
        <v>3193.6939322683143</v>
      </c>
      <c r="Z327">
        <f t="shared" si="106"/>
        <v>2884.030863737592</v>
      </c>
      <c r="AA327">
        <f t="shared" si="107"/>
        <v>4305.6192946813935</v>
      </c>
    </row>
    <row r="328" spans="1:27" x14ac:dyDescent="0.35">
      <c r="A328">
        <v>978</v>
      </c>
      <c r="B328">
        <v>-3964.88</v>
      </c>
      <c r="C328">
        <f t="shared" si="97"/>
        <v>298.09440000000001</v>
      </c>
      <c r="D328">
        <f t="shared" si="90"/>
        <v>-1208.4954240000002</v>
      </c>
      <c r="E328">
        <f t="shared" si="91"/>
        <v>121.51723612176004</v>
      </c>
      <c r="F328">
        <f t="shared" si="92"/>
        <v>120.92446911628801</v>
      </c>
      <c r="G328">
        <f t="shared" si="93"/>
        <v>1519.2572361217601</v>
      </c>
      <c r="H328">
        <f t="shared" si="94"/>
        <v>120.92446911628801</v>
      </c>
      <c r="I328">
        <v>1</v>
      </c>
      <c r="J328">
        <f t="shared" si="95"/>
        <v>109.19953774805187</v>
      </c>
      <c r="K328">
        <f t="shared" si="96"/>
        <v>1217.7872361217601</v>
      </c>
      <c r="M328">
        <v>9572.5488000000296</v>
      </c>
      <c r="N328">
        <f t="shared" si="98"/>
        <v>396</v>
      </c>
      <c r="O328">
        <f t="shared" si="99"/>
        <v>397</v>
      </c>
      <c r="P328" cm="1">
        <f t="array" ref="P328">INDEX($C$2:$C$14395,$N328,0)</f>
        <v>361.18800000000005</v>
      </c>
      <c r="Q328" cm="1">
        <f t="array" ref="Q328">INDEX($C$2:$C$14395,$O328,0)</f>
        <v>0</v>
      </c>
      <c r="R328" cm="1">
        <f t="array" ref="R328">INDEX($D$2:$D$14395,$N328,0)</f>
        <v>-1209.0989280000001</v>
      </c>
      <c r="S328" cm="1">
        <f t="array" ref="S328">INDEX($D$2:$D$14395,$O328,0)</f>
        <v>0</v>
      </c>
      <c r="T328">
        <f t="shared" si="100"/>
        <v>-32044.692770268452</v>
      </c>
      <c r="U328">
        <f t="shared" si="101"/>
        <v>3222.1739697824187</v>
      </c>
      <c r="V328">
        <f t="shared" si="102"/>
        <v>3206.4560479786019</v>
      </c>
      <c r="W328">
        <f t="shared" si="103"/>
        <v>4452.188969782419</v>
      </c>
      <c r="X328">
        <f t="shared" si="104"/>
        <v>4619.9139697824185</v>
      </c>
      <c r="Y328">
        <f t="shared" si="105"/>
        <v>3206.4560479786019</v>
      </c>
      <c r="Z328">
        <f t="shared" si="106"/>
        <v>2895.5555546991086</v>
      </c>
      <c r="AA328">
        <f t="shared" si="107"/>
        <v>4318.4439697824182</v>
      </c>
    </row>
    <row r="329" spans="1:27" x14ac:dyDescent="0.35">
      <c r="A329">
        <v>981</v>
      </c>
      <c r="B329">
        <v>-3964.89</v>
      </c>
      <c r="C329">
        <f t="shared" si="97"/>
        <v>299.00880000000001</v>
      </c>
      <c r="D329">
        <f t="shared" si="90"/>
        <v>-1208.498472</v>
      </c>
      <c r="E329">
        <f t="shared" si="91"/>
        <v>121.51754260578001</v>
      </c>
      <c r="F329">
        <f t="shared" si="92"/>
        <v>120.92477410526401</v>
      </c>
      <c r="G329">
        <f t="shared" si="93"/>
        <v>1519.2575426057799</v>
      </c>
      <c r="H329">
        <f t="shared" si="94"/>
        <v>120.92477410526401</v>
      </c>
      <c r="I329">
        <v>1</v>
      </c>
      <c r="J329">
        <f t="shared" si="95"/>
        <v>109.19981316505755</v>
      </c>
      <c r="K329">
        <f t="shared" si="96"/>
        <v>1217.7875426057799</v>
      </c>
      <c r="M329">
        <v>9610.64880000003</v>
      </c>
      <c r="N329">
        <f t="shared" si="98"/>
        <v>396</v>
      </c>
      <c r="O329">
        <f t="shared" si="99"/>
        <v>397</v>
      </c>
      <c r="P329" cm="1">
        <f t="array" ref="P329">INDEX($C$2:$C$14395,$N329,0)</f>
        <v>361.18800000000005</v>
      </c>
      <c r="Q329" cm="1">
        <f t="array" ref="Q329">INDEX($C$2:$C$14395,$O329,0)</f>
        <v>0</v>
      </c>
      <c r="R329" cm="1">
        <f t="array" ref="R329">INDEX($D$2:$D$14395,$N329,0)</f>
        <v>-1209.0989280000001</v>
      </c>
      <c r="S329" cm="1">
        <f t="array" ref="S329">INDEX($D$2:$D$14395,$O329,0)</f>
        <v>0</v>
      </c>
      <c r="T329">
        <f t="shared" si="100"/>
        <v>-32172.234851281111</v>
      </c>
      <c r="U329">
        <f t="shared" si="101"/>
        <v>3234.9986448834443</v>
      </c>
      <c r="V329">
        <f t="shared" si="102"/>
        <v>3219.2181636888909</v>
      </c>
      <c r="W329">
        <f t="shared" si="103"/>
        <v>4465.0136448834446</v>
      </c>
      <c r="X329">
        <f t="shared" si="104"/>
        <v>4632.7386448834441</v>
      </c>
      <c r="Y329">
        <f t="shared" si="105"/>
        <v>3219.2181636888909</v>
      </c>
      <c r="Z329">
        <f t="shared" si="106"/>
        <v>2907.0802456606252</v>
      </c>
      <c r="AA329">
        <f t="shared" si="107"/>
        <v>4331.2686448834447</v>
      </c>
    </row>
    <row r="330" spans="1:27" x14ac:dyDescent="0.35">
      <c r="A330">
        <v>984</v>
      </c>
      <c r="B330">
        <v>-3964.91</v>
      </c>
      <c r="C330">
        <f t="shared" si="97"/>
        <v>299.92320000000001</v>
      </c>
      <c r="D330">
        <f t="shared" si="90"/>
        <v>-1208.5045680000001</v>
      </c>
      <c r="E330">
        <f t="shared" si="91"/>
        <v>121.51815557382002</v>
      </c>
      <c r="F330">
        <f t="shared" si="92"/>
        <v>120.92538408321602</v>
      </c>
      <c r="G330">
        <f t="shared" si="93"/>
        <v>1519.25815557382</v>
      </c>
      <c r="H330">
        <f t="shared" si="94"/>
        <v>120.92538408321602</v>
      </c>
      <c r="I330">
        <v>1</v>
      </c>
      <c r="J330">
        <f t="shared" si="95"/>
        <v>109.20036399906888</v>
      </c>
      <c r="K330">
        <f t="shared" si="96"/>
        <v>1217.7881555738199</v>
      </c>
      <c r="M330">
        <v>9648.7488000000303</v>
      </c>
      <c r="N330">
        <f t="shared" si="98"/>
        <v>396</v>
      </c>
      <c r="O330">
        <f t="shared" si="99"/>
        <v>397</v>
      </c>
      <c r="P330" cm="1">
        <f t="array" ref="P330">INDEX($C$2:$C$14395,$N330,0)</f>
        <v>361.18800000000005</v>
      </c>
      <c r="Q330" cm="1">
        <f t="array" ref="Q330">INDEX($C$2:$C$14395,$O330,0)</f>
        <v>0</v>
      </c>
      <c r="R330" cm="1">
        <f t="array" ref="R330">INDEX($D$2:$D$14395,$N330,0)</f>
        <v>-1209.0989280000001</v>
      </c>
      <c r="S330" cm="1">
        <f t="array" ref="S330">INDEX($D$2:$D$14395,$O330,0)</f>
        <v>0</v>
      </c>
      <c r="T330">
        <f t="shared" si="100"/>
        <v>-32299.776932293771</v>
      </c>
      <c r="U330">
        <f t="shared" si="101"/>
        <v>3247.8233199844699</v>
      </c>
      <c r="V330">
        <f t="shared" si="102"/>
        <v>3231.9802793991798</v>
      </c>
      <c r="W330">
        <f t="shared" si="103"/>
        <v>4477.8383199844702</v>
      </c>
      <c r="X330">
        <f t="shared" si="104"/>
        <v>4645.5633199844697</v>
      </c>
      <c r="Y330">
        <f t="shared" si="105"/>
        <v>3231.9802793991798</v>
      </c>
      <c r="Z330">
        <f t="shared" si="106"/>
        <v>2918.6049366221414</v>
      </c>
      <c r="AA330">
        <f t="shared" si="107"/>
        <v>4344.0933199844694</v>
      </c>
    </row>
    <row r="331" spans="1:27" x14ac:dyDescent="0.35">
      <c r="A331">
        <v>987</v>
      </c>
      <c r="B331">
        <v>-3964.94</v>
      </c>
      <c r="C331">
        <f t="shared" si="97"/>
        <v>300.83760000000001</v>
      </c>
      <c r="D331">
        <f t="shared" si="90"/>
        <v>-1208.5137120000002</v>
      </c>
      <c r="E331">
        <f t="shared" si="91"/>
        <v>121.51907502588004</v>
      </c>
      <c r="F331">
        <f t="shared" si="92"/>
        <v>120.92629905014404</v>
      </c>
      <c r="G331">
        <f t="shared" si="93"/>
        <v>1519.2590750258801</v>
      </c>
      <c r="H331">
        <f t="shared" si="94"/>
        <v>120.92629905014404</v>
      </c>
      <c r="I331">
        <v>1</v>
      </c>
      <c r="J331">
        <f t="shared" si="95"/>
        <v>109.20119025008594</v>
      </c>
      <c r="K331">
        <f t="shared" si="96"/>
        <v>1217.78907502588</v>
      </c>
      <c r="M331">
        <v>9686.8488000000307</v>
      </c>
      <c r="N331">
        <f t="shared" si="98"/>
        <v>396</v>
      </c>
      <c r="O331">
        <f t="shared" si="99"/>
        <v>397</v>
      </c>
      <c r="P331" cm="1">
        <f t="array" ref="P331">INDEX($C$2:$C$14395,$N331,0)</f>
        <v>361.18800000000005</v>
      </c>
      <c r="Q331" cm="1">
        <f t="array" ref="Q331">INDEX($C$2:$C$14395,$O331,0)</f>
        <v>0</v>
      </c>
      <c r="R331" cm="1">
        <f t="array" ref="R331">INDEX($D$2:$D$14395,$N331,0)</f>
        <v>-1209.0989280000001</v>
      </c>
      <c r="S331" cm="1">
        <f t="array" ref="S331">INDEX($D$2:$D$14395,$O331,0)</f>
        <v>0</v>
      </c>
      <c r="T331">
        <f t="shared" si="100"/>
        <v>-32427.319013306431</v>
      </c>
      <c r="U331">
        <f t="shared" si="101"/>
        <v>3260.647995085495</v>
      </c>
      <c r="V331">
        <f t="shared" si="102"/>
        <v>3244.7423951094679</v>
      </c>
      <c r="W331">
        <f t="shared" si="103"/>
        <v>4490.6629950854949</v>
      </c>
      <c r="X331">
        <f t="shared" si="104"/>
        <v>4658.3879950854953</v>
      </c>
      <c r="Y331">
        <f t="shared" si="105"/>
        <v>3244.7423951094679</v>
      </c>
      <c r="Z331">
        <f t="shared" si="106"/>
        <v>2930.129627583658</v>
      </c>
      <c r="AA331">
        <f t="shared" si="107"/>
        <v>4356.917995085495</v>
      </c>
    </row>
    <row r="332" spans="1:27" x14ac:dyDescent="0.35">
      <c r="A332">
        <v>990</v>
      </c>
      <c r="B332">
        <v>-3964.96</v>
      </c>
      <c r="C332">
        <f t="shared" si="97"/>
        <v>301.75200000000001</v>
      </c>
      <c r="D332">
        <f t="shared" si="90"/>
        <v>-1208.519808</v>
      </c>
      <c r="E332">
        <f t="shared" si="91"/>
        <v>121.51968799392</v>
      </c>
      <c r="F332">
        <f t="shared" si="92"/>
        <v>120.92690902809599</v>
      </c>
      <c r="G332">
        <f t="shared" si="93"/>
        <v>1519.2596879939201</v>
      </c>
      <c r="H332">
        <f t="shared" si="94"/>
        <v>120.92690902809599</v>
      </c>
      <c r="I332">
        <v>1</v>
      </c>
      <c r="J332">
        <f t="shared" si="95"/>
        <v>109.20174108409729</v>
      </c>
      <c r="K332">
        <f t="shared" si="96"/>
        <v>1217.7896879939199</v>
      </c>
      <c r="M332">
        <v>9724.948800000031</v>
      </c>
      <c r="N332">
        <f t="shared" si="98"/>
        <v>396</v>
      </c>
      <c r="O332">
        <f t="shared" si="99"/>
        <v>397</v>
      </c>
      <c r="P332" cm="1">
        <f t="array" ref="P332">INDEX($C$2:$C$14395,$N332,0)</f>
        <v>361.18800000000005</v>
      </c>
      <c r="Q332" cm="1">
        <f t="array" ref="Q332">INDEX($C$2:$C$14395,$O332,0)</f>
        <v>0</v>
      </c>
      <c r="R332" cm="1">
        <f t="array" ref="R332">INDEX($D$2:$D$14395,$N332,0)</f>
        <v>-1209.0989280000001</v>
      </c>
      <c r="S332" cm="1">
        <f t="array" ref="S332">INDEX($D$2:$D$14395,$O332,0)</f>
        <v>0</v>
      </c>
      <c r="T332">
        <f t="shared" si="100"/>
        <v>-32554.861094319091</v>
      </c>
      <c r="U332">
        <f t="shared" si="101"/>
        <v>3273.4726701865202</v>
      </c>
      <c r="V332">
        <f t="shared" si="102"/>
        <v>3257.5045108197569</v>
      </c>
      <c r="W332">
        <f t="shared" si="103"/>
        <v>4503.4876701865205</v>
      </c>
      <c r="X332">
        <f t="shared" si="104"/>
        <v>4671.21267018652</v>
      </c>
      <c r="Y332">
        <f t="shared" si="105"/>
        <v>3257.5045108197569</v>
      </c>
      <c r="Z332">
        <f t="shared" si="106"/>
        <v>2941.6543185451746</v>
      </c>
      <c r="AA332">
        <f t="shared" si="107"/>
        <v>4369.7426701865206</v>
      </c>
    </row>
    <row r="333" spans="1:27" x14ac:dyDescent="0.35">
      <c r="A333">
        <v>993</v>
      </c>
      <c r="B333">
        <v>-3964.99</v>
      </c>
      <c r="C333">
        <f t="shared" si="97"/>
        <v>302.66640000000001</v>
      </c>
      <c r="D333">
        <f t="shared" si="90"/>
        <v>-1208.5289519999999</v>
      </c>
      <c r="E333">
        <f t="shared" si="91"/>
        <v>121.52060744597999</v>
      </c>
      <c r="F333">
        <f t="shared" si="92"/>
        <v>120.92782399502399</v>
      </c>
      <c r="G333">
        <f t="shared" si="93"/>
        <v>1519.26060744598</v>
      </c>
      <c r="H333">
        <f t="shared" si="94"/>
        <v>120.92782399502399</v>
      </c>
      <c r="I333">
        <v>1</v>
      </c>
      <c r="J333">
        <f t="shared" si="95"/>
        <v>109.20256733511431</v>
      </c>
      <c r="K333">
        <f t="shared" si="96"/>
        <v>1217.79060744598</v>
      </c>
      <c r="M333">
        <v>9763.0488000000296</v>
      </c>
      <c r="N333">
        <f t="shared" si="98"/>
        <v>396</v>
      </c>
      <c r="O333">
        <f t="shared" si="99"/>
        <v>397</v>
      </c>
      <c r="P333" cm="1">
        <f t="array" ref="P333">INDEX($C$2:$C$14395,$N333,0)</f>
        <v>361.18800000000005</v>
      </c>
      <c r="Q333" cm="1">
        <f t="array" ref="Q333">INDEX($C$2:$C$14395,$O333,0)</f>
        <v>0</v>
      </c>
      <c r="R333" cm="1">
        <f t="array" ref="R333">INDEX($D$2:$D$14395,$N333,0)</f>
        <v>-1209.0989280000001</v>
      </c>
      <c r="S333" cm="1">
        <f t="array" ref="S333">INDEX($D$2:$D$14395,$O333,0)</f>
        <v>0</v>
      </c>
      <c r="T333">
        <f t="shared" si="100"/>
        <v>-32682.403175331743</v>
      </c>
      <c r="U333">
        <f t="shared" si="101"/>
        <v>3286.2973452875453</v>
      </c>
      <c r="V333">
        <f t="shared" si="102"/>
        <v>3270.2666265300454</v>
      </c>
      <c r="W333">
        <f t="shared" si="103"/>
        <v>4516.3123452875452</v>
      </c>
      <c r="X333">
        <f t="shared" si="104"/>
        <v>4684.0373452875456</v>
      </c>
      <c r="Y333">
        <f t="shared" si="105"/>
        <v>3270.2666265300454</v>
      </c>
      <c r="Z333">
        <f t="shared" si="106"/>
        <v>2953.1790095066904</v>
      </c>
      <c r="AA333">
        <f t="shared" si="107"/>
        <v>4382.5673452875453</v>
      </c>
    </row>
    <row r="334" spans="1:27" x14ac:dyDescent="0.35">
      <c r="A334">
        <v>996</v>
      </c>
      <c r="B334">
        <v>-3965.01</v>
      </c>
      <c r="C334">
        <f t="shared" si="97"/>
        <v>303.58080000000001</v>
      </c>
      <c r="D334">
        <f t="shared" si="90"/>
        <v>-1208.5350480000002</v>
      </c>
      <c r="E334">
        <f t="shared" si="91"/>
        <v>121.52122041402002</v>
      </c>
      <c r="F334">
        <f t="shared" si="92"/>
        <v>120.92843397297602</v>
      </c>
      <c r="G334">
        <f t="shared" si="93"/>
        <v>1519.26122041402</v>
      </c>
      <c r="H334">
        <f t="shared" si="94"/>
        <v>120.92843397297602</v>
      </c>
      <c r="I334">
        <v>1</v>
      </c>
      <c r="J334">
        <f t="shared" si="95"/>
        <v>109.20311816912572</v>
      </c>
      <c r="K334">
        <f t="shared" si="96"/>
        <v>1217.79122041402</v>
      </c>
      <c r="M334">
        <v>9801.14880000003</v>
      </c>
      <c r="N334">
        <f t="shared" si="98"/>
        <v>396</v>
      </c>
      <c r="O334">
        <f t="shared" si="99"/>
        <v>397</v>
      </c>
      <c r="P334" cm="1">
        <f t="array" ref="P334">INDEX($C$2:$C$14395,$N334,0)</f>
        <v>361.18800000000005</v>
      </c>
      <c r="Q334" cm="1">
        <f t="array" ref="Q334">INDEX($C$2:$C$14395,$O334,0)</f>
        <v>0</v>
      </c>
      <c r="R334" cm="1">
        <f t="array" ref="R334">INDEX($D$2:$D$14395,$N334,0)</f>
        <v>-1209.0989280000001</v>
      </c>
      <c r="S334" cm="1">
        <f t="array" ref="S334">INDEX($D$2:$D$14395,$O334,0)</f>
        <v>0</v>
      </c>
      <c r="T334">
        <f t="shared" si="100"/>
        <v>-32809.945256344407</v>
      </c>
      <c r="U334">
        <f t="shared" si="101"/>
        <v>3299.1220203885709</v>
      </c>
      <c r="V334">
        <f t="shared" si="102"/>
        <v>3283.0287422403339</v>
      </c>
      <c r="W334">
        <f t="shared" si="103"/>
        <v>4529.1370203885708</v>
      </c>
      <c r="X334">
        <f t="shared" si="104"/>
        <v>4696.8620203885712</v>
      </c>
      <c r="Y334">
        <f t="shared" si="105"/>
        <v>3283.0287422403339</v>
      </c>
      <c r="Z334">
        <f t="shared" si="106"/>
        <v>2964.7037004682074</v>
      </c>
      <c r="AA334">
        <f t="shared" si="107"/>
        <v>4395.3920203885709</v>
      </c>
    </row>
    <row r="335" spans="1:27" x14ac:dyDescent="0.35">
      <c r="A335">
        <v>999</v>
      </c>
      <c r="B335">
        <v>-3965.03</v>
      </c>
      <c r="C335">
        <f t="shared" si="97"/>
        <v>304.49520000000001</v>
      </c>
      <c r="D335">
        <f t="shared" si="90"/>
        <v>-1208.541144</v>
      </c>
      <c r="E335">
        <f t="shared" si="91"/>
        <v>121.52183338206001</v>
      </c>
      <c r="F335">
        <f t="shared" si="92"/>
        <v>120.929043950928</v>
      </c>
      <c r="G335">
        <f t="shared" si="93"/>
        <v>1519.2618333820601</v>
      </c>
      <c r="H335">
        <f t="shared" si="94"/>
        <v>120.929043950928</v>
      </c>
      <c r="I335">
        <v>1</v>
      </c>
      <c r="J335">
        <f t="shared" si="95"/>
        <v>109.20366900313705</v>
      </c>
      <c r="K335">
        <f t="shared" si="96"/>
        <v>1217.7918333820601</v>
      </c>
      <c r="M335">
        <v>9831.5548860000308</v>
      </c>
      <c r="N335">
        <f t="shared" si="98"/>
        <v>396</v>
      </c>
      <c r="O335">
        <f t="shared" si="99"/>
        <v>397</v>
      </c>
      <c r="P335" cm="1">
        <f t="array" ref="P335">INDEX($C$2:$C$14395,$N335,0)</f>
        <v>361.18800000000005</v>
      </c>
      <c r="Q335" cm="1">
        <f t="array" ref="Q335">INDEX($C$2:$C$14395,$O335,0)</f>
        <v>0</v>
      </c>
      <c r="R335" cm="1">
        <f t="array" ref="R335">INDEX($D$2:$D$14395,$N335,0)</f>
        <v>-1209.0989280000001</v>
      </c>
      <c r="S335" cm="1">
        <f t="array" ref="S335">INDEX($D$2:$D$14395,$O335,0)</f>
        <v>0</v>
      </c>
      <c r="T335">
        <f t="shared" si="100"/>
        <v>-32911.731489517369</v>
      </c>
      <c r="U335">
        <f t="shared" si="101"/>
        <v>3309.3568805996956</v>
      </c>
      <c r="V335">
        <f t="shared" si="102"/>
        <v>3293.2136763040876</v>
      </c>
      <c r="W335">
        <f t="shared" si="103"/>
        <v>4539.3718805996959</v>
      </c>
      <c r="X335">
        <f t="shared" si="104"/>
        <v>4707.0968805996954</v>
      </c>
      <c r="Y335">
        <f t="shared" si="105"/>
        <v>3293.2136763040876</v>
      </c>
      <c r="Z335">
        <f t="shared" si="106"/>
        <v>2973.9010953369557</v>
      </c>
      <c r="AA335">
        <f t="shared" si="107"/>
        <v>4405.6268805996951</v>
      </c>
    </row>
    <row r="336" spans="1:27" x14ac:dyDescent="0.35">
      <c r="A336">
        <v>1002</v>
      </c>
      <c r="B336">
        <v>-3965.06</v>
      </c>
      <c r="C336">
        <f t="shared" si="97"/>
        <v>305.40960000000001</v>
      </c>
      <c r="D336">
        <f t="shared" si="90"/>
        <v>-1208.5502880000001</v>
      </c>
      <c r="E336">
        <f t="shared" si="91"/>
        <v>121.52275283412003</v>
      </c>
      <c r="F336">
        <f t="shared" si="92"/>
        <v>120.92995891785601</v>
      </c>
      <c r="G336">
        <f t="shared" si="93"/>
        <v>1519.26275283412</v>
      </c>
      <c r="H336">
        <f t="shared" si="94"/>
        <v>120.92995891785601</v>
      </c>
      <c r="I336">
        <v>1</v>
      </c>
      <c r="J336">
        <f t="shared" si="95"/>
        <v>109.2044952541541</v>
      </c>
      <c r="K336">
        <f t="shared" si="96"/>
        <v>1217.7927528341199</v>
      </c>
      <c r="M336">
        <v>9854.2670580000304</v>
      </c>
      <c r="N336">
        <f t="shared" si="98"/>
        <v>396</v>
      </c>
      <c r="O336">
        <f t="shared" si="99"/>
        <v>397</v>
      </c>
      <c r="P336" cm="1">
        <f t="array" ref="P336">INDEX($C$2:$C$14395,$N336,0)</f>
        <v>361.18800000000005</v>
      </c>
      <c r="Q336" cm="1">
        <f t="array" ref="Q336">INDEX($C$2:$C$14395,$O336,0)</f>
        <v>0</v>
      </c>
      <c r="R336" cm="1">
        <f t="array" ref="R336">INDEX($D$2:$D$14395,$N336,0)</f>
        <v>-1209.0989280000001</v>
      </c>
      <c r="S336" cm="1">
        <f t="array" ref="S336">INDEX($D$2:$D$14395,$O336,0)</f>
        <v>0</v>
      </c>
      <c r="T336">
        <f t="shared" si="100"/>
        <v>-32987.761874850636</v>
      </c>
      <c r="U336">
        <f t="shared" si="101"/>
        <v>3317.0019259209184</v>
      </c>
      <c r="V336">
        <f t="shared" si="102"/>
        <v>3300.8214287213045</v>
      </c>
      <c r="W336">
        <f t="shared" si="103"/>
        <v>4547.0169259209188</v>
      </c>
      <c r="X336">
        <f t="shared" si="104"/>
        <v>4714.7419259209182</v>
      </c>
      <c r="Y336">
        <f t="shared" si="105"/>
        <v>3300.8214287213045</v>
      </c>
      <c r="Z336">
        <f t="shared" si="106"/>
        <v>2980.7711941129351</v>
      </c>
      <c r="AA336">
        <f t="shared" si="107"/>
        <v>4413.2719259209189</v>
      </c>
    </row>
    <row r="337" spans="1:27" x14ac:dyDescent="0.35">
      <c r="A337">
        <v>1005</v>
      </c>
      <c r="B337">
        <v>-3965.09</v>
      </c>
      <c r="C337">
        <f t="shared" si="97"/>
        <v>306.32400000000001</v>
      </c>
      <c r="D337">
        <f t="shared" si="90"/>
        <v>-1208.559432</v>
      </c>
      <c r="E337">
        <f t="shared" si="91"/>
        <v>121.52367228618</v>
      </c>
      <c r="F337">
        <f t="shared" si="92"/>
        <v>120.93087388478402</v>
      </c>
      <c r="G337">
        <f t="shared" si="93"/>
        <v>1519.2636722861801</v>
      </c>
      <c r="H337">
        <f t="shared" si="94"/>
        <v>120.93087388478402</v>
      </c>
      <c r="I337">
        <v>1</v>
      </c>
      <c r="J337">
        <f t="shared" si="95"/>
        <v>109.20532150517114</v>
      </c>
      <c r="K337">
        <f t="shared" si="96"/>
        <v>1217.79367228618</v>
      </c>
      <c r="M337">
        <v>9876.9792300000317</v>
      </c>
      <c r="N337">
        <f t="shared" si="98"/>
        <v>396</v>
      </c>
      <c r="O337">
        <f t="shared" si="99"/>
        <v>397</v>
      </c>
      <c r="P337" cm="1">
        <f t="array" ref="P337">INDEX($C$2:$C$14395,$N337,0)</f>
        <v>361.18800000000005</v>
      </c>
      <c r="Q337" cm="1">
        <f t="array" ref="Q337">INDEX($C$2:$C$14395,$O337,0)</f>
        <v>0</v>
      </c>
      <c r="R337" cm="1">
        <f t="array" ref="R337">INDEX($D$2:$D$14395,$N337,0)</f>
        <v>-1209.0989280000001</v>
      </c>
      <c r="S337" cm="1">
        <f t="array" ref="S337">INDEX($D$2:$D$14395,$O337,0)</f>
        <v>0</v>
      </c>
      <c r="T337">
        <f t="shared" si="100"/>
        <v>-33063.792260183902</v>
      </c>
      <c r="U337">
        <f t="shared" si="101"/>
        <v>3324.6469712421422</v>
      </c>
      <c r="V337">
        <f t="shared" si="102"/>
        <v>3308.4291811385219</v>
      </c>
      <c r="W337">
        <f t="shared" si="103"/>
        <v>4554.6619712421425</v>
      </c>
      <c r="X337">
        <f t="shared" si="104"/>
        <v>4722.386971242142</v>
      </c>
      <c r="Y337">
        <f t="shared" si="105"/>
        <v>3308.4291811385219</v>
      </c>
      <c r="Z337">
        <f t="shared" si="106"/>
        <v>2987.6412928889144</v>
      </c>
      <c r="AA337">
        <f t="shared" si="107"/>
        <v>4420.9169712421426</v>
      </c>
    </row>
    <row r="338" spans="1:27" x14ac:dyDescent="0.35">
      <c r="A338">
        <v>1008</v>
      </c>
      <c r="B338">
        <v>-3965.11</v>
      </c>
      <c r="C338">
        <f t="shared" si="97"/>
        <v>307.23840000000001</v>
      </c>
      <c r="D338">
        <f t="shared" si="90"/>
        <v>-1208.5655280000001</v>
      </c>
      <c r="E338">
        <f t="shared" si="91"/>
        <v>121.52428525422002</v>
      </c>
      <c r="F338">
        <f t="shared" si="92"/>
        <v>120.93148386273602</v>
      </c>
      <c r="G338">
        <f t="shared" si="93"/>
        <v>1519.2642852542201</v>
      </c>
      <c r="H338">
        <f t="shared" si="94"/>
        <v>120.93148386273602</v>
      </c>
      <c r="I338">
        <v>1</v>
      </c>
      <c r="J338">
        <f t="shared" si="95"/>
        <v>109.20587233918249</v>
      </c>
      <c r="K338">
        <f t="shared" si="96"/>
        <v>1217.7942852542201</v>
      </c>
      <c r="M338">
        <v>9899.6914020000622</v>
      </c>
      <c r="N338">
        <f t="shared" si="98"/>
        <v>396</v>
      </c>
      <c r="O338">
        <f t="shared" si="99"/>
        <v>397</v>
      </c>
      <c r="P338" cm="1">
        <f t="array" ref="P338">INDEX($C$2:$C$14395,$N338,0)</f>
        <v>361.18800000000005</v>
      </c>
      <c r="Q338" cm="1">
        <f t="array" ref="Q338">INDEX($C$2:$C$14395,$O338,0)</f>
        <v>0</v>
      </c>
      <c r="R338" cm="1">
        <f t="array" ref="R338">INDEX($D$2:$D$14395,$N338,0)</f>
        <v>-1209.0989280000001</v>
      </c>
      <c r="S338" cm="1">
        <f t="array" ref="S338">INDEX($D$2:$D$14395,$O338,0)</f>
        <v>0</v>
      </c>
      <c r="T338">
        <f t="shared" si="100"/>
        <v>-33139.82264551727</v>
      </c>
      <c r="U338">
        <f t="shared" si="101"/>
        <v>3332.292016563375</v>
      </c>
      <c r="V338">
        <f t="shared" si="102"/>
        <v>3316.0369335557489</v>
      </c>
      <c r="W338">
        <f t="shared" si="103"/>
        <v>4562.3070165633753</v>
      </c>
      <c r="X338">
        <f t="shared" si="104"/>
        <v>4730.0320165633748</v>
      </c>
      <c r="Y338">
        <f t="shared" si="105"/>
        <v>3316.0369335557489</v>
      </c>
      <c r="Z338">
        <f t="shared" si="106"/>
        <v>2994.5113916649025</v>
      </c>
      <c r="AA338">
        <f t="shared" si="107"/>
        <v>4428.5620165633754</v>
      </c>
    </row>
    <row r="339" spans="1:27" x14ac:dyDescent="0.35">
      <c r="A339">
        <v>1011</v>
      </c>
      <c r="B339">
        <v>-3965.14</v>
      </c>
      <c r="C339">
        <f t="shared" si="97"/>
        <v>308.15280000000001</v>
      </c>
      <c r="D339">
        <f t="shared" si="90"/>
        <v>-1208.574672</v>
      </c>
      <c r="E339">
        <f t="shared" si="91"/>
        <v>121.52520470628001</v>
      </c>
      <c r="F339">
        <f t="shared" si="92"/>
        <v>120.932398829664</v>
      </c>
      <c r="G339">
        <f t="shared" si="93"/>
        <v>1519.26520470628</v>
      </c>
      <c r="H339">
        <f t="shared" si="94"/>
        <v>120.932398829664</v>
      </c>
      <c r="I339">
        <v>1</v>
      </c>
      <c r="J339">
        <f t="shared" si="95"/>
        <v>109.20669859019952</v>
      </c>
      <c r="K339">
        <f t="shared" si="96"/>
        <v>1217.7952047062799</v>
      </c>
      <c r="M339">
        <v>9930.0974880000613</v>
      </c>
      <c r="N339">
        <f t="shared" si="98"/>
        <v>396</v>
      </c>
      <c r="O339">
        <f t="shared" si="99"/>
        <v>397</v>
      </c>
      <c r="P339" cm="1">
        <f t="array" ref="P339">INDEX($C$2:$C$14395,$N339,0)</f>
        <v>361.18800000000005</v>
      </c>
      <c r="Q339" cm="1">
        <f t="array" ref="Q339">INDEX($C$2:$C$14395,$O339,0)</f>
        <v>0</v>
      </c>
      <c r="R339" cm="1">
        <f t="array" ref="R339">INDEX($D$2:$D$14395,$N339,0)</f>
        <v>-1209.0989280000001</v>
      </c>
      <c r="S339" cm="1">
        <f t="array" ref="S339">INDEX($D$2:$D$14395,$O339,0)</f>
        <v>0</v>
      </c>
      <c r="T339">
        <f t="shared" si="100"/>
        <v>-33241.608878690233</v>
      </c>
      <c r="U339">
        <f t="shared" si="101"/>
        <v>3342.5268767744992</v>
      </c>
      <c r="V339">
        <f t="shared" si="102"/>
        <v>3326.2218676195021</v>
      </c>
      <c r="W339">
        <f t="shared" si="103"/>
        <v>4572.5418767744995</v>
      </c>
      <c r="X339">
        <f t="shared" si="104"/>
        <v>4740.266876774499</v>
      </c>
      <c r="Y339">
        <f t="shared" si="105"/>
        <v>3326.2218676195021</v>
      </c>
      <c r="Z339">
        <f t="shared" si="106"/>
        <v>3003.7087865336507</v>
      </c>
      <c r="AA339">
        <f t="shared" si="107"/>
        <v>4438.7968767744987</v>
      </c>
    </row>
    <row r="340" spans="1:27" x14ac:dyDescent="0.35">
      <c r="A340">
        <v>1014</v>
      </c>
      <c r="B340">
        <v>-3965.16</v>
      </c>
      <c r="C340">
        <f t="shared" si="97"/>
        <v>309.06720000000001</v>
      </c>
      <c r="D340">
        <f t="shared" si="90"/>
        <v>-1208.580768</v>
      </c>
      <c r="E340">
        <f t="shared" si="91"/>
        <v>121.52581767432002</v>
      </c>
      <c r="F340">
        <f t="shared" si="92"/>
        <v>120.93300880761601</v>
      </c>
      <c r="G340">
        <f t="shared" si="93"/>
        <v>1519.26581767432</v>
      </c>
      <c r="H340">
        <f t="shared" si="94"/>
        <v>120.93300880761601</v>
      </c>
      <c r="I340">
        <v>1</v>
      </c>
      <c r="J340">
        <f t="shared" si="95"/>
        <v>109.2072494242109</v>
      </c>
      <c r="K340">
        <f t="shared" si="96"/>
        <v>1217.79581767432</v>
      </c>
      <c r="M340">
        <v>9968.1974880000616</v>
      </c>
      <c r="N340">
        <f t="shared" si="98"/>
        <v>396</v>
      </c>
      <c r="O340">
        <f t="shared" si="99"/>
        <v>397</v>
      </c>
      <c r="P340" cm="1">
        <f t="array" ref="P340">INDEX($C$2:$C$14395,$N340,0)</f>
        <v>361.18800000000005</v>
      </c>
      <c r="Q340" cm="1">
        <f t="array" ref="Q340">INDEX($C$2:$C$14395,$O340,0)</f>
        <v>0</v>
      </c>
      <c r="R340" cm="1">
        <f t="array" ref="R340">INDEX($D$2:$D$14395,$N340,0)</f>
        <v>-1209.0989280000001</v>
      </c>
      <c r="S340" cm="1">
        <f t="array" ref="S340">INDEX($D$2:$D$14395,$O340,0)</f>
        <v>0</v>
      </c>
      <c r="T340">
        <f t="shared" si="100"/>
        <v>-33369.150959702893</v>
      </c>
      <c r="U340">
        <f t="shared" si="101"/>
        <v>3355.3515518755253</v>
      </c>
      <c r="V340">
        <f t="shared" si="102"/>
        <v>3338.9839833297915</v>
      </c>
      <c r="W340">
        <f t="shared" si="103"/>
        <v>4585.3665518755251</v>
      </c>
      <c r="X340">
        <f t="shared" si="104"/>
        <v>4753.0915518755255</v>
      </c>
      <c r="Y340">
        <f t="shared" si="105"/>
        <v>3338.9839833297915</v>
      </c>
      <c r="Z340">
        <f t="shared" si="106"/>
        <v>3015.2334774951673</v>
      </c>
      <c r="AA340">
        <f t="shared" si="107"/>
        <v>4451.6215518755253</v>
      </c>
    </row>
    <row r="341" spans="1:27" x14ac:dyDescent="0.35">
      <c r="A341">
        <v>1017</v>
      </c>
      <c r="B341">
        <v>-3965.18</v>
      </c>
      <c r="C341">
        <f t="shared" si="97"/>
        <v>309.98160000000001</v>
      </c>
      <c r="D341">
        <f t="shared" si="90"/>
        <v>-1208.5868640000001</v>
      </c>
      <c r="E341">
        <f t="shared" si="91"/>
        <v>121.52643064236003</v>
      </c>
      <c r="F341">
        <f t="shared" si="92"/>
        <v>120.93361878556802</v>
      </c>
      <c r="G341">
        <f t="shared" si="93"/>
        <v>1519.2664306423601</v>
      </c>
      <c r="H341">
        <f t="shared" si="94"/>
        <v>120.93361878556802</v>
      </c>
      <c r="I341">
        <v>1</v>
      </c>
      <c r="J341">
        <f t="shared" si="95"/>
        <v>109.20780025822226</v>
      </c>
      <c r="K341">
        <f t="shared" si="96"/>
        <v>1217.7964306423601</v>
      </c>
      <c r="M341">
        <v>10006.297488000062</v>
      </c>
      <c r="N341">
        <f t="shared" si="98"/>
        <v>396</v>
      </c>
      <c r="O341">
        <f t="shared" si="99"/>
        <v>397</v>
      </c>
      <c r="P341" cm="1">
        <f t="array" ref="P341">INDEX($C$2:$C$14395,$N341,0)</f>
        <v>361.18800000000005</v>
      </c>
      <c r="Q341" cm="1">
        <f t="array" ref="Q341">INDEX($C$2:$C$14395,$O341,0)</f>
        <v>0</v>
      </c>
      <c r="R341" cm="1">
        <f t="array" ref="R341">INDEX($D$2:$D$14395,$N341,0)</f>
        <v>-1209.0989280000001</v>
      </c>
      <c r="S341" cm="1">
        <f t="array" ref="S341">INDEX($D$2:$D$14395,$O341,0)</f>
        <v>0</v>
      </c>
      <c r="T341">
        <f t="shared" si="100"/>
        <v>-33496.693040715552</v>
      </c>
      <c r="U341">
        <f t="shared" si="101"/>
        <v>3368.1762269765509</v>
      </c>
      <c r="V341">
        <f t="shared" si="102"/>
        <v>3351.7460990400796</v>
      </c>
      <c r="W341">
        <f t="shared" si="103"/>
        <v>4598.1912269765508</v>
      </c>
      <c r="X341">
        <f t="shared" si="104"/>
        <v>4765.9162269765511</v>
      </c>
      <c r="Y341">
        <f t="shared" si="105"/>
        <v>3351.7460990400796</v>
      </c>
      <c r="Z341">
        <f t="shared" si="106"/>
        <v>3026.758168456684</v>
      </c>
      <c r="AA341">
        <f t="shared" si="107"/>
        <v>4464.4462269765509</v>
      </c>
    </row>
    <row r="342" spans="1:27" x14ac:dyDescent="0.35">
      <c r="A342">
        <v>1020</v>
      </c>
      <c r="B342">
        <v>-3965.2</v>
      </c>
      <c r="C342">
        <f t="shared" si="97"/>
        <v>310.89600000000002</v>
      </c>
      <c r="D342">
        <f t="shared" si="90"/>
        <v>-1208.5929599999999</v>
      </c>
      <c r="E342">
        <f t="shared" si="91"/>
        <v>121.5270436104</v>
      </c>
      <c r="F342">
        <f t="shared" si="92"/>
        <v>120.93422876352001</v>
      </c>
      <c r="G342">
        <f t="shared" si="93"/>
        <v>1519.2670436103999</v>
      </c>
      <c r="H342">
        <f t="shared" si="94"/>
        <v>120.93422876352001</v>
      </c>
      <c r="I342">
        <v>1</v>
      </c>
      <c r="J342">
        <f t="shared" si="95"/>
        <v>109.20835109223363</v>
      </c>
      <c r="K342">
        <f t="shared" si="96"/>
        <v>1217.7970436103999</v>
      </c>
      <c r="M342">
        <v>10044.397488000062</v>
      </c>
      <c r="N342">
        <f t="shared" si="98"/>
        <v>396</v>
      </c>
      <c r="O342">
        <f t="shared" si="99"/>
        <v>397</v>
      </c>
      <c r="P342" cm="1">
        <f t="array" ref="P342">INDEX($C$2:$C$14395,$N342,0)</f>
        <v>361.18800000000005</v>
      </c>
      <c r="Q342" cm="1">
        <f t="array" ref="Q342">INDEX($C$2:$C$14395,$O342,0)</f>
        <v>0</v>
      </c>
      <c r="R342" cm="1">
        <f t="array" ref="R342">INDEX($D$2:$D$14395,$N342,0)</f>
        <v>-1209.0989280000001</v>
      </c>
      <c r="S342" cm="1">
        <f t="array" ref="S342">INDEX($D$2:$D$14395,$O342,0)</f>
        <v>0</v>
      </c>
      <c r="T342">
        <f t="shared" si="100"/>
        <v>-33624.235121728212</v>
      </c>
      <c r="U342">
        <f t="shared" si="101"/>
        <v>3381.000902077576</v>
      </c>
      <c r="V342">
        <f t="shared" si="102"/>
        <v>3364.5082147503681</v>
      </c>
      <c r="W342">
        <f t="shared" si="103"/>
        <v>4611.0159020775764</v>
      </c>
      <c r="X342">
        <f t="shared" si="104"/>
        <v>4778.7409020775758</v>
      </c>
      <c r="Y342">
        <f t="shared" si="105"/>
        <v>3364.5082147503681</v>
      </c>
      <c r="Z342">
        <f t="shared" si="106"/>
        <v>3038.282859418201</v>
      </c>
      <c r="AA342">
        <f t="shared" si="107"/>
        <v>4477.2709020775765</v>
      </c>
    </row>
    <row r="343" spans="1:27" x14ac:dyDescent="0.35">
      <c r="A343">
        <v>1023</v>
      </c>
      <c r="B343">
        <v>-3965.22</v>
      </c>
      <c r="C343">
        <f t="shared" si="97"/>
        <v>311.81040000000002</v>
      </c>
      <c r="D343">
        <f t="shared" si="90"/>
        <v>-1208.599056</v>
      </c>
      <c r="E343">
        <f t="shared" si="91"/>
        <v>121.52765657844</v>
      </c>
      <c r="F343">
        <f t="shared" si="92"/>
        <v>120.93483874147201</v>
      </c>
      <c r="G343">
        <f t="shared" si="93"/>
        <v>1519.26765657844</v>
      </c>
      <c r="H343">
        <f t="shared" si="94"/>
        <v>120.93483874147201</v>
      </c>
      <c r="I343">
        <v>1</v>
      </c>
      <c r="J343">
        <f t="shared" si="95"/>
        <v>109.20890192624496</v>
      </c>
      <c r="K343">
        <f t="shared" si="96"/>
        <v>1217.79765657844</v>
      </c>
      <c r="M343">
        <v>10079.78248200003</v>
      </c>
      <c r="N343">
        <f t="shared" si="98"/>
        <v>396</v>
      </c>
      <c r="O343">
        <f t="shared" si="99"/>
        <v>397</v>
      </c>
      <c r="P343" cm="1">
        <f t="array" ref="P343">INDEX($C$2:$C$14395,$N343,0)</f>
        <v>361.18800000000005</v>
      </c>
      <c r="Q343" cm="1">
        <f t="array" ref="Q343">INDEX($C$2:$C$14395,$O343,0)</f>
        <v>0</v>
      </c>
      <c r="R343" cm="1">
        <f t="array" ref="R343">INDEX($D$2:$D$14395,$N343,0)</f>
        <v>-1209.0989280000001</v>
      </c>
      <c r="S343" cm="1">
        <f t="array" ref="S343">INDEX($D$2:$D$14395,$O343,0)</f>
        <v>0</v>
      </c>
      <c r="T343">
        <f t="shared" si="100"/>
        <v>-33742.688554047796</v>
      </c>
      <c r="U343">
        <f t="shared" si="101"/>
        <v>3392.9116908308911</v>
      </c>
      <c r="V343">
        <f t="shared" si="102"/>
        <v>3376.3609020951308</v>
      </c>
      <c r="W343">
        <f t="shared" si="103"/>
        <v>4622.9266908308909</v>
      </c>
      <c r="X343">
        <f t="shared" si="104"/>
        <v>4790.6516908308913</v>
      </c>
      <c r="Y343">
        <f t="shared" si="105"/>
        <v>3376.3609020951308</v>
      </c>
      <c r="Z343">
        <f t="shared" si="106"/>
        <v>3048.986300901789</v>
      </c>
      <c r="AA343">
        <f t="shared" si="107"/>
        <v>4489.1816908308911</v>
      </c>
    </row>
    <row r="344" spans="1:27" x14ac:dyDescent="0.35">
      <c r="A344">
        <v>1026</v>
      </c>
      <c r="B344">
        <v>-3965.24</v>
      </c>
      <c r="C344">
        <f t="shared" si="97"/>
        <v>312.72480000000002</v>
      </c>
      <c r="D344">
        <f t="shared" si="90"/>
        <v>-1208.6051520000001</v>
      </c>
      <c r="E344">
        <f t="shared" si="91"/>
        <v>121.52826954648</v>
      </c>
      <c r="F344">
        <f t="shared" si="92"/>
        <v>120.93544871942403</v>
      </c>
      <c r="G344">
        <f t="shared" si="93"/>
        <v>1519.26826954648</v>
      </c>
      <c r="H344">
        <f t="shared" si="94"/>
        <v>120.93544871942403</v>
      </c>
      <c r="I344">
        <v>1</v>
      </c>
      <c r="J344">
        <f t="shared" si="95"/>
        <v>109.20945276025634</v>
      </c>
      <c r="K344">
        <f t="shared" si="96"/>
        <v>1217.79826954648</v>
      </c>
      <c r="M344">
        <v>10112.45247</v>
      </c>
      <c r="N344">
        <f t="shared" si="98"/>
        <v>396</v>
      </c>
      <c r="O344">
        <f t="shared" si="99"/>
        <v>397</v>
      </c>
      <c r="P344" cm="1">
        <f t="array" ref="P344">INDEX($C$2:$C$14395,$N344,0)</f>
        <v>361.18800000000005</v>
      </c>
      <c r="Q344" cm="1">
        <f t="array" ref="Q344">INDEX($C$2:$C$14395,$O344,0)</f>
        <v>0</v>
      </c>
      <c r="R344" cm="1">
        <f t="array" ref="R344">INDEX($D$2:$D$14395,$N344,0)</f>
        <v>-1209.0989280000001</v>
      </c>
      <c r="S344" cm="1">
        <f t="array" ref="S344">INDEX($D$2:$D$14395,$O344,0)</f>
        <v>0</v>
      </c>
      <c r="T344">
        <f t="shared" si="100"/>
        <v>-33852.053337674428</v>
      </c>
      <c r="U344">
        <f t="shared" si="101"/>
        <v>3403.9085932365078</v>
      </c>
      <c r="V344">
        <f t="shared" si="102"/>
        <v>3387.3041610743785</v>
      </c>
      <c r="W344">
        <f t="shared" si="103"/>
        <v>4633.9235932365082</v>
      </c>
      <c r="X344">
        <f t="shared" si="104"/>
        <v>4801.6485932365076</v>
      </c>
      <c r="Y344">
        <f t="shared" si="105"/>
        <v>3387.3041610743785</v>
      </c>
      <c r="Z344">
        <f t="shared" si="106"/>
        <v>3058.8684929074611</v>
      </c>
      <c r="AA344">
        <f t="shared" si="107"/>
        <v>4500.1785932365074</v>
      </c>
    </row>
    <row r="345" spans="1:27" x14ac:dyDescent="0.35">
      <c r="A345">
        <v>1029</v>
      </c>
      <c r="B345">
        <v>-3965.27</v>
      </c>
      <c r="C345">
        <f t="shared" si="97"/>
        <v>313.63920000000002</v>
      </c>
      <c r="D345">
        <f t="shared" si="90"/>
        <v>-1208.614296</v>
      </c>
      <c r="E345">
        <f t="shared" si="91"/>
        <v>121.52918899854001</v>
      </c>
      <c r="F345">
        <f t="shared" si="92"/>
        <v>120.936363686352</v>
      </c>
      <c r="G345">
        <f t="shared" si="93"/>
        <v>1519.2691889985399</v>
      </c>
      <c r="H345">
        <f t="shared" si="94"/>
        <v>120.936363686352</v>
      </c>
      <c r="I345">
        <v>1</v>
      </c>
      <c r="J345">
        <f t="shared" si="95"/>
        <v>109.21027901127337</v>
      </c>
      <c r="K345">
        <f t="shared" si="96"/>
        <v>1217.7991889985401</v>
      </c>
      <c r="M345">
        <v>10140.142026000001</v>
      </c>
      <c r="N345">
        <f t="shared" si="98"/>
        <v>396</v>
      </c>
      <c r="O345">
        <f t="shared" si="99"/>
        <v>397</v>
      </c>
      <c r="P345" cm="1">
        <f t="array" ref="P345">INDEX($C$2:$C$14395,$N345,0)</f>
        <v>361.18800000000005</v>
      </c>
      <c r="Q345" cm="1">
        <f t="array" ref="Q345">INDEX($C$2:$C$14395,$O345,0)</f>
        <v>0</v>
      </c>
      <c r="R345" cm="1">
        <f t="array" ref="R345">INDEX($D$2:$D$14395,$N345,0)</f>
        <v>-1209.0989280000001</v>
      </c>
      <c r="S345" cm="1">
        <f t="array" ref="S345">INDEX($D$2:$D$14395,$O345,0)</f>
        <v>0</v>
      </c>
      <c r="T345">
        <f t="shared" si="100"/>
        <v>-33944.745820471195</v>
      </c>
      <c r="U345">
        <f t="shared" si="101"/>
        <v>3413.2290541129296</v>
      </c>
      <c r="V345">
        <f t="shared" si="102"/>
        <v>3396.5791562879886</v>
      </c>
      <c r="W345">
        <f t="shared" si="103"/>
        <v>4643.2440541129299</v>
      </c>
      <c r="X345">
        <f t="shared" si="104"/>
        <v>4810.9690541129294</v>
      </c>
      <c r="Y345">
        <f t="shared" si="105"/>
        <v>3396.5791562879886</v>
      </c>
      <c r="Z345">
        <f t="shared" si="106"/>
        <v>3067.2441773106539</v>
      </c>
      <c r="AA345">
        <f t="shared" si="107"/>
        <v>4509.49905411293</v>
      </c>
    </row>
    <row r="346" spans="1:27" x14ac:dyDescent="0.35">
      <c r="A346">
        <v>1032</v>
      </c>
      <c r="B346">
        <v>-3965.29</v>
      </c>
      <c r="C346">
        <f t="shared" si="97"/>
        <v>314.55360000000002</v>
      </c>
      <c r="D346">
        <f t="shared" si="90"/>
        <v>-1208.620392</v>
      </c>
      <c r="E346">
        <f t="shared" si="91"/>
        <v>121.52980196658002</v>
      </c>
      <c r="F346">
        <f t="shared" si="92"/>
        <v>120.93697366430401</v>
      </c>
      <c r="G346">
        <f t="shared" si="93"/>
        <v>1519.26980196658</v>
      </c>
      <c r="H346">
        <f t="shared" si="94"/>
        <v>120.93697366430401</v>
      </c>
      <c r="I346">
        <v>1</v>
      </c>
      <c r="J346">
        <f t="shared" si="95"/>
        <v>109.21082984528472</v>
      </c>
      <c r="K346">
        <f t="shared" si="96"/>
        <v>1217.7998019665799</v>
      </c>
      <c r="M346">
        <v>10162.851149999969</v>
      </c>
      <c r="N346">
        <f t="shared" si="98"/>
        <v>396</v>
      </c>
      <c r="O346">
        <f t="shared" si="99"/>
        <v>397</v>
      </c>
      <c r="P346" cm="1">
        <f t="array" ref="P346">INDEX($C$2:$C$14395,$N346,0)</f>
        <v>361.18800000000005</v>
      </c>
      <c r="Q346" cm="1">
        <f t="array" ref="Q346">INDEX($C$2:$C$14395,$O346,0)</f>
        <v>0</v>
      </c>
      <c r="R346" cm="1">
        <f t="array" ref="R346">INDEX($D$2:$D$14395,$N346,0)</f>
        <v>-1209.0989280000001</v>
      </c>
      <c r="S346" cm="1">
        <f t="array" ref="S346">INDEX($D$2:$D$14395,$O346,0)</f>
        <v>0</v>
      </c>
      <c r="T346">
        <f t="shared" si="100"/>
        <v>-34020.766002437871</v>
      </c>
      <c r="U346">
        <f t="shared" si="101"/>
        <v>3420.8730734601345</v>
      </c>
      <c r="V346">
        <f t="shared" si="102"/>
        <v>3404.1858877359391</v>
      </c>
      <c r="W346">
        <f t="shared" si="103"/>
        <v>4650.8880734601344</v>
      </c>
      <c r="X346">
        <f t="shared" si="104"/>
        <v>4818.6130734601347</v>
      </c>
      <c r="Y346">
        <f t="shared" si="105"/>
        <v>3404.1858877359391</v>
      </c>
      <c r="Z346">
        <f t="shared" si="106"/>
        <v>3074.1133541113459</v>
      </c>
      <c r="AA346">
        <f t="shared" si="107"/>
        <v>4517.1430734601345</v>
      </c>
    </row>
    <row r="347" spans="1:27" x14ac:dyDescent="0.35">
      <c r="A347">
        <v>1035</v>
      </c>
      <c r="B347">
        <v>-3965.32</v>
      </c>
      <c r="C347">
        <f t="shared" si="97"/>
        <v>315.46800000000002</v>
      </c>
      <c r="D347">
        <f t="shared" si="90"/>
        <v>-1208.6295360000001</v>
      </c>
      <c r="E347">
        <f t="shared" si="91"/>
        <v>121.53072141864004</v>
      </c>
      <c r="F347">
        <f t="shared" si="92"/>
        <v>120.93788863123201</v>
      </c>
      <c r="G347">
        <f t="shared" si="93"/>
        <v>1519.2707214186401</v>
      </c>
      <c r="H347">
        <f t="shared" si="94"/>
        <v>120.93788863123201</v>
      </c>
      <c r="I347">
        <v>1</v>
      </c>
      <c r="J347">
        <f t="shared" si="95"/>
        <v>109.21165609630178</v>
      </c>
      <c r="K347">
        <f t="shared" si="96"/>
        <v>1217.80072141864</v>
      </c>
      <c r="M347">
        <v>10185.560273999999</v>
      </c>
      <c r="N347">
        <f t="shared" si="98"/>
        <v>396</v>
      </c>
      <c r="O347">
        <f t="shared" si="99"/>
        <v>397</v>
      </c>
      <c r="P347" cm="1">
        <f t="array" ref="P347">INDEX($C$2:$C$14395,$N347,0)</f>
        <v>361.18800000000005</v>
      </c>
      <c r="Q347" cm="1">
        <f t="array" ref="Q347">INDEX($C$2:$C$14395,$O347,0)</f>
        <v>0</v>
      </c>
      <c r="R347" cm="1">
        <f t="array" ref="R347">INDEX($D$2:$D$14395,$N347,0)</f>
        <v>-1209.0989280000001</v>
      </c>
      <c r="S347" cm="1">
        <f t="array" ref="S347">INDEX($D$2:$D$14395,$O347,0)</f>
        <v>0</v>
      </c>
      <c r="T347">
        <f t="shared" si="100"/>
        <v>-34096.786184404758</v>
      </c>
      <c r="U347">
        <f t="shared" si="101"/>
        <v>3428.5170928073599</v>
      </c>
      <c r="V347">
        <f t="shared" si="102"/>
        <v>3411.7926191839092</v>
      </c>
      <c r="W347">
        <f t="shared" si="103"/>
        <v>4658.5320928073597</v>
      </c>
      <c r="X347">
        <f t="shared" si="104"/>
        <v>4826.2570928073601</v>
      </c>
      <c r="Y347">
        <f t="shared" si="105"/>
        <v>3411.7926191839092</v>
      </c>
      <c r="Z347">
        <f t="shared" si="106"/>
        <v>3080.9825309120579</v>
      </c>
      <c r="AA347">
        <f t="shared" si="107"/>
        <v>4524.7870928073598</v>
      </c>
    </row>
    <row r="348" spans="1:27" x14ac:dyDescent="0.35">
      <c r="A348">
        <v>1038</v>
      </c>
      <c r="B348">
        <v>-3965.34</v>
      </c>
      <c r="C348">
        <f t="shared" si="97"/>
        <v>316.38240000000002</v>
      </c>
      <c r="D348">
        <f t="shared" si="90"/>
        <v>-1208.6356320000002</v>
      </c>
      <c r="E348">
        <f t="shared" si="91"/>
        <v>121.53133438668002</v>
      </c>
      <c r="F348">
        <f t="shared" si="92"/>
        <v>120.93849860918402</v>
      </c>
      <c r="G348">
        <f t="shared" si="93"/>
        <v>1519.2713343866801</v>
      </c>
      <c r="H348">
        <f t="shared" si="94"/>
        <v>120.93849860918402</v>
      </c>
      <c r="I348">
        <v>1</v>
      </c>
      <c r="J348">
        <f t="shared" si="95"/>
        <v>109.21220693031314</v>
      </c>
      <c r="K348">
        <f t="shared" si="96"/>
        <v>1217.8013343866801</v>
      </c>
      <c r="M348">
        <v>10208.269398000029</v>
      </c>
      <c r="N348">
        <f t="shared" si="98"/>
        <v>396</v>
      </c>
      <c r="O348">
        <f t="shared" si="99"/>
        <v>397</v>
      </c>
      <c r="P348" cm="1">
        <f t="array" ref="P348">INDEX($C$2:$C$14395,$N348,0)</f>
        <v>361.18800000000005</v>
      </c>
      <c r="Q348" cm="1">
        <f t="array" ref="Q348">INDEX($C$2:$C$14395,$O348,0)</f>
        <v>0</v>
      </c>
      <c r="R348" cm="1">
        <f t="array" ref="R348">INDEX($D$2:$D$14395,$N348,0)</f>
        <v>-1209.0989280000001</v>
      </c>
      <c r="S348" cm="1">
        <f t="array" ref="S348">INDEX($D$2:$D$14395,$O348,0)</f>
        <v>0</v>
      </c>
      <c r="T348">
        <f t="shared" si="100"/>
        <v>-34172.806366371646</v>
      </c>
      <c r="U348">
        <f t="shared" si="101"/>
        <v>3436.1611121545852</v>
      </c>
      <c r="V348">
        <f t="shared" si="102"/>
        <v>3419.3993506318802</v>
      </c>
      <c r="W348">
        <f t="shared" si="103"/>
        <v>4666.1761121545851</v>
      </c>
      <c r="X348">
        <f t="shared" si="104"/>
        <v>4833.9011121545855</v>
      </c>
      <c r="Y348">
        <f t="shared" si="105"/>
        <v>3419.3993506318802</v>
      </c>
      <c r="Z348">
        <f t="shared" si="106"/>
        <v>3087.851707712769</v>
      </c>
      <c r="AA348">
        <f t="shared" si="107"/>
        <v>4532.4311121545852</v>
      </c>
    </row>
    <row r="349" spans="1:27" x14ac:dyDescent="0.35">
      <c r="A349">
        <v>1041</v>
      </c>
      <c r="B349">
        <v>-3965.36</v>
      </c>
      <c r="C349">
        <f t="shared" si="97"/>
        <v>317.29680000000002</v>
      </c>
      <c r="D349">
        <f t="shared" si="90"/>
        <v>-1208.6417280000001</v>
      </c>
      <c r="E349">
        <f t="shared" si="91"/>
        <v>121.53194735472002</v>
      </c>
      <c r="F349">
        <f t="shared" si="92"/>
        <v>120.939108587136</v>
      </c>
      <c r="G349">
        <f t="shared" si="93"/>
        <v>1519.2719473547199</v>
      </c>
      <c r="H349">
        <f t="shared" si="94"/>
        <v>120.939108587136</v>
      </c>
      <c r="I349">
        <v>1</v>
      </c>
      <c r="J349">
        <f t="shared" si="95"/>
        <v>109.21275776432451</v>
      </c>
      <c r="K349">
        <f t="shared" si="96"/>
        <v>1217.8019473547199</v>
      </c>
      <c r="M349">
        <v>10238.673960000031</v>
      </c>
      <c r="N349">
        <f t="shared" si="98"/>
        <v>396</v>
      </c>
      <c r="O349">
        <f t="shared" si="99"/>
        <v>397</v>
      </c>
      <c r="P349" cm="1">
        <f t="array" ref="P349">INDEX($C$2:$C$14395,$N349,0)</f>
        <v>361.18800000000005</v>
      </c>
      <c r="Q349" cm="1">
        <f t="array" ref="Q349">INDEX($C$2:$C$14395,$O349,0)</f>
        <v>0</v>
      </c>
      <c r="R349" cm="1">
        <f t="array" ref="R349">INDEX($D$2:$D$14395,$N349,0)</f>
        <v>-1209.0989280000001</v>
      </c>
      <c r="S349" cm="1">
        <f t="array" ref="S349">INDEX($D$2:$D$14395,$O349,0)</f>
        <v>0</v>
      </c>
      <c r="T349">
        <f t="shared" si="100"/>
        <v>-34274.587497861372</v>
      </c>
      <c r="U349">
        <f t="shared" si="101"/>
        <v>3446.3954593787057</v>
      </c>
      <c r="V349">
        <f t="shared" si="102"/>
        <v>3429.5837742110043</v>
      </c>
      <c r="W349">
        <f t="shared" si="103"/>
        <v>4676.410459378706</v>
      </c>
      <c r="X349">
        <f t="shared" si="104"/>
        <v>4844.1354593787055</v>
      </c>
      <c r="Y349">
        <f t="shared" si="105"/>
        <v>3429.5837742110043</v>
      </c>
      <c r="Z349">
        <f t="shared" si="106"/>
        <v>3097.048641593879</v>
      </c>
      <c r="AA349">
        <f t="shared" si="107"/>
        <v>4542.6654593787061</v>
      </c>
    </row>
    <row r="350" spans="1:27" x14ac:dyDescent="0.35">
      <c r="A350">
        <v>1044</v>
      </c>
      <c r="B350">
        <v>-3965.38</v>
      </c>
      <c r="C350">
        <f t="shared" si="97"/>
        <v>318.21120000000002</v>
      </c>
      <c r="D350">
        <f t="shared" si="90"/>
        <v>-1208.6478240000001</v>
      </c>
      <c r="E350">
        <f t="shared" si="91"/>
        <v>121.53256032276003</v>
      </c>
      <c r="F350">
        <f t="shared" si="92"/>
        <v>120.93971856508803</v>
      </c>
      <c r="G350">
        <f t="shared" si="93"/>
        <v>1519.27256032276</v>
      </c>
      <c r="H350">
        <f t="shared" si="94"/>
        <v>120.93971856508803</v>
      </c>
      <c r="I350">
        <v>1</v>
      </c>
      <c r="J350">
        <f t="shared" si="95"/>
        <v>109.21330859833586</v>
      </c>
      <c r="K350">
        <f t="shared" si="96"/>
        <v>1217.80256032276</v>
      </c>
      <c r="M350">
        <v>10276.773960000031</v>
      </c>
      <c r="N350">
        <f t="shared" si="98"/>
        <v>396</v>
      </c>
      <c r="O350">
        <f t="shared" si="99"/>
        <v>397</v>
      </c>
      <c r="P350" cm="1">
        <f t="array" ref="P350">INDEX($C$2:$C$14395,$N350,0)</f>
        <v>361.18800000000005</v>
      </c>
      <c r="Q350" cm="1">
        <f t="array" ref="Q350">INDEX($C$2:$C$14395,$O350,0)</f>
        <v>0</v>
      </c>
      <c r="R350" cm="1">
        <f t="array" ref="R350">INDEX($D$2:$D$14395,$N350,0)</f>
        <v>-1209.0989280000001</v>
      </c>
      <c r="S350" cm="1">
        <f t="array" ref="S350">INDEX($D$2:$D$14395,$O350,0)</f>
        <v>0</v>
      </c>
      <c r="T350">
        <f t="shared" si="100"/>
        <v>-34402.129578874032</v>
      </c>
      <c r="U350">
        <f t="shared" si="101"/>
        <v>3459.2201344797313</v>
      </c>
      <c r="V350">
        <f t="shared" si="102"/>
        <v>3442.3458899212937</v>
      </c>
      <c r="W350">
        <f t="shared" si="103"/>
        <v>4689.2351344797316</v>
      </c>
      <c r="X350">
        <f t="shared" si="104"/>
        <v>4856.9601344797311</v>
      </c>
      <c r="Y350">
        <f t="shared" si="105"/>
        <v>3442.3458899212937</v>
      </c>
      <c r="Z350">
        <f t="shared" si="106"/>
        <v>3108.5733325553961</v>
      </c>
      <c r="AA350">
        <f t="shared" si="107"/>
        <v>4555.4901344797308</v>
      </c>
    </row>
    <row r="351" spans="1:27" x14ac:dyDescent="0.35">
      <c r="A351">
        <v>1047</v>
      </c>
      <c r="B351">
        <v>-3965.41</v>
      </c>
      <c r="C351">
        <f t="shared" si="97"/>
        <v>319.12560000000002</v>
      </c>
      <c r="D351">
        <f t="shared" si="90"/>
        <v>-1208.656968</v>
      </c>
      <c r="E351">
        <f t="shared" si="91"/>
        <v>121.53347977482002</v>
      </c>
      <c r="F351">
        <f t="shared" si="92"/>
        <v>120.94063353201602</v>
      </c>
      <c r="G351">
        <f t="shared" si="93"/>
        <v>1519.2734797748201</v>
      </c>
      <c r="H351">
        <f t="shared" si="94"/>
        <v>120.94063353201602</v>
      </c>
      <c r="I351">
        <v>1</v>
      </c>
      <c r="J351">
        <f t="shared" si="95"/>
        <v>109.21413484935289</v>
      </c>
      <c r="K351">
        <f t="shared" si="96"/>
        <v>1217.8034797748201</v>
      </c>
      <c r="M351">
        <v>10314.87396000003</v>
      </c>
      <c r="N351">
        <f t="shared" si="98"/>
        <v>396</v>
      </c>
      <c r="O351">
        <f t="shared" si="99"/>
        <v>397</v>
      </c>
      <c r="P351" cm="1">
        <f t="array" ref="P351">INDEX($C$2:$C$14395,$N351,0)</f>
        <v>361.18800000000005</v>
      </c>
      <c r="Q351" cm="1">
        <f t="array" ref="Q351">INDEX($C$2:$C$14395,$O351,0)</f>
        <v>0</v>
      </c>
      <c r="R351" cm="1">
        <f t="array" ref="R351">INDEX($D$2:$D$14395,$N351,0)</f>
        <v>-1209.0989280000001</v>
      </c>
      <c r="S351" cm="1">
        <f t="array" ref="S351">INDEX($D$2:$D$14395,$O351,0)</f>
        <v>0</v>
      </c>
      <c r="T351">
        <f t="shared" si="100"/>
        <v>-34529.671659886684</v>
      </c>
      <c r="U351">
        <f t="shared" si="101"/>
        <v>3472.044809580756</v>
      </c>
      <c r="V351">
        <f t="shared" si="102"/>
        <v>3455.1080056315814</v>
      </c>
      <c r="W351">
        <f t="shared" si="103"/>
        <v>4702.0598095807563</v>
      </c>
      <c r="X351">
        <f t="shared" si="104"/>
        <v>4869.7848095807558</v>
      </c>
      <c r="Y351">
        <f t="shared" si="105"/>
        <v>3455.1080056315814</v>
      </c>
      <c r="Z351">
        <f t="shared" si="106"/>
        <v>3120.0980235169118</v>
      </c>
      <c r="AA351">
        <f t="shared" si="107"/>
        <v>4568.3148095807555</v>
      </c>
    </row>
    <row r="352" spans="1:27" x14ac:dyDescent="0.35">
      <c r="A352">
        <v>1050</v>
      </c>
      <c r="B352">
        <v>-3965.44</v>
      </c>
      <c r="C352">
        <f t="shared" si="97"/>
        <v>320.04000000000002</v>
      </c>
      <c r="D352">
        <f t="shared" si="90"/>
        <v>-1208.6661120000001</v>
      </c>
      <c r="E352">
        <f t="shared" si="91"/>
        <v>121.53439922688</v>
      </c>
      <c r="F352">
        <f t="shared" si="92"/>
        <v>120.941548498944</v>
      </c>
      <c r="G352">
        <f t="shared" si="93"/>
        <v>1519.27439922688</v>
      </c>
      <c r="H352">
        <f t="shared" si="94"/>
        <v>120.941548498944</v>
      </c>
      <c r="I352">
        <v>1</v>
      </c>
      <c r="J352">
        <f t="shared" si="95"/>
        <v>109.21496110036995</v>
      </c>
      <c r="K352">
        <f t="shared" si="96"/>
        <v>1217.8043992268799</v>
      </c>
      <c r="M352">
        <v>10352.97396000003</v>
      </c>
      <c r="N352">
        <f t="shared" si="98"/>
        <v>396</v>
      </c>
      <c r="O352">
        <f t="shared" si="99"/>
        <v>397</v>
      </c>
      <c r="P352" cm="1">
        <f t="array" ref="P352">INDEX($C$2:$C$14395,$N352,0)</f>
        <v>361.18800000000005</v>
      </c>
      <c r="Q352" cm="1">
        <f t="array" ref="Q352">INDEX($C$2:$C$14395,$O352,0)</f>
        <v>0</v>
      </c>
      <c r="R352" cm="1">
        <f t="array" ref="R352">INDEX($D$2:$D$14395,$N352,0)</f>
        <v>-1209.0989280000001</v>
      </c>
      <c r="S352" cm="1">
        <f t="array" ref="S352">INDEX($D$2:$D$14395,$O352,0)</f>
        <v>0</v>
      </c>
      <c r="T352">
        <f t="shared" si="100"/>
        <v>-34657.213740899344</v>
      </c>
      <c r="U352">
        <f t="shared" si="101"/>
        <v>3484.8694846817816</v>
      </c>
      <c r="V352">
        <f t="shared" si="102"/>
        <v>3467.8701213418699</v>
      </c>
      <c r="W352">
        <f t="shared" si="103"/>
        <v>4714.8844846817819</v>
      </c>
      <c r="X352">
        <f t="shared" si="104"/>
        <v>4882.6094846817814</v>
      </c>
      <c r="Y352">
        <f t="shared" si="105"/>
        <v>3467.8701213418699</v>
      </c>
      <c r="Z352">
        <f t="shared" si="106"/>
        <v>3131.6227144784284</v>
      </c>
      <c r="AA352">
        <f t="shared" si="107"/>
        <v>4581.1394846817821</v>
      </c>
    </row>
    <row r="353" spans="1:27" x14ac:dyDescent="0.35">
      <c r="A353">
        <v>1053</v>
      </c>
      <c r="B353">
        <v>-3965.48</v>
      </c>
      <c r="C353">
        <f t="shared" si="97"/>
        <v>320.95440000000002</v>
      </c>
      <c r="D353">
        <f t="shared" si="90"/>
        <v>-1208.678304</v>
      </c>
      <c r="E353">
        <f t="shared" si="91"/>
        <v>121.53562516296002</v>
      </c>
      <c r="F353">
        <f t="shared" si="92"/>
        <v>120.94276845484801</v>
      </c>
      <c r="G353">
        <f t="shared" si="93"/>
        <v>1519.2756251629601</v>
      </c>
      <c r="H353">
        <f t="shared" si="94"/>
        <v>120.94276845484801</v>
      </c>
      <c r="I353">
        <v>1</v>
      </c>
      <c r="J353">
        <f t="shared" si="95"/>
        <v>109.21606276839266</v>
      </c>
      <c r="K353">
        <f t="shared" si="96"/>
        <v>1217.80562516296</v>
      </c>
      <c r="M353">
        <v>10391.073960000031</v>
      </c>
      <c r="N353">
        <f t="shared" si="98"/>
        <v>396</v>
      </c>
      <c r="O353">
        <f t="shared" si="99"/>
        <v>397</v>
      </c>
      <c r="P353" cm="1">
        <f t="array" ref="P353">INDEX($C$2:$C$14395,$N353,0)</f>
        <v>361.18800000000005</v>
      </c>
      <c r="Q353" cm="1">
        <f t="array" ref="Q353">INDEX($C$2:$C$14395,$O353,0)</f>
        <v>0</v>
      </c>
      <c r="R353" cm="1">
        <f t="array" ref="R353">INDEX($D$2:$D$14395,$N353,0)</f>
        <v>-1209.0989280000001</v>
      </c>
      <c r="S353" cm="1">
        <f t="array" ref="S353">INDEX($D$2:$D$14395,$O353,0)</f>
        <v>0</v>
      </c>
      <c r="T353">
        <f t="shared" si="100"/>
        <v>-34784.755821912004</v>
      </c>
      <c r="U353">
        <f t="shared" si="101"/>
        <v>3497.6941597828072</v>
      </c>
      <c r="V353">
        <f t="shared" si="102"/>
        <v>3480.6322370521593</v>
      </c>
      <c r="W353">
        <f t="shared" si="103"/>
        <v>4727.7091597828075</v>
      </c>
      <c r="X353">
        <f t="shared" si="104"/>
        <v>4895.434159782807</v>
      </c>
      <c r="Y353">
        <f t="shared" si="105"/>
        <v>3480.6322370521593</v>
      </c>
      <c r="Z353">
        <f t="shared" si="106"/>
        <v>3143.147405439945</v>
      </c>
      <c r="AA353">
        <f t="shared" si="107"/>
        <v>4593.9641597828067</v>
      </c>
    </row>
    <row r="354" spans="1:27" x14ac:dyDescent="0.35">
      <c r="A354">
        <v>1056</v>
      </c>
      <c r="B354">
        <v>-3965.52</v>
      </c>
      <c r="C354">
        <f t="shared" si="97"/>
        <v>321.86880000000002</v>
      </c>
      <c r="D354">
        <f t="shared" si="90"/>
        <v>-1208.6904960000002</v>
      </c>
      <c r="E354">
        <f t="shared" si="91"/>
        <v>121.53685109904002</v>
      </c>
      <c r="F354">
        <f t="shared" si="92"/>
        <v>120.94398841075203</v>
      </c>
      <c r="G354">
        <f t="shared" si="93"/>
        <v>1519.27685109904</v>
      </c>
      <c r="H354">
        <f t="shared" si="94"/>
        <v>120.94398841075203</v>
      </c>
      <c r="I354">
        <v>1</v>
      </c>
      <c r="J354">
        <f t="shared" si="95"/>
        <v>109.2171644364154</v>
      </c>
      <c r="K354">
        <f t="shared" si="96"/>
        <v>1217.8068510990399</v>
      </c>
      <c r="M354">
        <v>10429.173960000031</v>
      </c>
      <c r="N354">
        <f t="shared" si="98"/>
        <v>396</v>
      </c>
      <c r="O354">
        <f t="shared" si="99"/>
        <v>397</v>
      </c>
      <c r="P354" cm="1">
        <f t="array" ref="P354">INDEX($C$2:$C$14395,$N354,0)</f>
        <v>361.18800000000005</v>
      </c>
      <c r="Q354" cm="1">
        <f t="array" ref="Q354">INDEX($C$2:$C$14395,$O354,0)</f>
        <v>0</v>
      </c>
      <c r="R354" cm="1">
        <f t="array" ref="R354">INDEX($D$2:$D$14395,$N354,0)</f>
        <v>-1209.0989280000001</v>
      </c>
      <c r="S354" cm="1">
        <f t="array" ref="S354">INDEX($D$2:$D$14395,$O354,0)</f>
        <v>0</v>
      </c>
      <c r="T354">
        <f t="shared" si="100"/>
        <v>-34912.297902924664</v>
      </c>
      <c r="U354">
        <f t="shared" si="101"/>
        <v>3510.5188348838324</v>
      </c>
      <c r="V354">
        <f t="shared" si="102"/>
        <v>3493.3943527624474</v>
      </c>
      <c r="W354">
        <f t="shared" si="103"/>
        <v>4740.5338348838322</v>
      </c>
      <c r="X354">
        <f t="shared" si="104"/>
        <v>4908.2588348838326</v>
      </c>
      <c r="Y354">
        <f t="shared" si="105"/>
        <v>3493.3943527624474</v>
      </c>
      <c r="Z354">
        <f t="shared" si="106"/>
        <v>3154.6720964014612</v>
      </c>
      <c r="AA354">
        <f t="shared" si="107"/>
        <v>4606.7888348838324</v>
      </c>
    </row>
    <row r="355" spans="1:27" x14ac:dyDescent="0.35">
      <c r="A355">
        <v>1059</v>
      </c>
      <c r="B355">
        <v>-3965.57</v>
      </c>
      <c r="C355">
        <f t="shared" si="97"/>
        <v>322.78320000000002</v>
      </c>
      <c r="D355">
        <f t="shared" si="90"/>
        <v>-1208.7057360000001</v>
      </c>
      <c r="E355">
        <f t="shared" si="91"/>
        <v>121.53838351914004</v>
      </c>
      <c r="F355">
        <f t="shared" si="92"/>
        <v>120.94551335563203</v>
      </c>
      <c r="G355">
        <f t="shared" si="93"/>
        <v>1519.2783835191401</v>
      </c>
      <c r="H355">
        <f t="shared" si="94"/>
        <v>120.94551335563203</v>
      </c>
      <c r="I355">
        <v>1</v>
      </c>
      <c r="J355">
        <f t="shared" si="95"/>
        <v>109.21854152144378</v>
      </c>
      <c r="K355">
        <f t="shared" si="96"/>
        <v>1217.8083835191401</v>
      </c>
      <c r="M355">
        <v>10467.273960000031</v>
      </c>
      <c r="N355">
        <f t="shared" si="98"/>
        <v>396</v>
      </c>
      <c r="O355">
        <f t="shared" si="99"/>
        <v>397</v>
      </c>
      <c r="P355" cm="1">
        <f t="array" ref="P355">INDEX($C$2:$C$14395,$N355,0)</f>
        <v>361.18800000000005</v>
      </c>
      <c r="Q355" cm="1">
        <f t="array" ref="Q355">INDEX($C$2:$C$14395,$O355,0)</f>
        <v>0</v>
      </c>
      <c r="R355" cm="1">
        <f t="array" ref="R355">INDEX($D$2:$D$14395,$N355,0)</f>
        <v>-1209.0989280000001</v>
      </c>
      <c r="S355" cm="1">
        <f t="array" ref="S355">INDEX($D$2:$D$14395,$O355,0)</f>
        <v>0</v>
      </c>
      <c r="T355">
        <f t="shared" si="100"/>
        <v>-35039.839983937323</v>
      </c>
      <c r="U355">
        <f t="shared" si="101"/>
        <v>3523.343509984858</v>
      </c>
      <c r="V355">
        <f t="shared" si="102"/>
        <v>3506.1564684727373</v>
      </c>
      <c r="W355">
        <f t="shared" si="103"/>
        <v>4753.3585099848578</v>
      </c>
      <c r="X355">
        <f t="shared" si="104"/>
        <v>4921.0835099848582</v>
      </c>
      <c r="Y355">
        <f t="shared" si="105"/>
        <v>3506.1564684727373</v>
      </c>
      <c r="Z355">
        <f t="shared" si="106"/>
        <v>3166.1967873629778</v>
      </c>
      <c r="AA355">
        <f t="shared" si="107"/>
        <v>4619.613509984858</v>
      </c>
    </row>
    <row r="356" spans="1:27" x14ac:dyDescent="0.35">
      <c r="A356">
        <v>1062</v>
      </c>
      <c r="B356">
        <v>-3965.61</v>
      </c>
      <c r="C356">
        <f t="shared" si="97"/>
        <v>323.69760000000002</v>
      </c>
      <c r="D356">
        <f t="shared" si="90"/>
        <v>-1208.717928</v>
      </c>
      <c r="E356">
        <f t="shared" si="91"/>
        <v>121.53960945522002</v>
      </c>
      <c r="F356">
        <f t="shared" si="92"/>
        <v>120.94673331153599</v>
      </c>
      <c r="G356">
        <f t="shared" si="93"/>
        <v>1519.27960945522</v>
      </c>
      <c r="H356">
        <f t="shared" si="94"/>
        <v>120.94673331153599</v>
      </c>
      <c r="I356">
        <v>1</v>
      </c>
      <c r="J356">
        <f t="shared" si="95"/>
        <v>109.21964318946648</v>
      </c>
      <c r="K356">
        <f t="shared" si="96"/>
        <v>1217.80960945522</v>
      </c>
      <c r="M356">
        <v>10505.37396000003</v>
      </c>
      <c r="N356">
        <f t="shared" si="98"/>
        <v>396</v>
      </c>
      <c r="O356">
        <f t="shared" si="99"/>
        <v>397</v>
      </c>
      <c r="P356" cm="1">
        <f t="array" ref="P356">INDEX($C$2:$C$14395,$N356,0)</f>
        <v>361.18800000000005</v>
      </c>
      <c r="Q356" cm="1">
        <f t="array" ref="Q356">INDEX($C$2:$C$14395,$O356,0)</f>
        <v>0</v>
      </c>
      <c r="R356" cm="1">
        <f t="array" ref="R356">INDEX($D$2:$D$14395,$N356,0)</f>
        <v>-1209.0989280000001</v>
      </c>
      <c r="S356" cm="1">
        <f t="array" ref="S356">INDEX($D$2:$D$14395,$O356,0)</f>
        <v>0</v>
      </c>
      <c r="T356">
        <f t="shared" si="100"/>
        <v>-35167.382064949976</v>
      </c>
      <c r="U356">
        <f t="shared" si="101"/>
        <v>3536.1681850858831</v>
      </c>
      <c r="V356">
        <f t="shared" si="102"/>
        <v>3518.9185841830249</v>
      </c>
      <c r="W356">
        <f t="shared" si="103"/>
        <v>4766.1831850858835</v>
      </c>
      <c r="X356">
        <f t="shared" si="104"/>
        <v>4933.9081850858829</v>
      </c>
      <c r="Y356">
        <f t="shared" si="105"/>
        <v>3518.9185841830249</v>
      </c>
      <c r="Z356">
        <f t="shared" si="106"/>
        <v>3177.7214783244945</v>
      </c>
      <c r="AA356">
        <f t="shared" si="107"/>
        <v>4632.4381850858827</v>
      </c>
    </row>
    <row r="357" spans="1:27" x14ac:dyDescent="0.35">
      <c r="A357">
        <v>1065</v>
      </c>
      <c r="B357">
        <v>-3965.65</v>
      </c>
      <c r="C357">
        <f t="shared" si="97"/>
        <v>324.61200000000002</v>
      </c>
      <c r="D357">
        <f t="shared" si="90"/>
        <v>-1208.7301200000002</v>
      </c>
      <c r="E357">
        <f t="shared" si="91"/>
        <v>121.54083539130002</v>
      </c>
      <c r="F357">
        <f t="shared" si="92"/>
        <v>120.94795326744001</v>
      </c>
      <c r="G357">
        <f t="shared" si="93"/>
        <v>1519.2808353913001</v>
      </c>
      <c r="H357">
        <f t="shared" si="94"/>
        <v>120.94795326744001</v>
      </c>
      <c r="I357">
        <v>1</v>
      </c>
      <c r="J357">
        <f t="shared" si="95"/>
        <v>109.22074485748922</v>
      </c>
      <c r="K357">
        <f t="shared" si="96"/>
        <v>1217.8108353913001</v>
      </c>
      <c r="M357">
        <v>10535.781570000032</v>
      </c>
      <c r="N357">
        <f t="shared" si="98"/>
        <v>396</v>
      </c>
      <c r="O357">
        <f t="shared" si="99"/>
        <v>397</v>
      </c>
      <c r="P357" cm="1">
        <f t="array" ref="P357">INDEX($C$2:$C$14395,$N357,0)</f>
        <v>361.18800000000005</v>
      </c>
      <c r="Q357" cm="1">
        <f t="array" ref="Q357">INDEX($C$2:$C$14395,$O357,0)</f>
        <v>0</v>
      </c>
      <c r="R357" cm="1">
        <f t="array" ref="R357">INDEX($D$2:$D$14395,$N357,0)</f>
        <v>-1209.0989280000001</v>
      </c>
      <c r="S357" cm="1">
        <f t="array" ref="S357">INDEX($D$2:$D$14395,$O357,0)</f>
        <v>0</v>
      </c>
      <c r="T357">
        <f t="shared" si="100"/>
        <v>-35269.173399806183</v>
      </c>
      <c r="U357">
        <f t="shared" si="101"/>
        <v>3546.4035582840115</v>
      </c>
      <c r="V357">
        <f t="shared" si="102"/>
        <v>3529.1040287314063</v>
      </c>
      <c r="W357">
        <f t="shared" si="103"/>
        <v>4776.4185582840119</v>
      </c>
      <c r="X357">
        <f t="shared" si="104"/>
        <v>4944.1435582840113</v>
      </c>
      <c r="Y357">
        <f t="shared" si="105"/>
        <v>3529.1040287314063</v>
      </c>
      <c r="Z357">
        <f t="shared" si="106"/>
        <v>3186.9193341808809</v>
      </c>
      <c r="AA357">
        <f t="shared" si="107"/>
        <v>4642.673558284012</v>
      </c>
    </row>
    <row r="358" spans="1:27" x14ac:dyDescent="0.35">
      <c r="A358">
        <v>1068</v>
      </c>
      <c r="B358">
        <v>-3965.68</v>
      </c>
      <c r="C358">
        <f t="shared" si="97"/>
        <v>325.52640000000002</v>
      </c>
      <c r="D358">
        <f t="shared" si="90"/>
        <v>-1208.739264</v>
      </c>
      <c r="E358">
        <f t="shared" si="91"/>
        <v>121.54175484336</v>
      </c>
      <c r="F358">
        <f t="shared" si="92"/>
        <v>120.94886823436802</v>
      </c>
      <c r="G358">
        <f t="shared" si="93"/>
        <v>1519.28175484336</v>
      </c>
      <c r="H358">
        <f t="shared" si="94"/>
        <v>120.94886823436802</v>
      </c>
      <c r="I358">
        <v>1</v>
      </c>
      <c r="J358">
        <f t="shared" si="95"/>
        <v>109.22157110850625</v>
      </c>
      <c r="K358">
        <f t="shared" si="96"/>
        <v>1217.8117548433599</v>
      </c>
      <c r="M358">
        <v>10558.496790000001</v>
      </c>
      <c r="N358">
        <f t="shared" si="98"/>
        <v>396</v>
      </c>
      <c r="O358">
        <f t="shared" si="99"/>
        <v>397</v>
      </c>
      <c r="P358" cm="1">
        <f t="array" ref="P358">INDEX($C$2:$C$14395,$N358,0)</f>
        <v>361.18800000000005</v>
      </c>
      <c r="Q358" cm="1">
        <f t="array" ref="Q358">INDEX($C$2:$C$14395,$O358,0)</f>
        <v>0</v>
      </c>
      <c r="R358" cm="1">
        <f t="array" ref="R358">INDEX($D$2:$D$14395,$N358,0)</f>
        <v>-1209.0989280000001</v>
      </c>
      <c r="S358" cm="1">
        <f t="array" ref="S358">INDEX($D$2:$D$14395,$O358,0)</f>
        <v>0</v>
      </c>
      <c r="T358">
        <f t="shared" si="100"/>
        <v>-35345.213988505828</v>
      </c>
      <c r="U358">
        <f t="shared" si="101"/>
        <v>3554.0496295792323</v>
      </c>
      <c r="V358">
        <f t="shared" si="102"/>
        <v>3536.7128021178705</v>
      </c>
      <c r="W358">
        <f t="shared" si="103"/>
        <v>4784.0646295792321</v>
      </c>
      <c r="X358">
        <f t="shared" si="104"/>
        <v>4951.7896295792325</v>
      </c>
      <c r="Y358">
        <f t="shared" si="105"/>
        <v>3536.7128021178705</v>
      </c>
      <c r="Z358">
        <f t="shared" si="106"/>
        <v>3193.7903549321277</v>
      </c>
      <c r="AA358">
        <f t="shared" si="107"/>
        <v>4650.3196295792322</v>
      </c>
    </row>
    <row r="359" spans="1:27" x14ac:dyDescent="0.35">
      <c r="A359">
        <v>1071</v>
      </c>
      <c r="B359">
        <v>-3965.73</v>
      </c>
      <c r="C359">
        <f t="shared" si="97"/>
        <v>326.44080000000002</v>
      </c>
      <c r="D359">
        <f t="shared" si="90"/>
        <v>-1208.754504</v>
      </c>
      <c r="E359">
        <f t="shared" si="91"/>
        <v>121.54328726346002</v>
      </c>
      <c r="F359">
        <f t="shared" si="92"/>
        <v>120.950393179248</v>
      </c>
      <c r="G359">
        <f t="shared" si="93"/>
        <v>1519.2832872634601</v>
      </c>
      <c r="H359">
        <f t="shared" si="94"/>
        <v>120.950393179248</v>
      </c>
      <c r="I359">
        <v>1</v>
      </c>
      <c r="J359">
        <f t="shared" si="95"/>
        <v>109.22294819353465</v>
      </c>
      <c r="K359">
        <f t="shared" si="96"/>
        <v>1217.8132872634601</v>
      </c>
      <c r="M359">
        <v>10581.21200999997</v>
      </c>
      <c r="N359">
        <f t="shared" si="98"/>
        <v>396</v>
      </c>
      <c r="O359">
        <f t="shared" si="99"/>
        <v>397</v>
      </c>
      <c r="P359" cm="1">
        <f t="array" ref="P359">INDEX($C$2:$C$14395,$N359,0)</f>
        <v>361.18800000000005</v>
      </c>
      <c r="Q359" cm="1">
        <f t="array" ref="Q359">INDEX($C$2:$C$14395,$O359,0)</f>
        <v>0</v>
      </c>
      <c r="R359" cm="1">
        <f t="array" ref="R359">INDEX($D$2:$D$14395,$N359,0)</f>
        <v>-1209.0989280000001</v>
      </c>
      <c r="S359" cm="1">
        <f t="array" ref="S359">INDEX($D$2:$D$14395,$O359,0)</f>
        <v>0</v>
      </c>
      <c r="T359">
        <f t="shared" si="100"/>
        <v>-35421.254577205473</v>
      </c>
      <c r="U359">
        <f t="shared" si="101"/>
        <v>3561.695700874453</v>
      </c>
      <c r="V359">
        <f t="shared" si="102"/>
        <v>3544.3215755043348</v>
      </c>
      <c r="W359">
        <f t="shared" si="103"/>
        <v>4791.7107008744533</v>
      </c>
      <c r="X359">
        <f t="shared" si="104"/>
        <v>4959.4357008744528</v>
      </c>
      <c r="Y359">
        <f t="shared" si="105"/>
        <v>3544.3215755043348</v>
      </c>
      <c r="Z359">
        <f t="shared" si="106"/>
        <v>3200.6613756833749</v>
      </c>
      <c r="AA359">
        <f t="shared" si="107"/>
        <v>4657.9657008744525</v>
      </c>
    </row>
    <row r="360" spans="1:27" x14ac:dyDescent="0.35">
      <c r="A360">
        <v>1074</v>
      </c>
      <c r="B360">
        <v>-3965.78</v>
      </c>
      <c r="C360">
        <f t="shared" si="97"/>
        <v>327.35520000000002</v>
      </c>
      <c r="D360">
        <f t="shared" si="90"/>
        <v>-1208.7697440000002</v>
      </c>
      <c r="E360">
        <f t="shared" si="91"/>
        <v>121.54481968356002</v>
      </c>
      <c r="F360">
        <f t="shared" si="92"/>
        <v>120.95191812412803</v>
      </c>
      <c r="G360">
        <f t="shared" si="93"/>
        <v>1519.28481968356</v>
      </c>
      <c r="H360">
        <f t="shared" si="94"/>
        <v>120.95191812412803</v>
      </c>
      <c r="I360">
        <v>1</v>
      </c>
      <c r="J360">
        <f t="shared" si="95"/>
        <v>109.22432527856306</v>
      </c>
      <c r="K360">
        <f t="shared" si="96"/>
        <v>1217.81481968356</v>
      </c>
      <c r="M360">
        <v>10603.927229999999</v>
      </c>
      <c r="N360">
        <f t="shared" si="98"/>
        <v>396</v>
      </c>
      <c r="O360">
        <f t="shared" si="99"/>
        <v>397</v>
      </c>
      <c r="P360" cm="1">
        <f t="array" ref="P360">INDEX($C$2:$C$14395,$N360,0)</f>
        <v>361.18800000000005</v>
      </c>
      <c r="Q360" cm="1">
        <f t="array" ref="Q360">INDEX($C$2:$C$14395,$O360,0)</f>
        <v>0</v>
      </c>
      <c r="R360" cm="1">
        <f t="array" ref="R360">INDEX($D$2:$D$14395,$N360,0)</f>
        <v>-1209.0989280000001</v>
      </c>
      <c r="S360" cm="1">
        <f t="array" ref="S360">INDEX($D$2:$D$14395,$O360,0)</f>
        <v>0</v>
      </c>
      <c r="T360">
        <f t="shared" si="100"/>
        <v>-35497.295165905314</v>
      </c>
      <c r="U360">
        <f t="shared" si="101"/>
        <v>3569.3417721696942</v>
      </c>
      <c r="V360">
        <f t="shared" si="102"/>
        <v>3551.9303488908176</v>
      </c>
      <c r="W360">
        <f t="shared" si="103"/>
        <v>4799.3567721696945</v>
      </c>
      <c r="X360">
        <f t="shared" si="104"/>
        <v>4967.081772169694</v>
      </c>
      <c r="Y360">
        <f t="shared" si="105"/>
        <v>3551.9303488908176</v>
      </c>
      <c r="Z360">
        <f t="shared" si="106"/>
        <v>3207.5323964346398</v>
      </c>
      <c r="AA360">
        <f t="shared" si="107"/>
        <v>4665.6117721696937</v>
      </c>
    </row>
    <row r="361" spans="1:27" x14ac:dyDescent="0.35">
      <c r="A361">
        <v>1077</v>
      </c>
      <c r="B361">
        <v>-3965.82</v>
      </c>
      <c r="C361">
        <f t="shared" si="97"/>
        <v>328.26960000000003</v>
      </c>
      <c r="D361">
        <f t="shared" si="90"/>
        <v>-1208.7819360000001</v>
      </c>
      <c r="E361">
        <f t="shared" si="91"/>
        <v>121.54604561964004</v>
      </c>
      <c r="F361">
        <f t="shared" si="92"/>
        <v>120.95313808003202</v>
      </c>
      <c r="G361">
        <f t="shared" si="93"/>
        <v>1519.2860456196399</v>
      </c>
      <c r="H361">
        <f t="shared" si="94"/>
        <v>120.95313808003202</v>
      </c>
      <c r="I361">
        <v>1</v>
      </c>
      <c r="J361">
        <f t="shared" si="95"/>
        <v>109.22542694658577</v>
      </c>
      <c r="K361">
        <f t="shared" si="96"/>
        <v>1217.8160456196401</v>
      </c>
      <c r="M361">
        <v>10630.29700199997</v>
      </c>
      <c r="N361">
        <f t="shared" si="98"/>
        <v>396</v>
      </c>
      <c r="O361">
        <f t="shared" si="99"/>
        <v>397</v>
      </c>
      <c r="P361" cm="1">
        <f t="array" ref="P361">INDEX($C$2:$C$14395,$N361,0)</f>
        <v>361.18800000000005</v>
      </c>
      <c r="Q361" cm="1">
        <f t="array" ref="Q361">INDEX($C$2:$C$14395,$O361,0)</f>
        <v>0</v>
      </c>
      <c r="R361" cm="1">
        <f t="array" ref="R361">INDEX($D$2:$D$14395,$N361,0)</f>
        <v>-1209.0989280000001</v>
      </c>
      <c r="S361" cm="1">
        <f t="array" ref="S361">INDEX($D$2:$D$14395,$O361,0)</f>
        <v>0</v>
      </c>
      <c r="T361">
        <f t="shared" si="100"/>
        <v>-35585.569591015701</v>
      </c>
      <c r="U361">
        <f t="shared" si="101"/>
        <v>3578.2179863006068</v>
      </c>
      <c r="V361">
        <f t="shared" si="102"/>
        <v>3560.7632644162131</v>
      </c>
      <c r="W361">
        <f t="shared" si="103"/>
        <v>4808.2329863006071</v>
      </c>
      <c r="X361">
        <f t="shared" si="104"/>
        <v>4975.9579863006065</v>
      </c>
      <c r="Y361">
        <f t="shared" si="105"/>
        <v>3560.7632644162131</v>
      </c>
      <c r="Z361">
        <f t="shared" si="106"/>
        <v>3215.5088655429154</v>
      </c>
      <c r="AA361">
        <f t="shared" si="107"/>
        <v>4674.4879863006063</v>
      </c>
    </row>
    <row r="362" spans="1:27" x14ac:dyDescent="0.35">
      <c r="A362">
        <v>1080</v>
      </c>
      <c r="B362">
        <v>-3965.85</v>
      </c>
      <c r="C362">
        <f t="shared" si="97"/>
        <v>329.18400000000003</v>
      </c>
      <c r="D362">
        <f t="shared" si="90"/>
        <v>-1208.79108</v>
      </c>
      <c r="E362">
        <f t="shared" si="91"/>
        <v>121.54696507170001</v>
      </c>
      <c r="F362">
        <f t="shared" si="92"/>
        <v>120.95405304696001</v>
      </c>
      <c r="G362">
        <f t="shared" si="93"/>
        <v>1519.2869650717</v>
      </c>
      <c r="H362">
        <f t="shared" si="94"/>
        <v>120.95405304696001</v>
      </c>
      <c r="I362">
        <v>1</v>
      </c>
      <c r="J362">
        <f t="shared" si="95"/>
        <v>109.2262531976028</v>
      </c>
      <c r="K362">
        <f t="shared" si="96"/>
        <v>1217.8169650717</v>
      </c>
      <c r="M362">
        <v>10660.321325999939</v>
      </c>
      <c r="N362">
        <f t="shared" si="98"/>
        <v>396</v>
      </c>
      <c r="O362">
        <f t="shared" si="99"/>
        <v>397</v>
      </c>
      <c r="P362" cm="1">
        <f t="array" ref="P362">INDEX($C$2:$C$14395,$N362,0)</f>
        <v>361.18800000000005</v>
      </c>
      <c r="Q362" cm="1">
        <f t="array" ref="Q362">INDEX($C$2:$C$14395,$O362,0)</f>
        <v>0</v>
      </c>
      <c r="R362" cm="1">
        <f t="array" ref="R362">INDEX($D$2:$D$14395,$N362,0)</f>
        <v>-1209.0989280000001</v>
      </c>
      <c r="S362" cm="1">
        <f t="array" ref="S362">INDEX($D$2:$D$14395,$O362,0)</f>
        <v>0</v>
      </c>
      <c r="T362">
        <f t="shared" si="100"/>
        <v>-35686.077852536808</v>
      </c>
      <c r="U362">
        <f t="shared" si="101"/>
        <v>3588.324343267208</v>
      </c>
      <c r="V362">
        <f t="shared" si="102"/>
        <v>3570.8203220805381</v>
      </c>
      <c r="W362">
        <f t="shared" si="103"/>
        <v>4818.3393432672083</v>
      </c>
      <c r="X362">
        <f t="shared" si="104"/>
        <v>4986.0643432672077</v>
      </c>
      <c r="Y362">
        <f t="shared" si="105"/>
        <v>3570.8203220805381</v>
      </c>
      <c r="Z362">
        <f t="shared" si="106"/>
        <v>3224.5907830082197</v>
      </c>
      <c r="AA362">
        <f t="shared" si="107"/>
        <v>4684.5943432672084</v>
      </c>
    </row>
    <row r="363" spans="1:27" x14ac:dyDescent="0.35">
      <c r="A363">
        <v>1083</v>
      </c>
      <c r="B363">
        <v>-3965.87</v>
      </c>
      <c r="C363">
        <f t="shared" si="97"/>
        <v>330.09840000000003</v>
      </c>
      <c r="D363">
        <f t="shared" si="90"/>
        <v>-1208.797176</v>
      </c>
      <c r="E363">
        <f t="shared" si="91"/>
        <v>121.54757803974</v>
      </c>
      <c r="F363">
        <f t="shared" si="92"/>
        <v>120.95466302491199</v>
      </c>
      <c r="G363">
        <f t="shared" si="93"/>
        <v>1519.2875780397401</v>
      </c>
      <c r="H363">
        <f t="shared" si="94"/>
        <v>120.95466302491199</v>
      </c>
      <c r="I363">
        <v>1</v>
      </c>
      <c r="J363">
        <f t="shared" si="95"/>
        <v>109.22680403161418</v>
      </c>
      <c r="K363">
        <f t="shared" si="96"/>
        <v>1217.8175780397401</v>
      </c>
      <c r="M363">
        <v>10694.383487999939</v>
      </c>
      <c r="N363">
        <f t="shared" si="98"/>
        <v>396</v>
      </c>
      <c r="O363">
        <f t="shared" si="99"/>
        <v>397</v>
      </c>
      <c r="P363" cm="1">
        <f t="array" ref="P363">INDEX($C$2:$C$14395,$N363,0)</f>
        <v>361.18800000000005</v>
      </c>
      <c r="Q363" cm="1">
        <f t="array" ref="Q363">INDEX($C$2:$C$14395,$O363,0)</f>
        <v>0</v>
      </c>
      <c r="R363" cm="1">
        <f t="array" ref="R363">INDEX($D$2:$D$14395,$N363,0)</f>
        <v>-1209.0989280000001</v>
      </c>
      <c r="S363" cm="1">
        <f t="array" ref="S363">INDEX($D$2:$D$14395,$O363,0)</f>
        <v>0</v>
      </c>
      <c r="T363">
        <f t="shared" si="100"/>
        <v>-35800.103023803749</v>
      </c>
      <c r="U363">
        <f t="shared" si="101"/>
        <v>3599.7898593010273</v>
      </c>
      <c r="V363">
        <f t="shared" si="102"/>
        <v>3582.2299087678512</v>
      </c>
      <c r="W363">
        <f t="shared" si="103"/>
        <v>4829.8048593010271</v>
      </c>
      <c r="X363">
        <f t="shared" si="104"/>
        <v>4997.5298593010275</v>
      </c>
      <c r="Y363">
        <f t="shared" si="105"/>
        <v>3582.2299087678512</v>
      </c>
      <c r="Z363">
        <f t="shared" si="106"/>
        <v>3234.8940872216349</v>
      </c>
      <c r="AA363">
        <f t="shared" si="107"/>
        <v>4696.0598593010272</v>
      </c>
    </row>
    <row r="364" spans="1:27" x14ac:dyDescent="0.35">
      <c r="A364">
        <v>1086</v>
      </c>
      <c r="B364">
        <v>-3965.89</v>
      </c>
      <c r="C364">
        <f t="shared" si="97"/>
        <v>331.01280000000003</v>
      </c>
      <c r="D364">
        <f t="shared" si="90"/>
        <v>-1208.8032720000001</v>
      </c>
      <c r="E364">
        <f t="shared" si="91"/>
        <v>121.54819100778002</v>
      </c>
      <c r="F364">
        <f t="shared" si="92"/>
        <v>120.95527300286403</v>
      </c>
      <c r="G364">
        <f t="shared" si="93"/>
        <v>1519.2881910077799</v>
      </c>
      <c r="H364">
        <f t="shared" si="94"/>
        <v>120.95527300286403</v>
      </c>
      <c r="I364">
        <v>1</v>
      </c>
      <c r="J364">
        <f t="shared" si="95"/>
        <v>109.22735486562554</v>
      </c>
      <c r="K364">
        <f t="shared" si="96"/>
        <v>1217.8181910077801</v>
      </c>
      <c r="M364">
        <v>10732.48348799994</v>
      </c>
      <c r="N364">
        <f t="shared" si="98"/>
        <v>396</v>
      </c>
      <c r="O364">
        <f t="shared" si="99"/>
        <v>397</v>
      </c>
      <c r="P364" cm="1">
        <f t="array" ref="P364">INDEX($C$2:$C$14395,$N364,0)</f>
        <v>361.18800000000005</v>
      </c>
      <c r="Q364" cm="1">
        <f t="array" ref="Q364">INDEX($C$2:$C$14395,$O364,0)</f>
        <v>0</v>
      </c>
      <c r="R364" cm="1">
        <f t="array" ref="R364">INDEX($D$2:$D$14395,$N364,0)</f>
        <v>-1209.0989280000001</v>
      </c>
      <c r="S364" cm="1">
        <f t="array" ref="S364">INDEX($D$2:$D$14395,$O364,0)</f>
        <v>0</v>
      </c>
      <c r="T364">
        <f t="shared" si="100"/>
        <v>-35927.645104816409</v>
      </c>
      <c r="U364">
        <f t="shared" si="101"/>
        <v>3612.614534402052</v>
      </c>
      <c r="V364">
        <f t="shared" si="102"/>
        <v>3594.9920244781397</v>
      </c>
      <c r="W364">
        <f t="shared" si="103"/>
        <v>4842.6295344020518</v>
      </c>
      <c r="X364">
        <f t="shared" si="104"/>
        <v>5010.3545344020522</v>
      </c>
      <c r="Y364">
        <f t="shared" si="105"/>
        <v>3594.9920244781397</v>
      </c>
      <c r="Z364">
        <f t="shared" si="106"/>
        <v>3246.4187781831515</v>
      </c>
      <c r="AA364">
        <f t="shared" si="107"/>
        <v>4708.8845344020519</v>
      </c>
    </row>
    <row r="365" spans="1:27" x14ac:dyDescent="0.35">
      <c r="A365">
        <v>1089</v>
      </c>
      <c r="B365">
        <v>-3965.91</v>
      </c>
      <c r="C365">
        <f t="shared" si="97"/>
        <v>331.92720000000003</v>
      </c>
      <c r="D365">
        <f t="shared" si="90"/>
        <v>-1208.8093679999999</v>
      </c>
      <c r="E365">
        <f t="shared" si="91"/>
        <v>121.54880397581998</v>
      </c>
      <c r="F365">
        <f t="shared" si="92"/>
        <v>120.95588298081599</v>
      </c>
      <c r="G365">
        <f t="shared" si="93"/>
        <v>1519.28880397582</v>
      </c>
      <c r="H365">
        <f t="shared" si="94"/>
        <v>120.95588298081599</v>
      </c>
      <c r="I365">
        <v>1</v>
      </c>
      <c r="J365">
        <f t="shared" si="95"/>
        <v>109.22790569963688</v>
      </c>
      <c r="K365">
        <f t="shared" si="96"/>
        <v>1217.8188039758199</v>
      </c>
      <c r="M365">
        <v>10770.58348799994</v>
      </c>
      <c r="N365">
        <f t="shared" si="98"/>
        <v>396</v>
      </c>
      <c r="O365">
        <f t="shared" si="99"/>
        <v>397</v>
      </c>
      <c r="P365" cm="1">
        <f t="array" ref="P365">INDEX($C$2:$C$14395,$N365,0)</f>
        <v>361.18800000000005</v>
      </c>
      <c r="Q365" cm="1">
        <f t="array" ref="Q365">INDEX($C$2:$C$14395,$O365,0)</f>
        <v>0</v>
      </c>
      <c r="R365" cm="1">
        <f t="array" ref="R365">INDEX($D$2:$D$14395,$N365,0)</f>
        <v>-1209.0989280000001</v>
      </c>
      <c r="S365" cm="1">
        <f t="array" ref="S365">INDEX($D$2:$D$14395,$O365,0)</f>
        <v>0</v>
      </c>
      <c r="T365">
        <f t="shared" si="100"/>
        <v>-36055.187185829069</v>
      </c>
      <c r="U365">
        <f t="shared" si="101"/>
        <v>3625.439209503078</v>
      </c>
      <c r="V365">
        <f t="shared" si="102"/>
        <v>3607.7541401884282</v>
      </c>
      <c r="W365">
        <f t="shared" si="103"/>
        <v>4855.4542095030783</v>
      </c>
      <c r="X365">
        <f t="shared" si="104"/>
        <v>5023.1792095030778</v>
      </c>
      <c r="Y365">
        <f t="shared" si="105"/>
        <v>3607.7541401884282</v>
      </c>
      <c r="Z365">
        <f t="shared" si="106"/>
        <v>3257.9434691446681</v>
      </c>
      <c r="AA365">
        <f t="shared" si="107"/>
        <v>4721.7092095030785</v>
      </c>
    </row>
    <row r="366" spans="1:27" x14ac:dyDescent="0.35">
      <c r="A366">
        <v>1092</v>
      </c>
      <c r="B366">
        <v>-3965.94</v>
      </c>
      <c r="C366">
        <f t="shared" si="97"/>
        <v>332.84160000000003</v>
      </c>
      <c r="D366">
        <f t="shared" si="90"/>
        <v>-1208.8185120000001</v>
      </c>
      <c r="E366">
        <f t="shared" si="91"/>
        <v>121.54972342788</v>
      </c>
      <c r="F366">
        <f t="shared" si="92"/>
        <v>120.95679794774401</v>
      </c>
      <c r="G366">
        <f t="shared" si="93"/>
        <v>1519.2897234278801</v>
      </c>
      <c r="H366">
        <f t="shared" si="94"/>
        <v>120.95679794774401</v>
      </c>
      <c r="I366">
        <v>1</v>
      </c>
      <c r="J366">
        <f t="shared" si="95"/>
        <v>109.22873195065394</v>
      </c>
      <c r="K366">
        <f t="shared" si="96"/>
        <v>1217.81972342788</v>
      </c>
      <c r="M366">
        <v>10808.683487999941</v>
      </c>
      <c r="N366">
        <f t="shared" si="98"/>
        <v>396</v>
      </c>
      <c r="O366">
        <f t="shared" si="99"/>
        <v>397</v>
      </c>
      <c r="P366" cm="1">
        <f t="array" ref="P366">INDEX($C$2:$C$14395,$N366,0)</f>
        <v>361.18800000000005</v>
      </c>
      <c r="Q366" cm="1">
        <f t="array" ref="Q366">INDEX($C$2:$C$14395,$O366,0)</f>
        <v>0</v>
      </c>
      <c r="R366" cm="1">
        <f t="array" ref="R366">INDEX($D$2:$D$14395,$N366,0)</f>
        <v>-1209.0989280000001</v>
      </c>
      <c r="S366" cm="1">
        <f t="array" ref="S366">INDEX($D$2:$D$14395,$O366,0)</f>
        <v>0</v>
      </c>
      <c r="T366">
        <f t="shared" si="100"/>
        <v>-36182.729266841721</v>
      </c>
      <c r="U366">
        <f t="shared" si="101"/>
        <v>3638.2638846041023</v>
      </c>
      <c r="V366">
        <f t="shared" si="102"/>
        <v>3620.5162558987172</v>
      </c>
      <c r="W366">
        <f t="shared" si="103"/>
        <v>4868.2788846041021</v>
      </c>
      <c r="X366">
        <f t="shared" si="104"/>
        <v>5036.0038846041025</v>
      </c>
      <c r="Y366">
        <f t="shared" si="105"/>
        <v>3620.5162558987172</v>
      </c>
      <c r="Z366">
        <f t="shared" si="106"/>
        <v>3269.4681601061839</v>
      </c>
      <c r="AA366">
        <f t="shared" si="107"/>
        <v>4734.5338846041022</v>
      </c>
    </row>
    <row r="367" spans="1:27" x14ac:dyDescent="0.35">
      <c r="A367">
        <v>1095</v>
      </c>
      <c r="B367">
        <v>-3965.98</v>
      </c>
      <c r="C367">
        <f t="shared" si="97"/>
        <v>333.75600000000003</v>
      </c>
      <c r="D367">
        <f t="shared" si="90"/>
        <v>-1208.830704</v>
      </c>
      <c r="E367">
        <f t="shared" si="91"/>
        <v>121.55094936396002</v>
      </c>
      <c r="F367">
        <f t="shared" si="92"/>
        <v>120.958017903648</v>
      </c>
      <c r="G367">
        <f t="shared" si="93"/>
        <v>1519.29094936396</v>
      </c>
      <c r="H367">
        <f t="shared" si="94"/>
        <v>120.958017903648</v>
      </c>
      <c r="I367">
        <v>1</v>
      </c>
      <c r="J367">
        <f t="shared" si="95"/>
        <v>109.22983361867666</v>
      </c>
      <c r="K367">
        <f t="shared" si="96"/>
        <v>1217.8209493639599</v>
      </c>
      <c r="M367">
        <v>10846.783487999939</v>
      </c>
      <c r="N367">
        <f t="shared" si="98"/>
        <v>396</v>
      </c>
      <c r="O367">
        <f t="shared" si="99"/>
        <v>397</v>
      </c>
      <c r="P367" cm="1">
        <f t="array" ref="P367">INDEX($C$2:$C$14395,$N367,0)</f>
        <v>361.18800000000005</v>
      </c>
      <c r="Q367" cm="1">
        <f t="array" ref="Q367">INDEX($C$2:$C$14395,$O367,0)</f>
        <v>0</v>
      </c>
      <c r="R367" cm="1">
        <f t="array" ref="R367">INDEX($D$2:$D$14395,$N367,0)</f>
        <v>-1209.0989280000001</v>
      </c>
      <c r="S367" cm="1">
        <f t="array" ref="S367">INDEX($D$2:$D$14395,$O367,0)</f>
        <v>0</v>
      </c>
      <c r="T367">
        <f t="shared" si="100"/>
        <v>-36310.271347854381</v>
      </c>
      <c r="U367">
        <f t="shared" si="101"/>
        <v>3651.0885597051279</v>
      </c>
      <c r="V367">
        <f t="shared" si="102"/>
        <v>3633.2783716090053</v>
      </c>
      <c r="W367">
        <f t="shared" si="103"/>
        <v>4881.1035597051277</v>
      </c>
      <c r="X367">
        <f t="shared" si="104"/>
        <v>5048.8285597051281</v>
      </c>
      <c r="Y367">
        <f t="shared" si="105"/>
        <v>3633.2783716090053</v>
      </c>
      <c r="Z367">
        <f t="shared" si="106"/>
        <v>3280.9928510677009</v>
      </c>
      <c r="AA367">
        <f t="shared" si="107"/>
        <v>4747.3585597051278</v>
      </c>
    </row>
    <row r="368" spans="1:27" x14ac:dyDescent="0.35">
      <c r="A368">
        <v>1098</v>
      </c>
      <c r="B368">
        <v>-3966.03</v>
      </c>
      <c r="C368">
        <f t="shared" si="97"/>
        <v>334.67040000000003</v>
      </c>
      <c r="D368">
        <f t="shared" si="90"/>
        <v>-1208.8459440000001</v>
      </c>
      <c r="E368">
        <f t="shared" si="91"/>
        <v>121.55248178406002</v>
      </c>
      <c r="F368">
        <f t="shared" si="92"/>
        <v>120.95954284852803</v>
      </c>
      <c r="G368">
        <f t="shared" si="93"/>
        <v>1519.2924817840601</v>
      </c>
      <c r="H368">
        <f t="shared" si="94"/>
        <v>120.95954284852803</v>
      </c>
      <c r="I368">
        <v>1</v>
      </c>
      <c r="J368">
        <f t="shared" si="95"/>
        <v>109.23121070370506</v>
      </c>
      <c r="K368">
        <f t="shared" si="96"/>
        <v>1217.8224817840601</v>
      </c>
      <c r="M368">
        <v>10884.883487999939</v>
      </c>
      <c r="N368">
        <f t="shared" si="98"/>
        <v>396</v>
      </c>
      <c r="O368">
        <f t="shared" si="99"/>
        <v>397</v>
      </c>
      <c r="P368" cm="1">
        <f t="array" ref="P368">INDEX($C$2:$C$14395,$N368,0)</f>
        <v>361.18800000000005</v>
      </c>
      <c r="Q368" cm="1">
        <f t="array" ref="Q368">INDEX($C$2:$C$14395,$O368,0)</f>
        <v>0</v>
      </c>
      <c r="R368" cm="1">
        <f t="array" ref="R368">INDEX($D$2:$D$14395,$N368,0)</f>
        <v>-1209.0989280000001</v>
      </c>
      <c r="S368" cm="1">
        <f t="array" ref="S368">INDEX($D$2:$D$14395,$O368,0)</f>
        <v>0</v>
      </c>
      <c r="T368">
        <f t="shared" si="100"/>
        <v>-36437.813428867041</v>
      </c>
      <c r="U368">
        <f t="shared" si="101"/>
        <v>3663.913234806153</v>
      </c>
      <c r="V368">
        <f t="shared" si="102"/>
        <v>3646.0404873192938</v>
      </c>
      <c r="W368">
        <f t="shared" si="103"/>
        <v>4893.9282348061533</v>
      </c>
      <c r="X368">
        <f t="shared" si="104"/>
        <v>5061.6532348061528</v>
      </c>
      <c r="Y368">
        <f t="shared" si="105"/>
        <v>3646.0404873192938</v>
      </c>
      <c r="Z368">
        <f t="shared" si="106"/>
        <v>3292.5175420292171</v>
      </c>
      <c r="AA368">
        <f t="shared" si="107"/>
        <v>4760.1832348061525</v>
      </c>
    </row>
    <row r="369" spans="1:27" x14ac:dyDescent="0.35">
      <c r="A369">
        <v>1101</v>
      </c>
      <c r="B369">
        <v>-3966.07</v>
      </c>
      <c r="C369">
        <f t="shared" si="97"/>
        <v>335.58480000000003</v>
      </c>
      <c r="D369">
        <f t="shared" si="90"/>
        <v>-1208.8581360000001</v>
      </c>
      <c r="E369">
        <f t="shared" si="91"/>
        <v>121.55370772014001</v>
      </c>
      <c r="F369">
        <f t="shared" si="92"/>
        <v>120.96076280443201</v>
      </c>
      <c r="G369">
        <f t="shared" si="93"/>
        <v>1519.29370772014</v>
      </c>
      <c r="H369">
        <f t="shared" si="94"/>
        <v>120.96076280443201</v>
      </c>
      <c r="I369">
        <v>1</v>
      </c>
      <c r="J369">
        <f t="shared" si="95"/>
        <v>109.23231237172777</v>
      </c>
      <c r="K369">
        <f t="shared" si="96"/>
        <v>1217.82370772014</v>
      </c>
      <c r="M369">
        <v>10922.98348799994</v>
      </c>
      <c r="N369">
        <f t="shared" si="98"/>
        <v>396</v>
      </c>
      <c r="O369">
        <f t="shared" si="99"/>
        <v>397</v>
      </c>
      <c r="P369" cm="1">
        <f t="array" ref="P369">INDEX($C$2:$C$14395,$N369,0)</f>
        <v>361.18800000000005</v>
      </c>
      <c r="Q369" cm="1">
        <f t="array" ref="Q369">INDEX($C$2:$C$14395,$O369,0)</f>
        <v>0</v>
      </c>
      <c r="R369" cm="1">
        <f t="array" ref="R369">INDEX($D$2:$D$14395,$N369,0)</f>
        <v>-1209.0989280000001</v>
      </c>
      <c r="S369" cm="1">
        <f t="array" ref="S369">INDEX($D$2:$D$14395,$O369,0)</f>
        <v>0</v>
      </c>
      <c r="T369">
        <f t="shared" si="100"/>
        <v>-36565.355509879701</v>
      </c>
      <c r="U369">
        <f t="shared" si="101"/>
        <v>3676.7379099071782</v>
      </c>
      <c r="V369">
        <f t="shared" si="102"/>
        <v>3658.8026030295832</v>
      </c>
      <c r="W369">
        <f t="shared" si="103"/>
        <v>4906.752909907178</v>
      </c>
      <c r="X369">
        <f t="shared" si="104"/>
        <v>5074.4779099071784</v>
      </c>
      <c r="Y369">
        <f t="shared" si="105"/>
        <v>3658.8026030295832</v>
      </c>
      <c r="Z369">
        <f t="shared" si="106"/>
        <v>3304.0422329907342</v>
      </c>
      <c r="AA369">
        <f t="shared" si="107"/>
        <v>4773.0079099071781</v>
      </c>
    </row>
    <row r="370" spans="1:27" x14ac:dyDescent="0.35">
      <c r="A370">
        <v>1104</v>
      </c>
      <c r="B370">
        <v>-3966.11</v>
      </c>
      <c r="C370">
        <f t="shared" si="97"/>
        <v>336.49920000000003</v>
      </c>
      <c r="D370">
        <f t="shared" si="90"/>
        <v>-1208.8703280000002</v>
      </c>
      <c r="E370">
        <f t="shared" si="91"/>
        <v>121.55493365622003</v>
      </c>
      <c r="F370">
        <f t="shared" si="92"/>
        <v>120.96198276033603</v>
      </c>
      <c r="G370">
        <f t="shared" si="93"/>
        <v>1519.2949336562201</v>
      </c>
      <c r="H370">
        <f t="shared" si="94"/>
        <v>120.96198276033603</v>
      </c>
      <c r="I370">
        <v>1</v>
      </c>
      <c r="J370">
        <f t="shared" si="95"/>
        <v>109.23341403975051</v>
      </c>
      <c r="K370">
        <f t="shared" si="96"/>
        <v>1217.8249336562201</v>
      </c>
      <c r="M370">
        <v>10961.08348799994</v>
      </c>
      <c r="N370">
        <f t="shared" si="98"/>
        <v>396</v>
      </c>
      <c r="O370">
        <f t="shared" si="99"/>
        <v>397</v>
      </c>
      <c r="P370" cm="1">
        <f t="array" ref="P370">INDEX($C$2:$C$14395,$N370,0)</f>
        <v>361.18800000000005</v>
      </c>
      <c r="Q370" cm="1">
        <f t="array" ref="Q370">INDEX($C$2:$C$14395,$O370,0)</f>
        <v>0</v>
      </c>
      <c r="R370" cm="1">
        <f t="array" ref="R370">INDEX($D$2:$D$14395,$N370,0)</f>
        <v>-1209.0989280000001</v>
      </c>
      <c r="S370" cm="1">
        <f t="array" ref="S370">INDEX($D$2:$D$14395,$O370,0)</f>
        <v>0</v>
      </c>
      <c r="T370">
        <f t="shared" si="100"/>
        <v>-36692.897590892353</v>
      </c>
      <c r="U370">
        <f t="shared" si="101"/>
        <v>3689.5625850082033</v>
      </c>
      <c r="V370">
        <f t="shared" si="102"/>
        <v>3671.5647187398708</v>
      </c>
      <c r="W370">
        <f t="shared" si="103"/>
        <v>4919.5775850082036</v>
      </c>
      <c r="X370">
        <f t="shared" si="104"/>
        <v>5087.3025850082031</v>
      </c>
      <c r="Y370">
        <f t="shared" si="105"/>
        <v>3671.5647187398708</v>
      </c>
      <c r="Z370">
        <f t="shared" si="106"/>
        <v>3315.5669239522499</v>
      </c>
      <c r="AA370">
        <f t="shared" si="107"/>
        <v>4785.8325850082038</v>
      </c>
    </row>
    <row r="371" spans="1:27" x14ac:dyDescent="0.35">
      <c r="A371">
        <v>1107</v>
      </c>
      <c r="B371">
        <v>-3966.14</v>
      </c>
      <c r="C371">
        <f t="shared" si="97"/>
        <v>337.41360000000003</v>
      </c>
      <c r="D371">
        <f t="shared" si="90"/>
        <v>-1208.8794720000001</v>
      </c>
      <c r="E371">
        <f t="shared" si="91"/>
        <v>121.55585310828002</v>
      </c>
      <c r="F371">
        <f t="shared" si="92"/>
        <v>120.96289772726402</v>
      </c>
      <c r="G371">
        <f t="shared" si="93"/>
        <v>1519.29585310828</v>
      </c>
      <c r="H371">
        <f t="shared" si="94"/>
        <v>120.96289772726402</v>
      </c>
      <c r="I371">
        <v>1</v>
      </c>
      <c r="J371">
        <f t="shared" si="95"/>
        <v>109.23424029076754</v>
      </c>
      <c r="K371">
        <f t="shared" si="96"/>
        <v>1217.8258531082799</v>
      </c>
      <c r="M371">
        <v>10999.183487999941</v>
      </c>
      <c r="N371">
        <f t="shared" si="98"/>
        <v>396</v>
      </c>
      <c r="O371">
        <f t="shared" si="99"/>
        <v>397</v>
      </c>
      <c r="P371" cm="1">
        <f t="array" ref="P371">INDEX($C$2:$C$14395,$N371,0)</f>
        <v>361.18800000000005</v>
      </c>
      <c r="Q371" cm="1">
        <f t="array" ref="Q371">INDEX($C$2:$C$14395,$O371,0)</f>
        <v>0</v>
      </c>
      <c r="R371" cm="1">
        <f t="array" ref="R371">INDEX($D$2:$D$14395,$N371,0)</f>
        <v>-1209.0989280000001</v>
      </c>
      <c r="S371" cm="1">
        <f t="array" ref="S371">INDEX($D$2:$D$14395,$O371,0)</f>
        <v>0</v>
      </c>
      <c r="T371">
        <f t="shared" si="100"/>
        <v>-36820.439671905013</v>
      </c>
      <c r="U371">
        <f t="shared" si="101"/>
        <v>3702.3872601092289</v>
      </c>
      <c r="V371">
        <f t="shared" si="102"/>
        <v>3684.3268344501589</v>
      </c>
      <c r="W371">
        <f t="shared" si="103"/>
        <v>4932.4022601092292</v>
      </c>
      <c r="X371">
        <f t="shared" si="104"/>
        <v>5100.1272601092287</v>
      </c>
      <c r="Y371">
        <f t="shared" si="105"/>
        <v>3684.3268344501589</v>
      </c>
      <c r="Z371">
        <f t="shared" si="106"/>
        <v>3327.0916149137665</v>
      </c>
      <c r="AA371">
        <f t="shared" si="107"/>
        <v>4798.6572601092284</v>
      </c>
    </row>
    <row r="372" spans="1:27" x14ac:dyDescent="0.35">
      <c r="A372">
        <v>1110</v>
      </c>
      <c r="B372">
        <v>-3966.17</v>
      </c>
      <c r="C372">
        <f t="shared" si="97"/>
        <v>338.32800000000003</v>
      </c>
      <c r="D372">
        <f t="shared" si="90"/>
        <v>-1208.8886160000002</v>
      </c>
      <c r="E372">
        <f t="shared" si="91"/>
        <v>121.55677256034004</v>
      </c>
      <c r="F372">
        <f t="shared" si="92"/>
        <v>120.96381269419203</v>
      </c>
      <c r="G372">
        <f t="shared" si="93"/>
        <v>1519.2967725603401</v>
      </c>
      <c r="H372">
        <f t="shared" si="94"/>
        <v>120.96381269419203</v>
      </c>
      <c r="I372">
        <v>1</v>
      </c>
      <c r="J372">
        <f t="shared" si="95"/>
        <v>109.23506654178458</v>
      </c>
      <c r="K372">
        <f t="shared" si="96"/>
        <v>1217.82677256034</v>
      </c>
      <c r="M372">
        <v>11037.283487999939</v>
      </c>
      <c r="N372">
        <f t="shared" si="98"/>
        <v>396</v>
      </c>
      <c r="O372">
        <f t="shared" si="99"/>
        <v>397</v>
      </c>
      <c r="P372" cm="1">
        <f t="array" ref="P372">INDEX($C$2:$C$14395,$N372,0)</f>
        <v>361.18800000000005</v>
      </c>
      <c r="Q372" cm="1">
        <f t="array" ref="Q372">INDEX($C$2:$C$14395,$O372,0)</f>
        <v>0</v>
      </c>
      <c r="R372" cm="1">
        <f t="array" ref="R372">INDEX($D$2:$D$14395,$N372,0)</f>
        <v>-1209.0989280000001</v>
      </c>
      <c r="S372" cm="1">
        <f t="array" ref="S372">INDEX($D$2:$D$14395,$O372,0)</f>
        <v>0</v>
      </c>
      <c r="T372">
        <f t="shared" si="100"/>
        <v>-36947.981752917673</v>
      </c>
      <c r="U372">
        <f t="shared" si="101"/>
        <v>3715.2119352102541</v>
      </c>
      <c r="V372">
        <f t="shared" si="102"/>
        <v>3697.0889501604483</v>
      </c>
      <c r="W372">
        <f t="shared" si="103"/>
        <v>4945.2269352102539</v>
      </c>
      <c r="X372">
        <f t="shared" si="104"/>
        <v>5112.9519352102543</v>
      </c>
      <c r="Y372">
        <f t="shared" si="105"/>
        <v>3697.0889501604483</v>
      </c>
      <c r="Z372">
        <f t="shared" si="106"/>
        <v>3338.6163058752827</v>
      </c>
      <c r="AA372">
        <f t="shared" si="107"/>
        <v>4811.4819352102541</v>
      </c>
    </row>
    <row r="373" spans="1:27" x14ac:dyDescent="0.35">
      <c r="A373">
        <v>1113</v>
      </c>
      <c r="B373">
        <v>-3966.19</v>
      </c>
      <c r="C373">
        <f t="shared" si="97"/>
        <v>339.24240000000003</v>
      </c>
      <c r="D373">
        <f t="shared" si="90"/>
        <v>-1208.894712</v>
      </c>
      <c r="E373">
        <f t="shared" si="91"/>
        <v>121.55738552838</v>
      </c>
      <c r="F373">
        <f t="shared" si="92"/>
        <v>120.96442267214402</v>
      </c>
      <c r="G373">
        <f t="shared" si="93"/>
        <v>1519.2973855283799</v>
      </c>
      <c r="H373">
        <f t="shared" si="94"/>
        <v>120.96442267214402</v>
      </c>
      <c r="I373">
        <v>1</v>
      </c>
      <c r="J373">
        <f t="shared" si="95"/>
        <v>109.23561737579594</v>
      </c>
      <c r="K373">
        <f t="shared" si="96"/>
        <v>1217.8273855283801</v>
      </c>
      <c r="M373">
        <v>11075.383487999939</v>
      </c>
      <c r="N373">
        <f t="shared" si="98"/>
        <v>396</v>
      </c>
      <c r="O373">
        <f t="shared" si="99"/>
        <v>397</v>
      </c>
      <c r="P373" cm="1">
        <f t="array" ref="P373">INDEX($C$2:$C$14395,$N373,0)</f>
        <v>361.18800000000005</v>
      </c>
      <c r="Q373" cm="1">
        <f t="array" ref="Q373">INDEX($C$2:$C$14395,$O373,0)</f>
        <v>0</v>
      </c>
      <c r="R373" cm="1">
        <f t="array" ref="R373">INDEX($D$2:$D$14395,$N373,0)</f>
        <v>-1209.0989280000001</v>
      </c>
      <c r="S373" cm="1">
        <f t="array" ref="S373">INDEX($D$2:$D$14395,$O373,0)</f>
        <v>0</v>
      </c>
      <c r="T373">
        <f t="shared" si="100"/>
        <v>-37075.523833930332</v>
      </c>
      <c r="U373">
        <f t="shared" si="101"/>
        <v>3728.0366103112797</v>
      </c>
      <c r="V373">
        <f t="shared" si="102"/>
        <v>3709.8510658707369</v>
      </c>
      <c r="W373">
        <f t="shared" si="103"/>
        <v>4958.0516103112795</v>
      </c>
      <c r="X373">
        <f t="shared" si="104"/>
        <v>5125.7766103112799</v>
      </c>
      <c r="Y373">
        <f t="shared" si="105"/>
        <v>3709.8510658707369</v>
      </c>
      <c r="Z373">
        <f t="shared" si="106"/>
        <v>3350.1409968367998</v>
      </c>
      <c r="AA373">
        <f t="shared" si="107"/>
        <v>4824.3066103112797</v>
      </c>
    </row>
    <row r="374" spans="1:27" x14ac:dyDescent="0.35">
      <c r="A374">
        <v>1116</v>
      </c>
      <c r="B374">
        <v>-3966.2</v>
      </c>
      <c r="C374">
        <f t="shared" si="97"/>
        <v>340.15680000000003</v>
      </c>
      <c r="D374">
        <f t="shared" si="90"/>
        <v>-1208.8977600000001</v>
      </c>
      <c r="E374">
        <f t="shared" si="91"/>
        <v>121.55769201240001</v>
      </c>
      <c r="F374">
        <f t="shared" si="92"/>
        <v>120.96472766111999</v>
      </c>
      <c r="G374">
        <f t="shared" si="93"/>
        <v>1519.2976920123999</v>
      </c>
      <c r="H374">
        <f t="shared" si="94"/>
        <v>120.96472766111999</v>
      </c>
      <c r="I374">
        <v>1</v>
      </c>
      <c r="J374">
        <f t="shared" si="95"/>
        <v>109.23589279280162</v>
      </c>
      <c r="K374">
        <f t="shared" si="96"/>
        <v>1217.8276920123999</v>
      </c>
      <c r="M374">
        <v>11113.48348799994</v>
      </c>
      <c r="N374">
        <f t="shared" si="98"/>
        <v>396</v>
      </c>
      <c r="O374">
        <f t="shared" si="99"/>
        <v>397</v>
      </c>
      <c r="P374" cm="1">
        <f t="array" ref="P374">INDEX($C$2:$C$14395,$N374,0)</f>
        <v>361.18800000000005</v>
      </c>
      <c r="Q374" cm="1">
        <f t="array" ref="Q374">INDEX($C$2:$C$14395,$O374,0)</f>
        <v>0</v>
      </c>
      <c r="R374" cm="1">
        <f t="array" ref="R374">INDEX($D$2:$D$14395,$N374,0)</f>
        <v>-1209.0989280000001</v>
      </c>
      <c r="S374" cm="1">
        <f t="array" ref="S374">INDEX($D$2:$D$14395,$O374,0)</f>
        <v>0</v>
      </c>
      <c r="T374">
        <f t="shared" si="100"/>
        <v>-37203.065914942985</v>
      </c>
      <c r="U374">
        <f t="shared" si="101"/>
        <v>3740.8612854123048</v>
      </c>
      <c r="V374">
        <f t="shared" si="102"/>
        <v>3722.6131815810245</v>
      </c>
      <c r="W374">
        <f t="shared" si="103"/>
        <v>4970.8762854123052</v>
      </c>
      <c r="X374">
        <f t="shared" si="104"/>
        <v>5138.6012854123046</v>
      </c>
      <c r="Y374">
        <f t="shared" si="105"/>
        <v>3722.6131815810245</v>
      </c>
      <c r="Z374">
        <f t="shared" si="106"/>
        <v>3361.665687798316</v>
      </c>
      <c r="AA374">
        <f t="shared" si="107"/>
        <v>4837.1312854123044</v>
      </c>
    </row>
    <row r="375" spans="1:27" x14ac:dyDescent="0.35">
      <c r="A375">
        <v>1119</v>
      </c>
      <c r="B375">
        <v>-3966.22</v>
      </c>
      <c r="C375">
        <f t="shared" si="97"/>
        <v>341.07120000000003</v>
      </c>
      <c r="D375">
        <f t="shared" si="90"/>
        <v>-1208.9038559999999</v>
      </c>
      <c r="E375">
        <f t="shared" si="91"/>
        <v>121.55830498043998</v>
      </c>
      <c r="F375">
        <f t="shared" si="92"/>
        <v>120.965337639072</v>
      </c>
      <c r="G375">
        <f t="shared" si="93"/>
        <v>1519.29830498044</v>
      </c>
      <c r="H375">
        <f t="shared" si="94"/>
        <v>120.965337639072</v>
      </c>
      <c r="I375">
        <v>1</v>
      </c>
      <c r="J375">
        <f t="shared" si="95"/>
        <v>109.23644362681296</v>
      </c>
      <c r="K375">
        <f t="shared" si="96"/>
        <v>1217.82830498044</v>
      </c>
      <c r="M375">
        <v>11151.58348799994</v>
      </c>
      <c r="N375">
        <f t="shared" si="98"/>
        <v>396</v>
      </c>
      <c r="O375">
        <f t="shared" si="99"/>
        <v>397</v>
      </c>
      <c r="P375" cm="1">
        <f t="array" ref="P375">INDEX($C$2:$C$14395,$N375,0)</f>
        <v>361.18800000000005</v>
      </c>
      <c r="Q375" cm="1">
        <f t="array" ref="Q375">INDEX($C$2:$C$14395,$O375,0)</f>
        <v>0</v>
      </c>
      <c r="R375" cm="1">
        <f t="array" ref="R375">INDEX($D$2:$D$14395,$N375,0)</f>
        <v>-1209.0989280000001</v>
      </c>
      <c r="S375" cm="1">
        <f t="array" ref="S375">INDEX($D$2:$D$14395,$O375,0)</f>
        <v>0</v>
      </c>
      <c r="T375">
        <f t="shared" si="100"/>
        <v>-37330.607995955645</v>
      </c>
      <c r="U375">
        <f t="shared" si="101"/>
        <v>3753.68596051333</v>
      </c>
      <c r="V375">
        <f t="shared" si="102"/>
        <v>3735.3752972913139</v>
      </c>
      <c r="W375">
        <f t="shared" si="103"/>
        <v>4983.7009605133298</v>
      </c>
      <c r="X375">
        <f t="shared" si="104"/>
        <v>5151.4259605133302</v>
      </c>
      <c r="Y375">
        <f t="shared" si="105"/>
        <v>3735.3752972913139</v>
      </c>
      <c r="Z375">
        <f t="shared" si="106"/>
        <v>3373.1903787598326</v>
      </c>
      <c r="AA375">
        <f t="shared" si="107"/>
        <v>4849.95596051333</v>
      </c>
    </row>
    <row r="376" spans="1:27" x14ac:dyDescent="0.35">
      <c r="A376">
        <v>1122</v>
      </c>
      <c r="B376">
        <v>-3966.24</v>
      </c>
      <c r="C376">
        <f t="shared" si="97"/>
        <v>341.98560000000003</v>
      </c>
      <c r="D376">
        <f t="shared" si="90"/>
        <v>-1208.909952</v>
      </c>
      <c r="E376">
        <f t="shared" si="91"/>
        <v>121.55891794848</v>
      </c>
      <c r="F376">
        <f t="shared" si="92"/>
        <v>120.965947617024</v>
      </c>
      <c r="G376">
        <f t="shared" si="93"/>
        <v>1519.29891794848</v>
      </c>
      <c r="H376">
        <f t="shared" si="94"/>
        <v>120.965947617024</v>
      </c>
      <c r="I376">
        <v>1</v>
      </c>
      <c r="J376">
        <f t="shared" si="95"/>
        <v>109.23699446082432</v>
      </c>
      <c r="K376">
        <f t="shared" si="96"/>
        <v>1217.82891794848</v>
      </c>
      <c r="M376">
        <v>11189.683487999941</v>
      </c>
      <c r="N376">
        <f t="shared" si="98"/>
        <v>396</v>
      </c>
      <c r="O376">
        <f t="shared" si="99"/>
        <v>397</v>
      </c>
      <c r="P376" cm="1">
        <f t="array" ref="P376">INDEX($C$2:$C$14395,$N376,0)</f>
        <v>361.18800000000005</v>
      </c>
      <c r="Q376" cm="1">
        <f t="array" ref="Q376">INDEX($C$2:$C$14395,$O376,0)</f>
        <v>0</v>
      </c>
      <c r="R376" cm="1">
        <f t="array" ref="R376">INDEX($D$2:$D$14395,$N376,0)</f>
        <v>-1209.0989280000001</v>
      </c>
      <c r="S376" cm="1">
        <f t="array" ref="S376">INDEX($D$2:$D$14395,$O376,0)</f>
        <v>0</v>
      </c>
      <c r="T376">
        <f t="shared" si="100"/>
        <v>-37458.150076968304</v>
      </c>
      <c r="U376">
        <f t="shared" si="101"/>
        <v>3766.5106356143556</v>
      </c>
      <c r="V376">
        <f t="shared" si="102"/>
        <v>3748.1374130016025</v>
      </c>
      <c r="W376">
        <f t="shared" si="103"/>
        <v>4996.5256356143555</v>
      </c>
      <c r="X376">
        <f t="shared" si="104"/>
        <v>5164.2506356143558</v>
      </c>
      <c r="Y376">
        <f t="shared" si="105"/>
        <v>3748.1374130016025</v>
      </c>
      <c r="Z376">
        <f t="shared" si="106"/>
        <v>3384.7150697213488</v>
      </c>
      <c r="AA376">
        <f t="shared" si="107"/>
        <v>4862.7806356143556</v>
      </c>
    </row>
    <row r="377" spans="1:27" x14ac:dyDescent="0.35">
      <c r="A377">
        <v>1125</v>
      </c>
      <c r="B377">
        <v>-3966.29</v>
      </c>
      <c r="C377">
        <f t="shared" si="97"/>
        <v>342.90000000000003</v>
      </c>
      <c r="D377">
        <f t="shared" si="90"/>
        <v>-1208.9251920000002</v>
      </c>
      <c r="E377">
        <f t="shared" si="91"/>
        <v>121.56045036858004</v>
      </c>
      <c r="F377">
        <f t="shared" si="92"/>
        <v>120.96747256190402</v>
      </c>
      <c r="G377">
        <f t="shared" si="93"/>
        <v>1519.30045036858</v>
      </c>
      <c r="H377">
        <f t="shared" si="94"/>
        <v>120.96747256190402</v>
      </c>
      <c r="I377">
        <v>1</v>
      </c>
      <c r="J377">
        <f t="shared" si="95"/>
        <v>109.23837154585274</v>
      </c>
      <c r="K377">
        <f t="shared" si="96"/>
        <v>1217.8304503685799</v>
      </c>
      <c r="M377">
        <v>11227.783487999939</v>
      </c>
      <c r="N377">
        <f t="shared" si="98"/>
        <v>396</v>
      </c>
      <c r="O377">
        <f t="shared" si="99"/>
        <v>397</v>
      </c>
      <c r="P377" cm="1">
        <f t="array" ref="P377">INDEX($C$2:$C$14395,$N377,0)</f>
        <v>361.18800000000005</v>
      </c>
      <c r="Q377" cm="1">
        <f t="array" ref="Q377">INDEX($C$2:$C$14395,$O377,0)</f>
        <v>0</v>
      </c>
      <c r="R377" cm="1">
        <f t="array" ref="R377">INDEX($D$2:$D$14395,$N377,0)</f>
        <v>-1209.0989280000001</v>
      </c>
      <c r="S377" cm="1">
        <f t="array" ref="S377">INDEX($D$2:$D$14395,$O377,0)</f>
        <v>0</v>
      </c>
      <c r="T377">
        <f t="shared" si="100"/>
        <v>-37585.692157980957</v>
      </c>
      <c r="U377">
        <f t="shared" si="101"/>
        <v>3779.3353107153807</v>
      </c>
      <c r="V377">
        <f t="shared" si="102"/>
        <v>3760.899528711891</v>
      </c>
      <c r="W377">
        <f t="shared" si="103"/>
        <v>5009.3503107153811</v>
      </c>
      <c r="X377">
        <f t="shared" si="104"/>
        <v>5177.0753107153805</v>
      </c>
      <c r="Y377">
        <f t="shared" si="105"/>
        <v>3760.899528711891</v>
      </c>
      <c r="Z377">
        <f t="shared" si="106"/>
        <v>3396.2397606828649</v>
      </c>
      <c r="AA377">
        <f t="shared" si="107"/>
        <v>4875.6053107153803</v>
      </c>
    </row>
    <row r="378" spans="1:27" x14ac:dyDescent="0.35">
      <c r="A378">
        <v>1128</v>
      </c>
      <c r="B378">
        <v>-3966.33</v>
      </c>
      <c r="C378">
        <f t="shared" si="97"/>
        <v>343.81440000000003</v>
      </c>
      <c r="D378">
        <f t="shared" si="90"/>
        <v>-1208.9373840000001</v>
      </c>
      <c r="E378">
        <f t="shared" si="91"/>
        <v>121.56167630466001</v>
      </c>
      <c r="F378">
        <f t="shared" si="92"/>
        <v>120.96869251780802</v>
      </c>
      <c r="G378">
        <f t="shared" si="93"/>
        <v>1519.3016763046601</v>
      </c>
      <c r="H378">
        <f t="shared" si="94"/>
        <v>120.96869251780802</v>
      </c>
      <c r="I378">
        <v>1</v>
      </c>
      <c r="J378">
        <f t="shared" si="95"/>
        <v>109.23947321387546</v>
      </c>
      <c r="K378">
        <f t="shared" si="96"/>
        <v>1217.83167630466</v>
      </c>
      <c r="M378">
        <v>11265.883487999939</v>
      </c>
      <c r="N378">
        <f t="shared" si="98"/>
        <v>396</v>
      </c>
      <c r="O378">
        <f t="shared" si="99"/>
        <v>397</v>
      </c>
      <c r="P378" cm="1">
        <f t="array" ref="P378">INDEX($C$2:$C$14395,$N378,0)</f>
        <v>361.18800000000005</v>
      </c>
      <c r="Q378" cm="1">
        <f t="array" ref="Q378">INDEX($C$2:$C$14395,$O378,0)</f>
        <v>0</v>
      </c>
      <c r="R378" cm="1">
        <f t="array" ref="R378">INDEX($D$2:$D$14395,$N378,0)</f>
        <v>-1209.0989280000001</v>
      </c>
      <c r="S378" cm="1">
        <f t="array" ref="S378">INDEX($D$2:$D$14395,$O378,0)</f>
        <v>0</v>
      </c>
      <c r="T378">
        <f t="shared" si="100"/>
        <v>-37713.234238993617</v>
      </c>
      <c r="U378">
        <f t="shared" si="101"/>
        <v>3792.1599858164059</v>
      </c>
      <c r="V378">
        <f t="shared" si="102"/>
        <v>3773.6616444221795</v>
      </c>
      <c r="W378">
        <f t="shared" si="103"/>
        <v>5022.1749858164058</v>
      </c>
      <c r="X378">
        <f t="shared" si="104"/>
        <v>5189.8999858164061</v>
      </c>
      <c r="Y378">
        <f t="shared" si="105"/>
        <v>3773.6616444221795</v>
      </c>
      <c r="Z378">
        <f t="shared" si="106"/>
        <v>3407.764451644382</v>
      </c>
      <c r="AA378">
        <f t="shared" si="107"/>
        <v>4888.4299858164059</v>
      </c>
    </row>
    <row r="379" spans="1:27" x14ac:dyDescent="0.35">
      <c r="A379">
        <v>1131</v>
      </c>
      <c r="B379">
        <v>-3966.38</v>
      </c>
      <c r="C379">
        <f t="shared" si="97"/>
        <v>344.72880000000004</v>
      </c>
      <c r="D379">
        <f t="shared" si="90"/>
        <v>-1208.952624</v>
      </c>
      <c r="E379">
        <f t="shared" si="91"/>
        <v>121.56320872476</v>
      </c>
      <c r="F379">
        <f t="shared" si="92"/>
        <v>120.970217462688</v>
      </c>
      <c r="G379">
        <f t="shared" si="93"/>
        <v>1519.30320872476</v>
      </c>
      <c r="H379">
        <f t="shared" si="94"/>
        <v>120.970217462688</v>
      </c>
      <c r="I379">
        <v>1</v>
      </c>
      <c r="J379">
        <f t="shared" si="95"/>
        <v>109.24085029890385</v>
      </c>
      <c r="K379">
        <f t="shared" si="96"/>
        <v>1217.83320872476</v>
      </c>
      <c r="M379">
        <v>11303.98348799994</v>
      </c>
      <c r="N379">
        <f t="shared" si="98"/>
        <v>396</v>
      </c>
      <c r="O379">
        <f t="shared" si="99"/>
        <v>397</v>
      </c>
      <c r="P379" cm="1">
        <f t="array" ref="P379">INDEX($C$2:$C$14395,$N379,0)</f>
        <v>361.18800000000005</v>
      </c>
      <c r="Q379" cm="1">
        <f t="array" ref="Q379">INDEX($C$2:$C$14395,$O379,0)</f>
        <v>0</v>
      </c>
      <c r="R379" cm="1">
        <f t="array" ref="R379">INDEX($D$2:$D$14395,$N379,0)</f>
        <v>-1209.0989280000001</v>
      </c>
      <c r="S379" cm="1">
        <f t="array" ref="S379">INDEX($D$2:$D$14395,$O379,0)</f>
        <v>0</v>
      </c>
      <c r="T379">
        <f t="shared" si="100"/>
        <v>-37840.776320006276</v>
      </c>
      <c r="U379">
        <f t="shared" si="101"/>
        <v>3804.984660917431</v>
      </c>
      <c r="V379">
        <f t="shared" si="102"/>
        <v>3786.4237601324685</v>
      </c>
      <c r="W379">
        <f t="shared" si="103"/>
        <v>5034.9996609174314</v>
      </c>
      <c r="X379">
        <f t="shared" si="104"/>
        <v>5202.7246609174308</v>
      </c>
      <c r="Y379">
        <f t="shared" si="105"/>
        <v>3786.4237601324685</v>
      </c>
      <c r="Z379">
        <f t="shared" si="106"/>
        <v>3419.2891426058982</v>
      </c>
      <c r="AA379">
        <f t="shared" si="107"/>
        <v>4901.2546609174315</v>
      </c>
    </row>
    <row r="380" spans="1:27" x14ac:dyDescent="0.35">
      <c r="A380">
        <v>1134</v>
      </c>
      <c r="B380">
        <v>-3966.42</v>
      </c>
      <c r="C380">
        <f t="shared" si="97"/>
        <v>345.64320000000004</v>
      </c>
      <c r="D380">
        <f t="shared" si="90"/>
        <v>-1208.9648160000002</v>
      </c>
      <c r="E380">
        <f t="shared" si="91"/>
        <v>121.56443466084004</v>
      </c>
      <c r="F380">
        <f t="shared" si="92"/>
        <v>120.97143741859202</v>
      </c>
      <c r="G380">
        <f t="shared" si="93"/>
        <v>1519.3044346608401</v>
      </c>
      <c r="H380">
        <f t="shared" si="94"/>
        <v>120.97143741859202</v>
      </c>
      <c r="I380">
        <v>1</v>
      </c>
      <c r="J380">
        <f t="shared" si="95"/>
        <v>109.24195196692659</v>
      </c>
      <c r="K380">
        <f t="shared" si="96"/>
        <v>1217.8344346608401</v>
      </c>
      <c r="M380">
        <v>11342.08348799994</v>
      </c>
      <c r="N380">
        <f t="shared" si="98"/>
        <v>396</v>
      </c>
      <c r="O380">
        <f t="shared" si="99"/>
        <v>397</v>
      </c>
      <c r="P380" cm="1">
        <f t="array" ref="P380">INDEX($C$2:$C$14395,$N380,0)</f>
        <v>361.18800000000005</v>
      </c>
      <c r="Q380" cm="1">
        <f t="array" ref="Q380">INDEX($C$2:$C$14395,$O380,0)</f>
        <v>0</v>
      </c>
      <c r="R380" cm="1">
        <f t="array" ref="R380">INDEX($D$2:$D$14395,$N380,0)</f>
        <v>-1209.0989280000001</v>
      </c>
      <c r="S380" cm="1">
        <f t="array" ref="S380">INDEX($D$2:$D$14395,$O380,0)</f>
        <v>0</v>
      </c>
      <c r="T380">
        <f t="shared" si="100"/>
        <v>-37968.318401018936</v>
      </c>
      <c r="U380">
        <f t="shared" si="101"/>
        <v>3817.8093360184562</v>
      </c>
      <c r="V380">
        <f t="shared" si="102"/>
        <v>3799.185875842757</v>
      </c>
      <c r="W380">
        <f t="shared" si="103"/>
        <v>5047.8243360184561</v>
      </c>
      <c r="X380">
        <f t="shared" si="104"/>
        <v>5215.5493360184564</v>
      </c>
      <c r="Y380">
        <f t="shared" si="105"/>
        <v>3799.185875842757</v>
      </c>
      <c r="Z380">
        <f t="shared" si="106"/>
        <v>3430.8138335674148</v>
      </c>
      <c r="AA380">
        <f t="shared" si="107"/>
        <v>4914.0793360184562</v>
      </c>
    </row>
    <row r="381" spans="1:27" x14ac:dyDescent="0.35">
      <c r="A381">
        <v>1137</v>
      </c>
      <c r="B381">
        <v>-3966.45</v>
      </c>
      <c r="C381">
        <f t="shared" si="97"/>
        <v>346.55760000000004</v>
      </c>
      <c r="D381">
        <f t="shared" si="90"/>
        <v>-1208.97396</v>
      </c>
      <c r="E381">
        <f t="shared" si="91"/>
        <v>121.56535411290001</v>
      </c>
      <c r="F381">
        <f t="shared" si="92"/>
        <v>120.97235238552003</v>
      </c>
      <c r="G381">
        <f t="shared" si="93"/>
        <v>1519.3053541129</v>
      </c>
      <c r="H381">
        <f t="shared" si="94"/>
        <v>120.97235238552003</v>
      </c>
      <c r="I381">
        <v>1</v>
      </c>
      <c r="J381">
        <f t="shared" si="95"/>
        <v>109.24277821794362</v>
      </c>
      <c r="K381">
        <f t="shared" si="96"/>
        <v>1217.8353541128999</v>
      </c>
      <c r="M381">
        <v>11380.183487999941</v>
      </c>
      <c r="N381">
        <f t="shared" si="98"/>
        <v>396</v>
      </c>
      <c r="O381">
        <f t="shared" si="99"/>
        <v>397</v>
      </c>
      <c r="P381" cm="1">
        <f t="array" ref="P381">INDEX($C$2:$C$14395,$N381,0)</f>
        <v>361.18800000000005</v>
      </c>
      <c r="Q381" cm="1">
        <f t="array" ref="Q381">INDEX($C$2:$C$14395,$O381,0)</f>
        <v>0</v>
      </c>
      <c r="R381" cm="1">
        <f t="array" ref="R381">INDEX($D$2:$D$14395,$N381,0)</f>
        <v>-1209.0989280000001</v>
      </c>
      <c r="S381" cm="1">
        <f t="array" ref="S381">INDEX($D$2:$D$14395,$O381,0)</f>
        <v>0</v>
      </c>
      <c r="T381">
        <f t="shared" si="100"/>
        <v>-38095.860482031596</v>
      </c>
      <c r="U381">
        <f t="shared" si="101"/>
        <v>3830.6340111194818</v>
      </c>
      <c r="V381">
        <f t="shared" si="102"/>
        <v>3811.9479915530455</v>
      </c>
      <c r="W381">
        <f t="shared" si="103"/>
        <v>5060.6490111194817</v>
      </c>
      <c r="X381">
        <f t="shared" si="104"/>
        <v>5228.374011119482</v>
      </c>
      <c r="Y381">
        <f t="shared" si="105"/>
        <v>3811.9479915530455</v>
      </c>
      <c r="Z381">
        <f t="shared" si="106"/>
        <v>3442.3385245289319</v>
      </c>
      <c r="AA381">
        <f t="shared" si="107"/>
        <v>4926.9040111194818</v>
      </c>
    </row>
    <row r="382" spans="1:27" x14ac:dyDescent="0.35">
      <c r="A382">
        <v>1140</v>
      </c>
      <c r="B382">
        <v>-3966.48</v>
      </c>
      <c r="C382">
        <f t="shared" si="97"/>
        <v>347.47200000000004</v>
      </c>
      <c r="D382">
        <f t="shared" si="90"/>
        <v>-1208.9831040000001</v>
      </c>
      <c r="E382">
        <f t="shared" si="91"/>
        <v>121.56627356496003</v>
      </c>
      <c r="F382">
        <f t="shared" si="92"/>
        <v>120.97326735244803</v>
      </c>
      <c r="G382">
        <f t="shared" si="93"/>
        <v>1519.3062735649601</v>
      </c>
      <c r="H382">
        <f t="shared" si="94"/>
        <v>120.97326735244803</v>
      </c>
      <c r="I382">
        <v>1</v>
      </c>
      <c r="J382">
        <f t="shared" si="95"/>
        <v>109.24360446896065</v>
      </c>
      <c r="K382">
        <f t="shared" si="96"/>
        <v>1217.83627356496</v>
      </c>
      <c r="M382">
        <v>11418.283487999939</v>
      </c>
      <c r="N382">
        <f t="shared" si="98"/>
        <v>396</v>
      </c>
      <c r="O382">
        <f t="shared" si="99"/>
        <v>397</v>
      </c>
      <c r="P382" cm="1">
        <f t="array" ref="P382">INDEX($C$2:$C$14395,$N382,0)</f>
        <v>361.18800000000005</v>
      </c>
      <c r="Q382" cm="1">
        <f t="array" ref="Q382">INDEX($C$2:$C$14395,$O382,0)</f>
        <v>0</v>
      </c>
      <c r="R382" cm="1">
        <f t="array" ref="R382">INDEX($D$2:$D$14395,$N382,0)</f>
        <v>-1209.0989280000001</v>
      </c>
      <c r="S382" cm="1">
        <f t="array" ref="S382">INDEX($D$2:$D$14395,$O382,0)</f>
        <v>0</v>
      </c>
      <c r="T382">
        <f t="shared" si="100"/>
        <v>-38223.402563044248</v>
      </c>
      <c r="U382">
        <f t="shared" si="101"/>
        <v>3843.4586862205069</v>
      </c>
      <c r="V382">
        <f t="shared" si="102"/>
        <v>3824.7101072633336</v>
      </c>
      <c r="W382">
        <f t="shared" si="103"/>
        <v>5073.4736862205073</v>
      </c>
      <c r="X382">
        <f t="shared" si="104"/>
        <v>5241.1986862205067</v>
      </c>
      <c r="Y382">
        <f t="shared" si="105"/>
        <v>3824.7101072633336</v>
      </c>
      <c r="Z382">
        <f t="shared" si="106"/>
        <v>3453.8632154904481</v>
      </c>
      <c r="AA382">
        <f t="shared" si="107"/>
        <v>4939.7286862205074</v>
      </c>
    </row>
    <row r="383" spans="1:27" x14ac:dyDescent="0.35">
      <c r="A383">
        <v>1143</v>
      </c>
      <c r="B383">
        <v>-3966.51</v>
      </c>
      <c r="C383">
        <f t="shared" si="97"/>
        <v>348.38640000000004</v>
      </c>
      <c r="D383">
        <f t="shared" si="90"/>
        <v>-1208.992248</v>
      </c>
      <c r="E383">
        <f t="shared" si="91"/>
        <v>121.56719301702002</v>
      </c>
      <c r="F383">
        <f t="shared" si="92"/>
        <v>120.974182319376</v>
      </c>
      <c r="G383">
        <f t="shared" si="93"/>
        <v>1519.3071930170199</v>
      </c>
      <c r="H383">
        <f t="shared" si="94"/>
        <v>120.974182319376</v>
      </c>
      <c r="I383">
        <v>1</v>
      </c>
      <c r="J383">
        <f t="shared" si="95"/>
        <v>109.24443071997769</v>
      </c>
      <c r="K383">
        <f t="shared" si="96"/>
        <v>1217.8371930170199</v>
      </c>
      <c r="M383">
        <v>11456.383487999939</v>
      </c>
      <c r="N383">
        <f t="shared" si="98"/>
        <v>396</v>
      </c>
      <c r="O383">
        <f t="shared" si="99"/>
        <v>397</v>
      </c>
      <c r="P383" cm="1">
        <f t="array" ref="P383">INDEX($C$2:$C$14395,$N383,0)</f>
        <v>361.18800000000005</v>
      </c>
      <c r="Q383" cm="1">
        <f t="array" ref="Q383">INDEX($C$2:$C$14395,$O383,0)</f>
        <v>0</v>
      </c>
      <c r="R383" cm="1">
        <f t="array" ref="R383">INDEX($D$2:$D$14395,$N383,0)</f>
        <v>-1209.0989280000001</v>
      </c>
      <c r="S383" cm="1">
        <f t="array" ref="S383">INDEX($D$2:$D$14395,$O383,0)</f>
        <v>0</v>
      </c>
      <c r="T383">
        <f t="shared" si="100"/>
        <v>-38350.944644056908</v>
      </c>
      <c r="U383">
        <f t="shared" si="101"/>
        <v>3856.2833613215321</v>
      </c>
      <c r="V383">
        <f t="shared" si="102"/>
        <v>3837.4722229736226</v>
      </c>
      <c r="W383">
        <f t="shared" si="103"/>
        <v>5086.298361321532</v>
      </c>
      <c r="X383">
        <f t="shared" si="104"/>
        <v>5254.0233613215323</v>
      </c>
      <c r="Y383">
        <f t="shared" si="105"/>
        <v>3837.4722229736226</v>
      </c>
      <c r="Z383">
        <f t="shared" si="106"/>
        <v>3465.3879064519642</v>
      </c>
      <c r="AA383">
        <f t="shared" si="107"/>
        <v>4952.5533613215321</v>
      </c>
    </row>
    <row r="384" spans="1:27" x14ac:dyDescent="0.35">
      <c r="A384">
        <v>1146</v>
      </c>
      <c r="B384">
        <v>-3966.54</v>
      </c>
      <c r="C384">
        <f t="shared" si="97"/>
        <v>349.30080000000004</v>
      </c>
      <c r="D384">
        <f t="shared" si="90"/>
        <v>-1209.0013920000001</v>
      </c>
      <c r="E384">
        <f t="shared" si="91"/>
        <v>121.56811246908002</v>
      </c>
      <c r="F384">
        <f t="shared" si="92"/>
        <v>120.97509728630401</v>
      </c>
      <c r="G384">
        <f t="shared" si="93"/>
        <v>1519.30811246908</v>
      </c>
      <c r="H384">
        <f t="shared" si="94"/>
        <v>120.97509728630401</v>
      </c>
      <c r="I384">
        <v>1</v>
      </c>
      <c r="J384">
        <f t="shared" si="95"/>
        <v>109.24525697099473</v>
      </c>
      <c r="K384">
        <f t="shared" si="96"/>
        <v>1217.83811246908</v>
      </c>
      <c r="M384">
        <v>11494.48348799994</v>
      </c>
      <c r="N384">
        <f t="shared" si="98"/>
        <v>396</v>
      </c>
      <c r="O384">
        <f t="shared" si="99"/>
        <v>397</v>
      </c>
      <c r="P384" cm="1">
        <f t="array" ref="P384">INDEX($C$2:$C$14395,$N384,0)</f>
        <v>361.18800000000005</v>
      </c>
      <c r="Q384" cm="1">
        <f t="array" ref="Q384">INDEX($C$2:$C$14395,$O384,0)</f>
        <v>0</v>
      </c>
      <c r="R384" cm="1">
        <f t="array" ref="R384">INDEX($D$2:$D$14395,$N384,0)</f>
        <v>-1209.0989280000001</v>
      </c>
      <c r="S384" cm="1">
        <f t="array" ref="S384">INDEX($D$2:$D$14395,$O384,0)</f>
        <v>0</v>
      </c>
      <c r="T384">
        <f t="shared" si="100"/>
        <v>-38478.486725069568</v>
      </c>
      <c r="U384">
        <f t="shared" si="101"/>
        <v>3869.1080364225577</v>
      </c>
      <c r="V384">
        <f t="shared" si="102"/>
        <v>3850.2343386839116</v>
      </c>
      <c r="W384">
        <f t="shared" si="103"/>
        <v>5099.1230364225576</v>
      </c>
      <c r="X384">
        <f t="shared" si="104"/>
        <v>5266.8480364225579</v>
      </c>
      <c r="Y384">
        <f t="shared" si="105"/>
        <v>3850.2343386839116</v>
      </c>
      <c r="Z384">
        <f t="shared" si="106"/>
        <v>3476.9125974134809</v>
      </c>
      <c r="AA384">
        <f t="shared" si="107"/>
        <v>4965.3780364225577</v>
      </c>
    </row>
    <row r="385" spans="1:27" x14ac:dyDescent="0.35">
      <c r="A385">
        <v>1149</v>
      </c>
      <c r="B385">
        <v>-3966.56</v>
      </c>
      <c r="C385">
        <f t="shared" si="97"/>
        <v>350.21520000000004</v>
      </c>
      <c r="D385">
        <f t="shared" si="90"/>
        <v>-1209.007488</v>
      </c>
      <c r="E385">
        <f t="shared" si="91"/>
        <v>121.56872543711999</v>
      </c>
      <c r="F385">
        <f t="shared" si="92"/>
        <v>120.97570726425602</v>
      </c>
      <c r="G385">
        <f t="shared" si="93"/>
        <v>1519.3087254371201</v>
      </c>
      <c r="H385">
        <f t="shared" si="94"/>
        <v>120.97570726425602</v>
      </c>
      <c r="I385">
        <v>1</v>
      </c>
      <c r="J385">
        <f t="shared" si="95"/>
        <v>109.24580780500608</v>
      </c>
      <c r="K385">
        <f t="shared" si="96"/>
        <v>1217.83872543712</v>
      </c>
      <c r="M385">
        <v>11532.58348799994</v>
      </c>
      <c r="N385">
        <f t="shared" si="98"/>
        <v>396</v>
      </c>
      <c r="O385">
        <f t="shared" si="99"/>
        <v>397</v>
      </c>
      <c r="P385" cm="1">
        <f t="array" ref="P385">INDEX($C$2:$C$14395,$N385,0)</f>
        <v>361.18800000000005</v>
      </c>
      <c r="Q385" cm="1">
        <f t="array" ref="Q385">INDEX($C$2:$C$14395,$O385,0)</f>
        <v>0</v>
      </c>
      <c r="R385" cm="1">
        <f t="array" ref="R385">INDEX($D$2:$D$14395,$N385,0)</f>
        <v>-1209.0989280000001</v>
      </c>
      <c r="S385" cm="1">
        <f t="array" ref="S385">INDEX($D$2:$D$14395,$O385,0)</f>
        <v>0</v>
      </c>
      <c r="T385">
        <f t="shared" si="100"/>
        <v>-38606.028806082228</v>
      </c>
      <c r="U385">
        <f t="shared" si="101"/>
        <v>3881.9327115235837</v>
      </c>
      <c r="V385">
        <f t="shared" si="102"/>
        <v>3862.9964543941996</v>
      </c>
      <c r="W385">
        <f t="shared" si="103"/>
        <v>5111.9477115235841</v>
      </c>
      <c r="X385">
        <f t="shared" si="104"/>
        <v>5279.6727115235835</v>
      </c>
      <c r="Y385">
        <f t="shared" si="105"/>
        <v>3862.9964543941996</v>
      </c>
      <c r="Z385">
        <f t="shared" si="106"/>
        <v>3488.4372883749979</v>
      </c>
      <c r="AA385">
        <f t="shared" si="107"/>
        <v>4978.2027115235833</v>
      </c>
    </row>
    <row r="386" spans="1:27" x14ac:dyDescent="0.35">
      <c r="A386">
        <v>1152</v>
      </c>
      <c r="B386">
        <v>-3966.59</v>
      </c>
      <c r="C386">
        <f t="shared" si="97"/>
        <v>351.12960000000004</v>
      </c>
      <c r="D386">
        <f t="shared" si="90"/>
        <v>-1209.0166320000001</v>
      </c>
      <c r="E386">
        <f t="shared" si="91"/>
        <v>121.56964488918001</v>
      </c>
      <c r="F386">
        <f t="shared" si="92"/>
        <v>120.97662223118402</v>
      </c>
      <c r="G386">
        <f t="shared" si="93"/>
        <v>1519.3096448891799</v>
      </c>
      <c r="H386">
        <f t="shared" si="94"/>
        <v>120.97662223118402</v>
      </c>
      <c r="I386">
        <v>1</v>
      </c>
      <c r="J386">
        <f t="shared" si="95"/>
        <v>109.24663405602314</v>
      </c>
      <c r="K386">
        <f t="shared" si="96"/>
        <v>1217.8396448891799</v>
      </c>
      <c r="M386">
        <v>11570.683487999941</v>
      </c>
      <c r="N386">
        <f t="shared" si="98"/>
        <v>396</v>
      </c>
      <c r="O386">
        <f t="shared" si="99"/>
        <v>397</v>
      </c>
      <c r="P386" cm="1">
        <f t="array" ref="P386">INDEX($C$2:$C$14395,$N386,0)</f>
        <v>361.18800000000005</v>
      </c>
      <c r="Q386" cm="1">
        <f t="array" ref="Q386">INDEX($C$2:$C$14395,$O386,0)</f>
        <v>0</v>
      </c>
      <c r="R386" cm="1">
        <f t="array" ref="R386">INDEX($D$2:$D$14395,$N386,0)</f>
        <v>-1209.0989280000001</v>
      </c>
      <c r="S386" cm="1">
        <f t="array" ref="S386">INDEX($D$2:$D$14395,$O386,0)</f>
        <v>0</v>
      </c>
      <c r="T386">
        <f t="shared" si="100"/>
        <v>-38733.570887094887</v>
      </c>
      <c r="U386">
        <f t="shared" si="101"/>
        <v>3894.7573866246094</v>
      </c>
      <c r="V386">
        <f t="shared" si="102"/>
        <v>3875.7585701044895</v>
      </c>
      <c r="W386">
        <f t="shared" si="103"/>
        <v>5124.7723866246097</v>
      </c>
      <c r="X386">
        <f t="shared" si="104"/>
        <v>5292.4973866246091</v>
      </c>
      <c r="Y386">
        <f t="shared" si="105"/>
        <v>3875.7585701044895</v>
      </c>
      <c r="Z386">
        <f t="shared" si="106"/>
        <v>3499.9619793365146</v>
      </c>
      <c r="AA386">
        <f t="shared" si="107"/>
        <v>4991.0273866246098</v>
      </c>
    </row>
    <row r="387" spans="1:27" x14ac:dyDescent="0.35">
      <c r="A387">
        <v>1155</v>
      </c>
      <c r="B387">
        <v>-3966.61</v>
      </c>
      <c r="C387">
        <f t="shared" si="97"/>
        <v>352.04400000000004</v>
      </c>
      <c r="D387">
        <f t="shared" ref="D387:D450" si="108">B387*0.3048</f>
        <v>-1209.0227280000001</v>
      </c>
      <c r="E387">
        <f t="shared" ref="E387:E450" si="109">D387*-1*1025*9.81/10^5</f>
        <v>121.57025785722003</v>
      </c>
      <c r="F387">
        <f t="shared" ref="F387:F450" si="110">1020*D387*-1*9.81/10^5</f>
        <v>120.97723220913602</v>
      </c>
      <c r="G387">
        <f t="shared" ref="G387:G450" si="111">1397.74+E387</f>
        <v>1519.31025785722</v>
      </c>
      <c r="H387">
        <f t="shared" ref="H387:H450" si="112">F387</f>
        <v>120.97723220913602</v>
      </c>
      <c r="I387">
        <v>1</v>
      </c>
      <c r="J387">
        <f t="shared" ref="J387:J450" si="113">921.1*D387*-1*9.81/10^5</f>
        <v>109.24718489003452</v>
      </c>
      <c r="K387">
        <f t="shared" ref="K387:K450" si="114">1096.27+E387</f>
        <v>1217.84025785722</v>
      </c>
      <c r="M387">
        <v>11604.744887999939</v>
      </c>
      <c r="N387">
        <f t="shared" si="98"/>
        <v>396</v>
      </c>
      <c r="O387">
        <f t="shared" si="99"/>
        <v>397</v>
      </c>
      <c r="P387" cm="1">
        <f t="array" ref="P387">INDEX($C$2:$C$14395,$N387,0)</f>
        <v>361.18800000000005</v>
      </c>
      <c r="Q387" cm="1">
        <f t="array" ref="Q387">INDEX($C$2:$C$14395,$O387,0)</f>
        <v>0</v>
      </c>
      <c r="R387" cm="1">
        <f t="array" ref="R387">INDEX($D$2:$D$14395,$N387,0)</f>
        <v>-1209.0989280000001</v>
      </c>
      <c r="S387" cm="1">
        <f t="array" ref="S387">INDEX($D$2:$D$14395,$O387,0)</f>
        <v>0</v>
      </c>
      <c r="T387">
        <f t="shared" si="100"/>
        <v>-38847.5935075202</v>
      </c>
      <c r="U387">
        <f t="shared" si="101"/>
        <v>3906.2226461649252</v>
      </c>
      <c r="V387">
        <f t="shared" si="102"/>
        <v>3887.167901549486</v>
      </c>
      <c r="W387">
        <f t="shared" si="103"/>
        <v>5136.2376461649255</v>
      </c>
      <c r="X387">
        <f t="shared" si="104"/>
        <v>5303.962646164925</v>
      </c>
      <c r="Y387">
        <f t="shared" si="105"/>
        <v>3887.167901549486</v>
      </c>
      <c r="Z387">
        <f t="shared" si="106"/>
        <v>3510.26505305611</v>
      </c>
      <c r="AA387">
        <f t="shared" si="107"/>
        <v>5002.4926461649247</v>
      </c>
    </row>
    <row r="388" spans="1:27" x14ac:dyDescent="0.35">
      <c r="A388">
        <v>1158</v>
      </c>
      <c r="B388">
        <v>-3966.64</v>
      </c>
      <c r="C388">
        <f t="shared" ref="C388:C451" si="115">A388*0.3048</f>
        <v>352.95840000000004</v>
      </c>
      <c r="D388">
        <f t="shared" si="108"/>
        <v>-1209.031872</v>
      </c>
      <c r="E388">
        <f t="shared" si="109"/>
        <v>121.57117730928002</v>
      </c>
      <c r="F388">
        <f t="shared" si="110"/>
        <v>120.978147176064</v>
      </c>
      <c r="G388">
        <f t="shared" si="111"/>
        <v>1519.3111773092801</v>
      </c>
      <c r="H388">
        <f t="shared" si="112"/>
        <v>120.978147176064</v>
      </c>
      <c r="I388">
        <v>1</v>
      </c>
      <c r="J388">
        <f t="shared" si="113"/>
        <v>109.24801114105152</v>
      </c>
      <c r="K388">
        <f t="shared" si="114"/>
        <v>1217.8411773092801</v>
      </c>
      <c r="M388">
        <v>11634.76768799994</v>
      </c>
      <c r="N388">
        <f t="shared" ref="N388:N451" si="116">MATCH($M388,$C$2:$C$14395,1)</f>
        <v>396</v>
      </c>
      <c r="O388">
        <f t="shared" ref="O388:O451" si="117">N388+1</f>
        <v>397</v>
      </c>
      <c r="P388" cm="1">
        <f t="array" ref="P388">INDEX($C$2:$C$14395,$N388,0)</f>
        <v>361.18800000000005</v>
      </c>
      <c r="Q388" cm="1">
        <f t="array" ref="Q388">INDEX($C$2:$C$14395,$O388,0)</f>
        <v>0</v>
      </c>
      <c r="R388" cm="1">
        <f t="array" ref="R388">INDEX($D$2:$D$14395,$N388,0)</f>
        <v>-1209.0989280000001</v>
      </c>
      <c r="S388" cm="1">
        <f t="array" ref="S388">INDEX($D$2:$D$14395,$O388,0)</f>
        <v>0</v>
      </c>
      <c r="T388">
        <f t="shared" ref="T388:T451" si="118">FORECAST(M388,R388:S388,P388:Q388)</f>
        <v>-38948.096667358179</v>
      </c>
      <c r="U388">
        <f t="shared" ref="U388:U451" si="119">1025*T388*-1*9.81/10^5</f>
        <v>3916.3284901445336</v>
      </c>
      <c r="V388">
        <f t="shared" ref="V388:V451" si="120">1020*T388*-1*9.81/10^5</f>
        <v>3897.2244487291937</v>
      </c>
      <c r="W388">
        <f t="shared" ref="W388:W451" si="121">1230.015+U388</f>
        <v>5146.3434901445335</v>
      </c>
      <c r="X388">
        <f t="shared" ref="X388:X451" si="122">1397.74+U388</f>
        <v>5314.0684901445338</v>
      </c>
      <c r="Y388">
        <f t="shared" ref="Y388:Y451" si="123">V388</f>
        <v>3897.2244487291937</v>
      </c>
      <c r="Z388">
        <f t="shared" ref="Z388:Z451" si="124">921.1*T388*-1*9.81/10^5</f>
        <v>3519.3465095337856</v>
      </c>
      <c r="AA388">
        <f t="shared" ref="AA388:AA451" si="125">1096.27+U388</f>
        <v>5012.5984901445336</v>
      </c>
    </row>
    <row r="389" spans="1:27" x14ac:dyDescent="0.35">
      <c r="A389">
        <v>1161</v>
      </c>
      <c r="B389">
        <v>-3966.67</v>
      </c>
      <c r="C389">
        <f t="shared" si="115"/>
        <v>353.87280000000004</v>
      </c>
      <c r="D389">
        <f t="shared" si="108"/>
        <v>-1209.0410160000001</v>
      </c>
      <c r="E389">
        <f t="shared" si="109"/>
        <v>121.57209676134003</v>
      </c>
      <c r="F389">
        <f t="shared" si="110"/>
        <v>120.97906214299203</v>
      </c>
      <c r="G389">
        <f t="shared" si="111"/>
        <v>1519.3120967613399</v>
      </c>
      <c r="H389">
        <f t="shared" si="112"/>
        <v>120.97906214299203</v>
      </c>
      <c r="I389">
        <v>1</v>
      </c>
      <c r="J389">
        <f t="shared" si="113"/>
        <v>109.24883739206858</v>
      </c>
      <c r="K389">
        <f t="shared" si="114"/>
        <v>1217.8420967613399</v>
      </c>
      <c r="M389">
        <v>11668.82908799994</v>
      </c>
      <c r="N389">
        <f t="shared" si="116"/>
        <v>396</v>
      </c>
      <c r="O389">
        <f t="shared" si="117"/>
        <v>397</v>
      </c>
      <c r="P389" cm="1">
        <f t="array" ref="P389">INDEX($C$2:$C$14395,$N389,0)</f>
        <v>361.18800000000005</v>
      </c>
      <c r="Q389" cm="1">
        <f t="array" ref="Q389">INDEX($C$2:$C$14395,$O389,0)</f>
        <v>0</v>
      </c>
      <c r="R389" cm="1">
        <f t="array" ref="R389">INDEX($D$2:$D$14395,$N389,0)</f>
        <v>-1209.0989280000001</v>
      </c>
      <c r="S389" cm="1">
        <f t="array" ref="S389">INDEX($D$2:$D$14395,$O389,0)</f>
        <v>0</v>
      </c>
      <c r="T389">
        <f t="shared" si="118"/>
        <v>-39062.119287783498</v>
      </c>
      <c r="U389">
        <f t="shared" si="119"/>
        <v>3927.7937496848499</v>
      </c>
      <c r="V389">
        <f t="shared" si="120"/>
        <v>3908.6337801741929</v>
      </c>
      <c r="W389">
        <f t="shared" si="121"/>
        <v>5157.8087496848502</v>
      </c>
      <c r="X389">
        <f t="shared" si="122"/>
        <v>5325.5337496848497</v>
      </c>
      <c r="Y389">
        <f t="shared" si="123"/>
        <v>3908.6337801741929</v>
      </c>
      <c r="Z389">
        <f t="shared" si="124"/>
        <v>3529.6495832533806</v>
      </c>
      <c r="AA389">
        <f t="shared" si="125"/>
        <v>5024.0637496848503</v>
      </c>
    </row>
    <row r="390" spans="1:27" x14ac:dyDescent="0.35">
      <c r="A390">
        <v>1164</v>
      </c>
      <c r="B390">
        <v>-3966.7</v>
      </c>
      <c r="C390">
        <f t="shared" si="115"/>
        <v>354.78720000000004</v>
      </c>
      <c r="D390">
        <f t="shared" si="108"/>
        <v>-1209.05016</v>
      </c>
      <c r="E390">
        <f t="shared" si="109"/>
        <v>121.57301621340001</v>
      </c>
      <c r="F390">
        <f t="shared" si="110"/>
        <v>120.97997710992001</v>
      </c>
      <c r="G390">
        <f t="shared" si="111"/>
        <v>1519.3130162134</v>
      </c>
      <c r="H390">
        <f t="shared" si="112"/>
        <v>120.97997710992001</v>
      </c>
      <c r="I390">
        <v>1</v>
      </c>
      <c r="J390">
        <f t="shared" si="113"/>
        <v>109.2496636430856</v>
      </c>
      <c r="K390">
        <f t="shared" si="114"/>
        <v>1217.8430162134</v>
      </c>
      <c r="M390">
        <v>11706.929087999941</v>
      </c>
      <c r="N390">
        <f t="shared" si="116"/>
        <v>396</v>
      </c>
      <c r="O390">
        <f t="shared" si="117"/>
        <v>397</v>
      </c>
      <c r="P390" cm="1">
        <f t="array" ref="P390">INDEX($C$2:$C$14395,$N390,0)</f>
        <v>361.18800000000005</v>
      </c>
      <c r="Q390" cm="1">
        <f t="array" ref="Q390">INDEX($C$2:$C$14395,$O390,0)</f>
        <v>0</v>
      </c>
      <c r="R390" cm="1">
        <f t="array" ref="R390">INDEX($D$2:$D$14395,$N390,0)</f>
        <v>-1209.0989280000001</v>
      </c>
      <c r="S390" cm="1">
        <f t="array" ref="S390">INDEX($D$2:$D$14395,$O390,0)</f>
        <v>0</v>
      </c>
      <c r="T390">
        <f t="shared" si="118"/>
        <v>-39189.661368796158</v>
      </c>
      <c r="U390">
        <f t="shared" si="119"/>
        <v>3940.6184247858755</v>
      </c>
      <c r="V390">
        <f t="shared" si="120"/>
        <v>3921.395895884481</v>
      </c>
      <c r="W390">
        <f t="shared" si="121"/>
        <v>5170.6334247858758</v>
      </c>
      <c r="X390">
        <f t="shared" si="122"/>
        <v>5338.3584247858753</v>
      </c>
      <c r="Y390">
        <f t="shared" si="123"/>
        <v>3921.395895884481</v>
      </c>
      <c r="Z390">
        <f t="shared" si="124"/>
        <v>3541.1742742148977</v>
      </c>
      <c r="AA390">
        <f t="shared" si="125"/>
        <v>5036.888424785875</v>
      </c>
    </row>
    <row r="391" spans="1:27" x14ac:dyDescent="0.35">
      <c r="A391">
        <v>1167</v>
      </c>
      <c r="B391">
        <v>-3966.72</v>
      </c>
      <c r="C391">
        <f t="shared" si="115"/>
        <v>355.70160000000004</v>
      </c>
      <c r="D391">
        <f t="shared" si="108"/>
        <v>-1209.0562560000001</v>
      </c>
      <c r="E391">
        <f t="shared" si="109"/>
        <v>121.57362918144001</v>
      </c>
      <c r="F391">
        <f t="shared" si="110"/>
        <v>120.98058708787201</v>
      </c>
      <c r="G391">
        <f t="shared" si="111"/>
        <v>1519.3136291814401</v>
      </c>
      <c r="H391">
        <f t="shared" si="112"/>
        <v>120.98058708787201</v>
      </c>
      <c r="I391">
        <v>1</v>
      </c>
      <c r="J391">
        <f t="shared" si="113"/>
        <v>109.25021447709699</v>
      </c>
      <c r="K391">
        <f t="shared" si="114"/>
        <v>1217.8436291814401</v>
      </c>
      <c r="M391">
        <v>11745.029087999939</v>
      </c>
      <c r="N391">
        <f t="shared" si="116"/>
        <v>396</v>
      </c>
      <c r="O391">
        <f t="shared" si="117"/>
        <v>397</v>
      </c>
      <c r="P391" cm="1">
        <f t="array" ref="P391">INDEX($C$2:$C$14395,$N391,0)</f>
        <v>361.18800000000005</v>
      </c>
      <c r="Q391" cm="1">
        <f t="array" ref="Q391">INDEX($C$2:$C$14395,$O391,0)</f>
        <v>0</v>
      </c>
      <c r="R391" cm="1">
        <f t="array" ref="R391">INDEX($D$2:$D$14395,$N391,0)</f>
        <v>-1209.0989280000001</v>
      </c>
      <c r="S391" cm="1">
        <f t="array" ref="S391">INDEX($D$2:$D$14395,$O391,0)</f>
        <v>0</v>
      </c>
      <c r="T391">
        <f t="shared" si="118"/>
        <v>-39317.203449808811</v>
      </c>
      <c r="U391">
        <f t="shared" si="119"/>
        <v>3953.4430998869007</v>
      </c>
      <c r="V391">
        <f t="shared" si="120"/>
        <v>3934.15801159477</v>
      </c>
      <c r="W391">
        <f t="shared" si="121"/>
        <v>5183.4580998869005</v>
      </c>
      <c r="X391">
        <f t="shared" si="122"/>
        <v>5351.1830998869009</v>
      </c>
      <c r="Y391">
        <f t="shared" si="123"/>
        <v>3934.15801159477</v>
      </c>
      <c r="Z391">
        <f t="shared" si="124"/>
        <v>3552.6989651764138</v>
      </c>
      <c r="AA391">
        <f t="shared" si="125"/>
        <v>5049.7130998869006</v>
      </c>
    </row>
    <row r="392" spans="1:27" x14ac:dyDescent="0.35">
      <c r="A392">
        <v>1170</v>
      </c>
      <c r="B392">
        <v>-3966.74</v>
      </c>
      <c r="C392">
        <f t="shared" si="115"/>
        <v>356.61600000000004</v>
      </c>
      <c r="D392">
        <f t="shared" si="108"/>
        <v>-1209.0623519999999</v>
      </c>
      <c r="E392">
        <f t="shared" si="109"/>
        <v>121.57424214948</v>
      </c>
      <c r="F392">
        <f t="shared" si="110"/>
        <v>120.98119706582401</v>
      </c>
      <c r="G392">
        <f t="shared" si="111"/>
        <v>1519.3142421494799</v>
      </c>
      <c r="H392">
        <f t="shared" si="112"/>
        <v>120.98119706582401</v>
      </c>
      <c r="I392">
        <v>1</v>
      </c>
      <c r="J392">
        <f t="shared" si="113"/>
        <v>109.25076531110832</v>
      </c>
      <c r="K392">
        <f t="shared" si="114"/>
        <v>1217.8442421494799</v>
      </c>
      <c r="M392">
        <v>11783.12908799994</v>
      </c>
      <c r="N392">
        <f t="shared" si="116"/>
        <v>396</v>
      </c>
      <c r="O392">
        <f t="shared" si="117"/>
        <v>397</v>
      </c>
      <c r="P392" cm="1">
        <f t="array" ref="P392">INDEX($C$2:$C$14395,$N392,0)</f>
        <v>361.18800000000005</v>
      </c>
      <c r="Q392" cm="1">
        <f t="array" ref="Q392">INDEX($C$2:$C$14395,$O392,0)</f>
        <v>0</v>
      </c>
      <c r="R392" cm="1">
        <f t="array" ref="R392">INDEX($D$2:$D$14395,$N392,0)</f>
        <v>-1209.0989280000001</v>
      </c>
      <c r="S392" cm="1">
        <f t="array" ref="S392">INDEX($D$2:$D$14395,$O392,0)</f>
        <v>0</v>
      </c>
      <c r="T392">
        <f t="shared" si="118"/>
        <v>-39444.74553082147</v>
      </c>
      <c r="U392">
        <f t="shared" si="119"/>
        <v>3966.2677749879258</v>
      </c>
      <c r="V392">
        <f t="shared" si="120"/>
        <v>3946.920127305058</v>
      </c>
      <c r="W392">
        <f t="shared" si="121"/>
        <v>5196.2827749879261</v>
      </c>
      <c r="X392">
        <f t="shared" si="122"/>
        <v>5364.0077749879256</v>
      </c>
      <c r="Y392">
        <f t="shared" si="123"/>
        <v>3946.920127305058</v>
      </c>
      <c r="Z392">
        <f t="shared" si="124"/>
        <v>3564.22365613793</v>
      </c>
      <c r="AA392">
        <f t="shared" si="125"/>
        <v>5062.5377749879262</v>
      </c>
    </row>
    <row r="393" spans="1:27" x14ac:dyDescent="0.35">
      <c r="A393">
        <v>1173</v>
      </c>
      <c r="B393">
        <v>-3966.76</v>
      </c>
      <c r="C393">
        <f t="shared" si="115"/>
        <v>357.53040000000004</v>
      </c>
      <c r="D393">
        <f t="shared" si="108"/>
        <v>-1209.0684480000002</v>
      </c>
      <c r="E393">
        <f t="shared" si="109"/>
        <v>121.57485511752002</v>
      </c>
      <c r="F393">
        <f t="shared" si="110"/>
        <v>120.98180704377603</v>
      </c>
      <c r="G393">
        <f t="shared" si="111"/>
        <v>1519.31485511752</v>
      </c>
      <c r="H393">
        <f t="shared" si="112"/>
        <v>120.98180704377603</v>
      </c>
      <c r="I393">
        <v>1</v>
      </c>
      <c r="J393">
        <f t="shared" si="113"/>
        <v>109.2513161451197</v>
      </c>
      <c r="K393">
        <f t="shared" si="114"/>
        <v>1217.84485511752</v>
      </c>
      <c r="M393" s="22">
        <v>11821.22908799994</v>
      </c>
      <c r="N393">
        <f t="shared" si="116"/>
        <v>396</v>
      </c>
      <c r="O393">
        <f t="shared" si="117"/>
        <v>397</v>
      </c>
      <c r="P393" cm="1">
        <f t="array" ref="P393">INDEX($C$2:$C$14395,$N393,0)</f>
        <v>361.18800000000005</v>
      </c>
      <c r="Q393" cm="1">
        <f t="array" ref="Q393">INDEX($C$2:$C$14395,$O393,0)</f>
        <v>0</v>
      </c>
      <c r="R393" cm="1">
        <f t="array" ref="R393">INDEX($D$2:$D$14395,$N393,0)</f>
        <v>-1209.0989280000001</v>
      </c>
      <c r="S393" cm="1">
        <f t="array" ref="S393">INDEX($D$2:$D$14395,$O393,0)</f>
        <v>0</v>
      </c>
      <c r="T393">
        <f t="shared" si="118"/>
        <v>-39572.28761183413</v>
      </c>
      <c r="U393">
        <f t="shared" si="119"/>
        <v>3979.0924500889514</v>
      </c>
      <c r="V393">
        <f t="shared" si="120"/>
        <v>3959.6822430153466</v>
      </c>
      <c r="W393">
        <f t="shared" si="121"/>
        <v>5209.1074500889517</v>
      </c>
      <c r="X393">
        <f t="shared" si="122"/>
        <v>5376.8324500889512</v>
      </c>
      <c r="Y393">
        <f t="shared" si="123"/>
        <v>3959.6822430153466</v>
      </c>
      <c r="Z393">
        <f t="shared" si="124"/>
        <v>3575.7483470994466</v>
      </c>
      <c r="AA393">
        <f t="shared" si="125"/>
        <v>5075.3624500889509</v>
      </c>
    </row>
    <row r="394" spans="1:27" x14ac:dyDescent="0.35">
      <c r="A394">
        <v>1176</v>
      </c>
      <c r="B394">
        <v>-3966.78</v>
      </c>
      <c r="C394">
        <f t="shared" si="115"/>
        <v>358.44480000000004</v>
      </c>
      <c r="D394">
        <f t="shared" si="108"/>
        <v>-1209.0745440000001</v>
      </c>
      <c r="E394">
        <f t="shared" si="109"/>
        <v>121.57546808556002</v>
      </c>
      <c r="F394">
        <f t="shared" si="110"/>
        <v>120.98241702172803</v>
      </c>
      <c r="G394">
        <f t="shared" si="111"/>
        <v>1519.31546808556</v>
      </c>
      <c r="H394">
        <f t="shared" si="112"/>
        <v>120.98241702172803</v>
      </c>
      <c r="I394">
        <v>1</v>
      </c>
      <c r="J394">
        <f t="shared" si="113"/>
        <v>109.25186697913105</v>
      </c>
      <c r="K394">
        <f t="shared" si="114"/>
        <v>1217.84546808556</v>
      </c>
      <c r="M394">
        <v>11859.32908799994</v>
      </c>
      <c r="N394">
        <f t="shared" si="116"/>
        <v>396</v>
      </c>
      <c r="O394">
        <f t="shared" si="117"/>
        <v>397</v>
      </c>
      <c r="P394" cm="1">
        <f t="array" ref="P394">INDEX($C$2:$C$14395,$N394,0)</f>
        <v>361.18800000000005</v>
      </c>
      <c r="Q394" cm="1">
        <f t="array" ref="Q394">INDEX($C$2:$C$14395,$O394,0)</f>
        <v>0</v>
      </c>
      <c r="R394" cm="1">
        <f t="array" ref="R394">INDEX($D$2:$D$14395,$N394,0)</f>
        <v>-1209.0989280000001</v>
      </c>
      <c r="S394" cm="1">
        <f t="array" ref="S394">INDEX($D$2:$D$14395,$O394,0)</f>
        <v>0</v>
      </c>
      <c r="T394">
        <f t="shared" si="118"/>
        <v>-39699.82969284679</v>
      </c>
      <c r="U394">
        <f t="shared" si="119"/>
        <v>3991.9171251899775</v>
      </c>
      <c r="V394">
        <f t="shared" si="120"/>
        <v>3972.444358725636</v>
      </c>
      <c r="W394">
        <f t="shared" si="121"/>
        <v>5221.9321251899773</v>
      </c>
      <c r="X394">
        <f t="shared" si="122"/>
        <v>5389.6571251899777</v>
      </c>
      <c r="Y394">
        <f t="shared" si="123"/>
        <v>3972.444358725636</v>
      </c>
      <c r="Z394">
        <f t="shared" si="124"/>
        <v>3587.2730380609637</v>
      </c>
      <c r="AA394">
        <f t="shared" si="125"/>
        <v>5088.1871251899775</v>
      </c>
    </row>
    <row r="395" spans="1:27" x14ac:dyDescent="0.35">
      <c r="A395">
        <v>1179</v>
      </c>
      <c r="B395">
        <v>-3966.8</v>
      </c>
      <c r="C395">
        <f t="shared" si="115"/>
        <v>359.35920000000004</v>
      </c>
      <c r="D395">
        <f t="shared" si="108"/>
        <v>-1209.0806400000001</v>
      </c>
      <c r="E395">
        <f t="shared" si="109"/>
        <v>121.57608105360003</v>
      </c>
      <c r="F395">
        <f t="shared" si="110"/>
        <v>120.98302699968002</v>
      </c>
      <c r="G395">
        <f t="shared" si="111"/>
        <v>1519.3160810536001</v>
      </c>
      <c r="H395">
        <f t="shared" si="112"/>
        <v>120.98302699968002</v>
      </c>
      <c r="I395">
        <v>1</v>
      </c>
      <c r="J395">
        <f t="shared" si="113"/>
        <v>109.25241781314243</v>
      </c>
      <c r="K395">
        <f t="shared" si="114"/>
        <v>1217.8460810536001</v>
      </c>
      <c r="M395">
        <v>11888.61122399994</v>
      </c>
      <c r="N395">
        <f t="shared" si="116"/>
        <v>396</v>
      </c>
      <c r="O395">
        <f t="shared" si="117"/>
        <v>397</v>
      </c>
      <c r="P395" cm="1">
        <f t="array" ref="P395">INDEX($C$2:$C$14395,$N395,0)</f>
        <v>361.18800000000005</v>
      </c>
      <c r="Q395" cm="1">
        <f t="array" ref="Q395">INDEX($C$2:$C$14395,$O395,0)</f>
        <v>0</v>
      </c>
      <c r="R395" cm="1">
        <f t="array" ref="R395">INDEX($D$2:$D$14395,$N395,0)</f>
        <v>-1209.0989280000001</v>
      </c>
      <c r="S395" cm="1">
        <f t="array" ref="S395">INDEX($D$2:$D$14395,$O395,0)</f>
        <v>0</v>
      </c>
      <c r="T395">
        <f t="shared" si="118"/>
        <v>-39797.853434629877</v>
      </c>
      <c r="U395">
        <f t="shared" si="119"/>
        <v>4001.7736574856208</v>
      </c>
      <c r="V395">
        <f t="shared" si="120"/>
        <v>3982.252810375935</v>
      </c>
      <c r="W395">
        <f t="shared" si="121"/>
        <v>5231.7886574856211</v>
      </c>
      <c r="X395">
        <f t="shared" si="122"/>
        <v>5399.5136574856206</v>
      </c>
      <c r="Y395">
        <f t="shared" si="123"/>
        <v>3982.252810375935</v>
      </c>
      <c r="Z395">
        <f t="shared" si="124"/>
        <v>3596.1304545463472</v>
      </c>
      <c r="AA395">
        <f t="shared" si="125"/>
        <v>5098.0436574856212</v>
      </c>
    </row>
    <row r="396" spans="1:27" x14ac:dyDescent="0.35">
      <c r="A396">
        <v>1182</v>
      </c>
      <c r="B396">
        <v>-3966.83</v>
      </c>
      <c r="C396">
        <f t="shared" si="115"/>
        <v>360.27360000000004</v>
      </c>
      <c r="D396">
        <f t="shared" si="108"/>
        <v>-1209.089784</v>
      </c>
      <c r="E396">
        <f t="shared" si="109"/>
        <v>121.57700050566001</v>
      </c>
      <c r="F396">
        <f t="shared" si="110"/>
        <v>120.983941966608</v>
      </c>
      <c r="G396">
        <f t="shared" si="111"/>
        <v>1519.31700050566</v>
      </c>
      <c r="H396">
        <f t="shared" si="112"/>
        <v>120.983941966608</v>
      </c>
      <c r="I396">
        <v>1</v>
      </c>
      <c r="J396">
        <f t="shared" si="113"/>
        <v>109.25324406415945</v>
      </c>
      <c r="K396">
        <f t="shared" si="114"/>
        <v>1217.8470005056599</v>
      </c>
      <c r="M396">
        <v>11909.075495999939</v>
      </c>
      <c r="N396">
        <f t="shared" si="116"/>
        <v>396</v>
      </c>
      <c r="O396">
        <f t="shared" si="117"/>
        <v>397</v>
      </c>
      <c r="P396" cm="1">
        <f t="array" ref="P396">INDEX($C$2:$C$14395,$N396,0)</f>
        <v>361.18800000000005</v>
      </c>
      <c r="Q396" cm="1">
        <f t="array" ref="Q396">INDEX($C$2:$C$14395,$O396,0)</f>
        <v>0</v>
      </c>
      <c r="R396" cm="1">
        <f t="array" ref="R396">INDEX($D$2:$D$14395,$N396,0)</f>
        <v>-1209.0989280000001</v>
      </c>
      <c r="S396" cm="1">
        <f t="array" ref="S396">INDEX($D$2:$D$14395,$O396,0)</f>
        <v>0</v>
      </c>
      <c r="T396">
        <f t="shared" si="118"/>
        <v>-39866.35883718339</v>
      </c>
      <c r="U396">
        <f t="shared" si="119"/>
        <v>4008.6620469758827</v>
      </c>
      <c r="V396">
        <f t="shared" si="120"/>
        <v>3989.1075979662446</v>
      </c>
      <c r="W396">
        <f t="shared" si="121"/>
        <v>5238.6770469758831</v>
      </c>
      <c r="X396">
        <f t="shared" si="122"/>
        <v>5406.4020469758825</v>
      </c>
      <c r="Y396">
        <f t="shared" si="123"/>
        <v>3989.1075979662446</v>
      </c>
      <c r="Z396">
        <f t="shared" si="124"/>
        <v>3602.3205965555958</v>
      </c>
      <c r="AA396">
        <f t="shared" si="125"/>
        <v>5104.9320469758823</v>
      </c>
    </row>
    <row r="397" spans="1:27" x14ac:dyDescent="0.35">
      <c r="A397">
        <v>1185</v>
      </c>
      <c r="B397">
        <v>-3966.86</v>
      </c>
      <c r="C397">
        <f t="shared" si="115"/>
        <v>361.18800000000005</v>
      </c>
      <c r="D397">
        <f t="shared" si="108"/>
        <v>-1209.0989280000001</v>
      </c>
      <c r="E397">
        <f t="shared" si="109"/>
        <v>121.57791995772003</v>
      </c>
      <c r="F397">
        <f t="shared" si="110"/>
        <v>120.98485693353601</v>
      </c>
      <c r="G397">
        <f t="shared" si="111"/>
        <v>1519.3179199577201</v>
      </c>
      <c r="H397">
        <f t="shared" si="112"/>
        <v>120.98485693353601</v>
      </c>
      <c r="I397">
        <v>1</v>
      </c>
      <c r="J397">
        <f t="shared" si="113"/>
        <v>109.25407031517649</v>
      </c>
      <c r="K397">
        <f t="shared" si="114"/>
        <v>1217.84791995772</v>
      </c>
      <c r="M397">
        <v>11938.357631999939</v>
      </c>
      <c r="N397">
        <f t="shared" si="116"/>
        <v>396</v>
      </c>
      <c r="O397">
        <f t="shared" si="117"/>
        <v>397</v>
      </c>
      <c r="P397" cm="1">
        <f t="array" ref="P397">INDEX($C$2:$C$14395,$N397,0)</f>
        <v>361.18800000000005</v>
      </c>
      <c r="Q397" cm="1">
        <f t="array" ref="Q397">INDEX($C$2:$C$14395,$O397,0)</f>
        <v>0</v>
      </c>
      <c r="R397" cm="1">
        <f t="array" ref="R397">INDEX($D$2:$D$14395,$N397,0)</f>
        <v>-1209.0989280000001</v>
      </c>
      <c r="S397" cm="1">
        <f t="array" ref="S397">INDEX($D$2:$D$14395,$O397,0)</f>
        <v>0</v>
      </c>
      <c r="T397">
        <f t="shared" si="118"/>
        <v>-39964.382578966477</v>
      </c>
      <c r="U397">
        <f t="shared" si="119"/>
        <v>4018.518579271527</v>
      </c>
      <c r="V397">
        <f t="shared" si="120"/>
        <v>3998.9160496165437</v>
      </c>
      <c r="W397">
        <f t="shared" si="121"/>
        <v>5248.5335792715268</v>
      </c>
      <c r="X397">
        <f t="shared" si="122"/>
        <v>5416.2585792715272</v>
      </c>
      <c r="Y397">
        <f t="shared" si="123"/>
        <v>3998.9160496165437</v>
      </c>
      <c r="Z397">
        <f t="shared" si="124"/>
        <v>3611.1780130409788</v>
      </c>
      <c r="AA397">
        <f t="shared" si="125"/>
        <v>5114.7885792715269</v>
      </c>
    </row>
  </sheetData>
  <pageMargins left="0.7" right="0.7" top="0.75" bottom="0.75" header="0.3" footer="0.3"/>
  <pageSetup orientation="portrait" horizontalDpi="200" verticalDpi="200" r:id="rId1"/>
  <headerFooter>
    <oddHeader>&amp;L&amp;"Calibri"&amp;10&amp;K0000FFTechnipFMC | Internal&amp;1#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F5A4-2E31-4D03-99A2-A0F04E62D130}">
  <dimension ref="A1:AS569"/>
  <sheetViews>
    <sheetView workbookViewId="0">
      <selection activeCell="A6" sqref="A6:AS396"/>
    </sheetView>
  </sheetViews>
  <sheetFormatPr defaultRowHeight="14.5" x14ac:dyDescent="0.35"/>
  <cols>
    <col min="1" max="18" width="14.26953125" style="13" customWidth="1"/>
  </cols>
  <sheetData>
    <row r="1" spans="1:45" x14ac:dyDescent="0.35">
      <c r="A1" s="13" t="s">
        <v>143</v>
      </c>
      <c r="B1" s="39" t="s">
        <v>125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1"/>
      <c r="S1" s="39" t="s">
        <v>148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41"/>
      <c r="AJ1" s="40" t="s">
        <v>149</v>
      </c>
      <c r="AK1" s="40"/>
      <c r="AL1" s="40"/>
      <c r="AM1" s="40"/>
      <c r="AN1" s="40"/>
      <c r="AO1" s="40"/>
      <c r="AP1" s="40"/>
      <c r="AQ1" s="40"/>
      <c r="AR1" s="40"/>
      <c r="AS1" s="40"/>
    </row>
    <row r="2" spans="1:45" x14ac:dyDescent="0.35">
      <c r="A2" s="13" t="s">
        <v>144</v>
      </c>
      <c r="B2" s="9" t="s">
        <v>126</v>
      </c>
      <c r="C2" s="9" t="s">
        <v>127</v>
      </c>
      <c r="D2" s="9" t="s">
        <v>128</v>
      </c>
      <c r="E2" s="9" t="s">
        <v>129</v>
      </c>
      <c r="F2" s="9" t="s">
        <v>130</v>
      </c>
      <c r="G2" s="9" t="s">
        <v>131</v>
      </c>
      <c r="H2" s="9" t="s">
        <v>132</v>
      </c>
      <c r="I2" s="9" t="s">
        <v>133</v>
      </c>
      <c r="J2" s="9" t="s">
        <v>134</v>
      </c>
      <c r="K2" s="9" t="s">
        <v>135</v>
      </c>
      <c r="L2" s="9" t="s">
        <v>136</v>
      </c>
      <c r="M2" s="9" t="s">
        <v>137</v>
      </c>
      <c r="N2" s="9" t="s">
        <v>138</v>
      </c>
      <c r="O2" s="9" t="s">
        <v>139</v>
      </c>
      <c r="P2" s="9" t="s">
        <v>140</v>
      </c>
      <c r="Q2" s="9" t="s">
        <v>141</v>
      </c>
      <c r="R2" s="10" t="s">
        <v>142</v>
      </c>
      <c r="S2" s="9" t="s">
        <v>126</v>
      </c>
      <c r="T2" s="9" t="s">
        <v>127</v>
      </c>
      <c r="U2" s="9" t="s">
        <v>128</v>
      </c>
      <c r="V2" s="9" t="s">
        <v>129</v>
      </c>
      <c r="W2" s="9" t="s">
        <v>130</v>
      </c>
      <c r="X2" s="9" t="s">
        <v>131</v>
      </c>
      <c r="Y2" s="9" t="s">
        <v>132</v>
      </c>
      <c r="Z2" s="9" t="s">
        <v>133</v>
      </c>
      <c r="AA2" s="9" t="s">
        <v>134</v>
      </c>
      <c r="AB2" s="9" t="s">
        <v>135</v>
      </c>
      <c r="AC2" s="9" t="s">
        <v>136</v>
      </c>
      <c r="AD2" s="9" t="s">
        <v>137</v>
      </c>
      <c r="AE2" s="9" t="s">
        <v>138</v>
      </c>
      <c r="AF2" s="9" t="s">
        <v>139</v>
      </c>
      <c r="AG2" s="9" t="s">
        <v>140</v>
      </c>
      <c r="AH2" s="9" t="s">
        <v>141</v>
      </c>
      <c r="AI2" s="10" t="s">
        <v>142</v>
      </c>
      <c r="AJ2" s="9" t="s">
        <v>126</v>
      </c>
      <c r="AK2" s="9" t="s">
        <v>150</v>
      </c>
      <c r="AL2" s="9" t="s">
        <v>128</v>
      </c>
      <c r="AM2" s="9" t="s">
        <v>129</v>
      </c>
      <c r="AN2" s="9" t="s">
        <v>130</v>
      </c>
      <c r="AO2" s="9" t="s">
        <v>131</v>
      </c>
      <c r="AP2" s="9" t="s">
        <v>132</v>
      </c>
      <c r="AQ2" s="9" t="s">
        <v>133</v>
      </c>
      <c r="AR2" s="9" t="s">
        <v>141</v>
      </c>
      <c r="AS2" s="9" t="s">
        <v>142</v>
      </c>
    </row>
    <row r="3" spans="1:45" x14ac:dyDescent="0.35">
      <c r="A3" s="13" t="s">
        <v>145</v>
      </c>
      <c r="B3" s="11">
        <v>5.8799999999999998E-2</v>
      </c>
      <c r="C3" s="11">
        <v>0.1176</v>
      </c>
      <c r="D3" s="11">
        <v>0.17649999999999999</v>
      </c>
      <c r="E3" s="11">
        <v>0.23530000000000001</v>
      </c>
      <c r="F3" s="11">
        <v>0.29409999999999997</v>
      </c>
      <c r="G3" s="11">
        <v>0.35289999999999999</v>
      </c>
      <c r="H3" s="11">
        <v>0.4118</v>
      </c>
      <c r="I3" s="11">
        <v>0.47060000000000002</v>
      </c>
      <c r="J3" s="11">
        <v>0.52939999999999998</v>
      </c>
      <c r="K3" s="11">
        <v>0.58819999999999995</v>
      </c>
      <c r="L3" s="11">
        <v>0.64710000000000001</v>
      </c>
      <c r="M3" s="11">
        <v>0.70589999999999997</v>
      </c>
      <c r="N3" s="11">
        <v>0.76470000000000005</v>
      </c>
      <c r="O3" s="11">
        <v>0.82350000000000001</v>
      </c>
      <c r="P3" s="11">
        <v>0.88239999999999996</v>
      </c>
      <c r="Q3" s="11">
        <v>0.94120000000000004</v>
      </c>
      <c r="R3" s="12">
        <v>1</v>
      </c>
      <c r="S3" s="11">
        <v>5.8799999999999998E-2</v>
      </c>
      <c r="T3" s="11">
        <v>0.1176</v>
      </c>
      <c r="U3" s="11">
        <v>0.17649999999999999</v>
      </c>
      <c r="V3" s="11">
        <v>0.23530000000000001</v>
      </c>
      <c r="W3" s="11">
        <v>0.29409999999999997</v>
      </c>
      <c r="X3" s="11">
        <v>0.35289999999999999</v>
      </c>
      <c r="Y3" s="11">
        <v>0.4118</v>
      </c>
      <c r="Z3" s="11">
        <v>0.47060000000000002</v>
      </c>
      <c r="AA3" s="11">
        <v>0.52939999999999998</v>
      </c>
      <c r="AB3" s="11">
        <v>0.58819999999999995</v>
      </c>
      <c r="AC3" s="11">
        <v>0.64710000000000001</v>
      </c>
      <c r="AD3" s="11">
        <v>0.70589999999999997</v>
      </c>
      <c r="AE3" s="11">
        <v>0.76470000000000005</v>
      </c>
      <c r="AF3" s="11">
        <v>0.82350000000000001</v>
      </c>
      <c r="AG3" s="11">
        <v>0.88239999999999996</v>
      </c>
      <c r="AH3" s="11">
        <v>0.94120000000000004</v>
      </c>
      <c r="AI3" s="12">
        <v>1</v>
      </c>
      <c r="AJ3" s="11">
        <v>0.1</v>
      </c>
      <c r="AK3" s="11">
        <v>0.2</v>
      </c>
      <c r="AL3" s="11">
        <v>0.3</v>
      </c>
      <c r="AM3" s="11">
        <v>0.4</v>
      </c>
      <c r="AN3" s="11">
        <v>0.5</v>
      </c>
      <c r="AO3" s="11">
        <v>0.6</v>
      </c>
      <c r="AP3" s="11">
        <v>0.7</v>
      </c>
      <c r="AQ3" s="11">
        <v>0.8</v>
      </c>
      <c r="AR3" s="11">
        <v>0.9</v>
      </c>
      <c r="AS3" s="11">
        <v>1</v>
      </c>
    </row>
    <row r="4" spans="1:45" s="18" customFormat="1" x14ac:dyDescent="0.35">
      <c r="A4" s="17" t="s">
        <v>52</v>
      </c>
      <c r="B4" s="17" t="s">
        <v>23</v>
      </c>
      <c r="C4" s="17" t="s">
        <v>23</v>
      </c>
      <c r="D4" s="17" t="s">
        <v>23</v>
      </c>
      <c r="E4" s="17" t="s">
        <v>23</v>
      </c>
      <c r="F4" s="17" t="s">
        <v>23</v>
      </c>
      <c r="G4" s="17" t="s">
        <v>23</v>
      </c>
      <c r="H4" s="17" t="s">
        <v>23</v>
      </c>
      <c r="I4" s="17" t="s">
        <v>23</v>
      </c>
      <c r="J4" s="17" t="s">
        <v>23</v>
      </c>
      <c r="K4" s="17" t="s">
        <v>23</v>
      </c>
      <c r="L4" s="17" t="s">
        <v>23</v>
      </c>
      <c r="M4" s="17" t="s">
        <v>23</v>
      </c>
      <c r="N4" s="17" t="s">
        <v>23</v>
      </c>
      <c r="O4" s="17" t="s">
        <v>23</v>
      </c>
      <c r="P4" s="17" t="s">
        <v>23</v>
      </c>
      <c r="Q4" s="17" t="s">
        <v>23</v>
      </c>
      <c r="R4" s="17" t="s">
        <v>23</v>
      </c>
      <c r="S4" s="17" t="s">
        <v>23</v>
      </c>
      <c r="T4" s="17" t="s">
        <v>23</v>
      </c>
      <c r="U4" s="17" t="s">
        <v>23</v>
      </c>
      <c r="V4" s="17" t="s">
        <v>23</v>
      </c>
      <c r="W4" s="17" t="s">
        <v>23</v>
      </c>
      <c r="X4" s="17" t="s">
        <v>23</v>
      </c>
      <c r="Y4" s="17" t="s">
        <v>23</v>
      </c>
      <c r="Z4" s="17" t="s">
        <v>23</v>
      </c>
      <c r="AA4" s="17" t="s">
        <v>23</v>
      </c>
      <c r="AB4" s="17" t="s">
        <v>23</v>
      </c>
      <c r="AC4" s="17" t="s">
        <v>23</v>
      </c>
      <c r="AD4" s="17" t="s">
        <v>23</v>
      </c>
      <c r="AE4" s="17" t="s">
        <v>23</v>
      </c>
      <c r="AF4" s="17" t="s">
        <v>23</v>
      </c>
      <c r="AG4" s="17" t="s">
        <v>23</v>
      </c>
      <c r="AH4" s="17" t="s">
        <v>23</v>
      </c>
      <c r="AI4" s="17" t="s">
        <v>23</v>
      </c>
      <c r="AJ4" s="17" t="s">
        <v>23</v>
      </c>
      <c r="AK4" s="17" t="s">
        <v>23</v>
      </c>
      <c r="AL4" s="17" t="s">
        <v>23</v>
      </c>
      <c r="AM4" s="17" t="s">
        <v>23</v>
      </c>
      <c r="AN4" s="17" t="s">
        <v>23</v>
      </c>
      <c r="AO4" s="17" t="s">
        <v>23</v>
      </c>
      <c r="AP4" s="17" t="s">
        <v>23</v>
      </c>
      <c r="AQ4" s="17" t="s">
        <v>23</v>
      </c>
      <c r="AR4" s="17" t="s">
        <v>23</v>
      </c>
      <c r="AS4" s="17" t="s">
        <v>23</v>
      </c>
    </row>
    <row r="5" spans="1:45" s="18" customFormat="1" x14ac:dyDescent="0.35">
      <c r="A5" s="17" t="s">
        <v>53</v>
      </c>
      <c r="B5" s="17" t="s">
        <v>151</v>
      </c>
      <c r="C5" s="17" t="s">
        <v>151</v>
      </c>
      <c r="D5" s="17" t="s">
        <v>151</v>
      </c>
      <c r="E5" s="17" t="s">
        <v>151</v>
      </c>
      <c r="F5" s="17" t="s">
        <v>151</v>
      </c>
      <c r="G5" s="17" t="s">
        <v>151</v>
      </c>
      <c r="H5" s="17" t="s">
        <v>151</v>
      </c>
      <c r="I5" s="17" t="s">
        <v>151</v>
      </c>
      <c r="J5" s="17" t="s">
        <v>151</v>
      </c>
      <c r="K5" s="17" t="s">
        <v>151</v>
      </c>
      <c r="L5" s="17" t="s">
        <v>151</v>
      </c>
      <c r="M5" s="17" t="s">
        <v>151</v>
      </c>
      <c r="N5" s="17" t="s">
        <v>151</v>
      </c>
      <c r="O5" s="17" t="s">
        <v>151</v>
      </c>
      <c r="P5" s="17" t="s">
        <v>151</v>
      </c>
      <c r="Q5" s="17" t="s">
        <v>151</v>
      </c>
      <c r="R5" s="17" t="s">
        <v>151</v>
      </c>
      <c r="S5" s="17" t="s">
        <v>151</v>
      </c>
      <c r="T5" s="17" t="s">
        <v>151</v>
      </c>
      <c r="U5" s="17" t="s">
        <v>151</v>
      </c>
      <c r="V5" s="17" t="s">
        <v>151</v>
      </c>
      <c r="W5" s="17" t="s">
        <v>151</v>
      </c>
      <c r="X5" s="17" t="s">
        <v>151</v>
      </c>
      <c r="Y5" s="17" t="s">
        <v>151</v>
      </c>
      <c r="Z5" s="17" t="s">
        <v>151</v>
      </c>
      <c r="AA5" s="17" t="s">
        <v>151</v>
      </c>
      <c r="AB5" s="17" t="s">
        <v>151</v>
      </c>
      <c r="AC5" s="17" t="s">
        <v>151</v>
      </c>
      <c r="AD5" s="17" t="s">
        <v>151</v>
      </c>
      <c r="AE5" s="17" t="s">
        <v>151</v>
      </c>
      <c r="AF5" s="17" t="s">
        <v>151</v>
      </c>
      <c r="AG5" s="17" t="s">
        <v>151</v>
      </c>
      <c r="AH5" s="17" t="s">
        <v>151</v>
      </c>
      <c r="AI5" s="17" t="s">
        <v>151</v>
      </c>
      <c r="AJ5" s="17" t="s">
        <v>151</v>
      </c>
      <c r="AK5" s="17" t="s">
        <v>151</v>
      </c>
      <c r="AL5" s="17" t="s">
        <v>151</v>
      </c>
      <c r="AM5" s="17" t="s">
        <v>151</v>
      </c>
      <c r="AN5" s="17" t="s">
        <v>151</v>
      </c>
      <c r="AO5" s="17" t="s">
        <v>151</v>
      </c>
      <c r="AP5" s="17" t="s">
        <v>151</v>
      </c>
      <c r="AQ5" s="17" t="s">
        <v>151</v>
      </c>
      <c r="AR5" s="17" t="s">
        <v>151</v>
      </c>
      <c r="AS5" s="17" t="s">
        <v>151</v>
      </c>
    </row>
    <row r="6" spans="1:45" x14ac:dyDescent="0.35">
      <c r="A6" s="19">
        <v>0</v>
      </c>
      <c r="B6" s="23">
        <f>B7</f>
        <v>143.13817421658584</v>
      </c>
      <c r="C6" s="23">
        <f t="shared" ref="C6:AS6" si="0">C7</f>
        <v>142.75917190182895</v>
      </c>
      <c r="D6" s="23">
        <f t="shared" si="0"/>
        <v>143.12767415245696</v>
      </c>
      <c r="E6" s="23">
        <f t="shared" si="0"/>
        <v>150.53331938244455</v>
      </c>
      <c r="F6" s="23">
        <f t="shared" si="0"/>
        <v>161.05878366673124</v>
      </c>
      <c r="G6" s="23">
        <f t="shared" si="0"/>
        <v>174.23046411278688</v>
      </c>
      <c r="H6" s="23">
        <f t="shared" si="0"/>
        <v>189.60765802901884</v>
      </c>
      <c r="I6" s="23">
        <f t="shared" si="0"/>
        <v>188.4578510065713</v>
      </c>
      <c r="J6" s="23">
        <f t="shared" si="0"/>
        <v>196.51280020218357</v>
      </c>
      <c r="K6" s="23">
        <f t="shared" si="0"/>
        <v>193.51018186368839</v>
      </c>
      <c r="L6" s="23">
        <f t="shared" si="0"/>
        <v>190.7077647479218</v>
      </c>
      <c r="M6" s="23">
        <f t="shared" si="0"/>
        <v>188.58325177245607</v>
      </c>
      <c r="N6" s="23">
        <f t="shared" si="0"/>
        <v>182.60031523166376</v>
      </c>
      <c r="O6" s="23">
        <f t="shared" si="0"/>
        <v>179.85689847624232</v>
      </c>
      <c r="P6" s="23">
        <f t="shared" si="0"/>
        <v>178.34278922881819</v>
      </c>
      <c r="Q6" s="23">
        <f t="shared" si="0"/>
        <v>174.4632655346218</v>
      </c>
      <c r="R6" s="23">
        <f t="shared" si="0"/>
        <v>169.64373609933966</v>
      </c>
      <c r="S6" s="23">
        <f t="shared" si="0"/>
        <v>141.81766615158094</v>
      </c>
      <c r="T6" s="23">
        <f t="shared" si="0"/>
        <v>142.75917190182895</v>
      </c>
      <c r="U6" s="23">
        <f t="shared" si="0"/>
        <v>143.12767415245696</v>
      </c>
      <c r="V6" s="23">
        <f t="shared" si="0"/>
        <v>150.53331938244455</v>
      </c>
      <c r="W6" s="23">
        <f t="shared" si="0"/>
        <v>161.05878366673124</v>
      </c>
      <c r="X6" s="23">
        <f t="shared" si="0"/>
        <v>174.23046411278688</v>
      </c>
      <c r="Y6" s="23">
        <f t="shared" si="0"/>
        <v>189.60765802901884</v>
      </c>
      <c r="Z6" s="23">
        <f t="shared" si="0"/>
        <v>188.4578510065713</v>
      </c>
      <c r="AA6" s="23">
        <f t="shared" si="0"/>
        <v>196.51280020218357</v>
      </c>
      <c r="AB6" s="23">
        <f t="shared" si="0"/>
        <v>193.51018186368839</v>
      </c>
      <c r="AC6" s="23">
        <f t="shared" si="0"/>
        <v>190.7077647479218</v>
      </c>
      <c r="AD6" s="23">
        <f t="shared" si="0"/>
        <v>188.58325177245607</v>
      </c>
      <c r="AE6" s="23">
        <f t="shared" si="0"/>
        <v>182.60031523166376</v>
      </c>
      <c r="AF6" s="23">
        <f t="shared" si="0"/>
        <v>179.85689847624232</v>
      </c>
      <c r="AG6" s="23">
        <f t="shared" si="0"/>
        <v>178.34278922881819</v>
      </c>
      <c r="AH6" s="23">
        <f t="shared" si="0"/>
        <v>174.4632655346218</v>
      </c>
      <c r="AI6" s="23">
        <f t="shared" si="0"/>
        <v>169.64373609933966</v>
      </c>
      <c r="AJ6" s="23">
        <f t="shared" si="0"/>
        <v>140.09155560935903</v>
      </c>
      <c r="AK6" s="23">
        <f t="shared" si="0"/>
        <v>143.24117484566264</v>
      </c>
      <c r="AL6" s="23">
        <f t="shared" si="0"/>
        <v>143.12767415245696</v>
      </c>
      <c r="AM6" s="23">
        <f t="shared" si="0"/>
        <v>150.53331938244455</v>
      </c>
      <c r="AN6" s="23">
        <f t="shared" si="0"/>
        <v>161.05878366673124</v>
      </c>
      <c r="AO6" s="23">
        <f t="shared" si="0"/>
        <v>174.23046411278688</v>
      </c>
      <c r="AP6" s="23">
        <f t="shared" si="0"/>
        <v>189.60765802901884</v>
      </c>
      <c r="AQ6" s="23">
        <f t="shared" si="0"/>
        <v>188.4578510065713</v>
      </c>
      <c r="AR6" s="23">
        <f t="shared" si="0"/>
        <v>174.4632655346218</v>
      </c>
      <c r="AS6" s="23">
        <f t="shared" si="0"/>
        <v>169.64373609933966</v>
      </c>
    </row>
    <row r="7" spans="1:45" x14ac:dyDescent="0.35">
      <c r="A7" s="15">
        <v>14.795924163033481</v>
      </c>
      <c r="B7" s="14">
        <v>143.13817421658584</v>
      </c>
      <c r="C7" s="14">
        <v>142.75917190182895</v>
      </c>
      <c r="D7" s="14">
        <v>143.12767415245696</v>
      </c>
      <c r="E7" s="14">
        <v>150.53331938244455</v>
      </c>
      <c r="F7" s="14">
        <v>161.05878366673124</v>
      </c>
      <c r="G7" s="14">
        <v>174.23046411278688</v>
      </c>
      <c r="H7" s="14">
        <v>189.60765802901884</v>
      </c>
      <c r="I7" s="14">
        <v>188.4578510065713</v>
      </c>
      <c r="J7" s="14">
        <v>196.51280020218357</v>
      </c>
      <c r="K7" s="14">
        <v>193.51018186368839</v>
      </c>
      <c r="L7" s="14">
        <v>190.7077647479218</v>
      </c>
      <c r="M7" s="14">
        <v>188.58325177245607</v>
      </c>
      <c r="N7" s="14">
        <v>182.60031523166376</v>
      </c>
      <c r="O7" s="14">
        <v>179.85689847624232</v>
      </c>
      <c r="P7" s="14">
        <v>178.34278922881819</v>
      </c>
      <c r="Q7" s="14">
        <v>174.4632655346218</v>
      </c>
      <c r="R7" s="15">
        <v>169.64373609933966</v>
      </c>
      <c r="S7" s="14">
        <v>141.81766615158094</v>
      </c>
      <c r="T7" s="14">
        <v>142.75917190182895</v>
      </c>
      <c r="U7" s="14">
        <v>143.12767415245696</v>
      </c>
      <c r="V7" s="14">
        <v>150.53331938244455</v>
      </c>
      <c r="W7" s="14">
        <v>161.05878366673124</v>
      </c>
      <c r="X7" s="14">
        <v>174.23046411278688</v>
      </c>
      <c r="Y7" s="14">
        <v>189.60765802901884</v>
      </c>
      <c r="Z7" s="14">
        <v>188.4578510065713</v>
      </c>
      <c r="AA7" s="14">
        <v>196.51280020218357</v>
      </c>
      <c r="AB7" s="14">
        <v>193.51018186368839</v>
      </c>
      <c r="AC7" s="14">
        <v>190.7077647479218</v>
      </c>
      <c r="AD7" s="14">
        <v>188.58325177245607</v>
      </c>
      <c r="AE7" s="14">
        <v>182.60031523166376</v>
      </c>
      <c r="AF7" s="14">
        <v>179.85689847624232</v>
      </c>
      <c r="AG7" s="14">
        <v>178.34278922881819</v>
      </c>
      <c r="AH7" s="14">
        <v>174.4632655346218</v>
      </c>
      <c r="AI7" s="15">
        <v>169.64373609933966</v>
      </c>
      <c r="AJ7" s="14">
        <v>140.09155560935903</v>
      </c>
      <c r="AK7" s="14">
        <v>143.24117484566264</v>
      </c>
      <c r="AL7" s="14">
        <v>143.12767415245696</v>
      </c>
      <c r="AM7" s="14">
        <v>150.53331938244455</v>
      </c>
      <c r="AN7" s="14">
        <v>161.05878366673124</v>
      </c>
      <c r="AO7" s="14">
        <v>174.23046411278688</v>
      </c>
      <c r="AP7" s="14">
        <v>189.60765802901884</v>
      </c>
      <c r="AQ7" s="14">
        <v>188.4578510065713</v>
      </c>
      <c r="AR7" s="14">
        <v>174.4632655346218</v>
      </c>
      <c r="AS7" s="14">
        <v>169.64373609933966</v>
      </c>
    </row>
    <row r="8" spans="1:45" x14ac:dyDescent="0.35">
      <c r="A8" s="15">
        <v>44.387772489100534</v>
      </c>
      <c r="B8" s="14">
        <v>143.26617499835052</v>
      </c>
      <c r="C8" s="14">
        <v>142.87857263106883</v>
      </c>
      <c r="D8" s="14">
        <v>143.23507480840641</v>
      </c>
      <c r="E8" s="14">
        <v>150.61351987226942</v>
      </c>
      <c r="F8" s="14">
        <v>161.15618426160569</v>
      </c>
      <c r="G8" s="14">
        <v>174.31256461421586</v>
      </c>
      <c r="H8" s="14">
        <v>189.67225842356567</v>
      </c>
      <c r="I8" s="14">
        <v>188.50695130645141</v>
      </c>
      <c r="J8" s="14">
        <v>196.55130043732419</v>
      </c>
      <c r="K8" s="14">
        <v>193.56328218799862</v>
      </c>
      <c r="L8" s="14">
        <v>190.77546516140237</v>
      </c>
      <c r="M8" s="14">
        <v>188.63585209371317</v>
      </c>
      <c r="N8" s="14">
        <v>182.669115651862</v>
      </c>
      <c r="O8" s="14">
        <v>179.90999880055256</v>
      </c>
      <c r="P8" s="14">
        <v>178.39418954274561</v>
      </c>
      <c r="Q8" s="14">
        <v>174.50036576121147</v>
      </c>
      <c r="R8" s="15">
        <v>169.69653642181797</v>
      </c>
      <c r="S8" s="14">
        <v>141.94046690158717</v>
      </c>
      <c r="T8" s="14">
        <v>142.87857263106883</v>
      </c>
      <c r="U8" s="14">
        <v>143.23507480840641</v>
      </c>
      <c r="V8" s="14">
        <v>150.61351987226942</v>
      </c>
      <c r="W8" s="14">
        <v>161.15618426160569</v>
      </c>
      <c r="X8" s="14">
        <v>174.31256461421586</v>
      </c>
      <c r="Y8" s="14">
        <v>189.67225842356567</v>
      </c>
      <c r="Z8" s="14">
        <v>188.50695130645141</v>
      </c>
      <c r="AA8" s="14">
        <v>196.55130043732419</v>
      </c>
      <c r="AB8" s="14">
        <v>193.56328218799862</v>
      </c>
      <c r="AC8" s="14">
        <v>190.77546516140237</v>
      </c>
      <c r="AD8" s="14">
        <v>188.63585209371317</v>
      </c>
      <c r="AE8" s="14">
        <v>182.669115651862</v>
      </c>
      <c r="AF8" s="14">
        <v>179.90999880055256</v>
      </c>
      <c r="AG8" s="14">
        <v>178.39418954274561</v>
      </c>
      <c r="AH8" s="14">
        <v>174.50036576121147</v>
      </c>
      <c r="AI8" s="15">
        <v>169.69653642181797</v>
      </c>
      <c r="AJ8" s="14">
        <v>140.21275634959241</v>
      </c>
      <c r="AK8" s="14">
        <v>143.36917562742732</v>
      </c>
      <c r="AL8" s="14">
        <v>143.23507480840641</v>
      </c>
      <c r="AM8" s="14">
        <v>150.61351987226942</v>
      </c>
      <c r="AN8" s="14">
        <v>161.15618426160569</v>
      </c>
      <c r="AO8" s="14">
        <v>174.31256461421586</v>
      </c>
      <c r="AP8" s="14">
        <v>189.67225842356567</v>
      </c>
      <c r="AQ8" s="14">
        <v>188.50695130645141</v>
      </c>
      <c r="AR8" s="14">
        <v>174.50036576121147</v>
      </c>
      <c r="AS8" s="14">
        <v>169.69653642181797</v>
      </c>
    </row>
    <row r="9" spans="1:45" x14ac:dyDescent="0.35">
      <c r="A9" s="15">
        <v>67.691848326067031</v>
      </c>
      <c r="B9" s="14">
        <v>143.3669756139906</v>
      </c>
      <c r="C9" s="14">
        <v>142.97257320517764</v>
      </c>
      <c r="D9" s="14">
        <v>143.32777537457491</v>
      </c>
      <c r="E9" s="14">
        <v>150.70282041767229</v>
      </c>
      <c r="F9" s="14">
        <v>161.23308473127554</v>
      </c>
      <c r="G9" s="14">
        <v>174.37716500876266</v>
      </c>
      <c r="H9" s="14">
        <v>189.72305873382859</v>
      </c>
      <c r="I9" s="14">
        <v>188.5457515434239</v>
      </c>
      <c r="J9" s="14">
        <v>196.58210062543637</v>
      </c>
      <c r="K9" s="14">
        <v>193.6051824439042</v>
      </c>
      <c r="L9" s="14">
        <v>190.82836548449134</v>
      </c>
      <c r="M9" s="14">
        <v>188.67725234656487</v>
      </c>
      <c r="N9" s="14">
        <v>182.72281597983741</v>
      </c>
      <c r="O9" s="14">
        <v>179.95179905584749</v>
      </c>
      <c r="P9" s="14">
        <v>178.43478979071153</v>
      </c>
      <c r="Q9" s="14">
        <v>174.53006594260532</v>
      </c>
      <c r="R9" s="15">
        <v>169.73803667528031</v>
      </c>
      <c r="S9" s="14">
        <v>142.03716749218583</v>
      </c>
      <c r="T9" s="14">
        <v>142.97257320517764</v>
      </c>
      <c r="U9" s="14">
        <v>143.32777537457491</v>
      </c>
      <c r="V9" s="14">
        <v>150.70282041767229</v>
      </c>
      <c r="W9" s="14">
        <v>161.23308473127554</v>
      </c>
      <c r="X9" s="14">
        <v>174.37716500876266</v>
      </c>
      <c r="Y9" s="14">
        <v>189.72305873382859</v>
      </c>
      <c r="Z9" s="14">
        <v>188.5457515434239</v>
      </c>
      <c r="AA9" s="14">
        <v>196.58210062543637</v>
      </c>
      <c r="AB9" s="14">
        <v>193.6051824439042</v>
      </c>
      <c r="AC9" s="14">
        <v>190.82836548449134</v>
      </c>
      <c r="AD9" s="14">
        <v>188.67725234656487</v>
      </c>
      <c r="AE9" s="14">
        <v>182.72281597983741</v>
      </c>
      <c r="AF9" s="14">
        <v>179.95179905584749</v>
      </c>
      <c r="AG9" s="14">
        <v>178.43478979071153</v>
      </c>
      <c r="AH9" s="14">
        <v>174.53006594260532</v>
      </c>
      <c r="AI9" s="15">
        <v>169.73803667528031</v>
      </c>
      <c r="AJ9" s="14">
        <v>140.30825693286207</v>
      </c>
      <c r="AK9" s="14">
        <v>143.47007624367802</v>
      </c>
      <c r="AL9" s="14">
        <v>143.32777537457491</v>
      </c>
      <c r="AM9" s="14">
        <v>150.70282041767229</v>
      </c>
      <c r="AN9" s="14">
        <v>161.23308473127554</v>
      </c>
      <c r="AO9" s="14">
        <v>174.37716500876266</v>
      </c>
      <c r="AP9" s="14">
        <v>189.72305873382859</v>
      </c>
      <c r="AQ9" s="14">
        <v>188.5457515434239</v>
      </c>
      <c r="AR9" s="14">
        <v>174.53006594260532</v>
      </c>
      <c r="AS9" s="14">
        <v>169.73803667528031</v>
      </c>
    </row>
    <row r="10" spans="1:45" x14ac:dyDescent="0.35">
      <c r="A10" s="15">
        <v>82.580988000000005</v>
      </c>
      <c r="B10" s="14">
        <v>143.40707585890272</v>
      </c>
      <c r="C10" s="14">
        <v>143.0093734299347</v>
      </c>
      <c r="D10" s="14">
        <v>143.36417559688945</v>
      </c>
      <c r="E10" s="14">
        <v>150.73792063204721</v>
      </c>
      <c r="F10" s="14">
        <v>161.25918489068246</v>
      </c>
      <c r="G10" s="14">
        <v>174.39536511991994</v>
      </c>
      <c r="H10" s="14">
        <v>189.73235879062918</v>
      </c>
      <c r="I10" s="14">
        <v>188.54725155258478</v>
      </c>
      <c r="J10" s="14">
        <v>196.57850060344876</v>
      </c>
      <c r="K10" s="14">
        <v>193.60848246405922</v>
      </c>
      <c r="L10" s="14">
        <v>190.8387655480096</v>
      </c>
      <c r="M10" s="14">
        <v>188.68035236549861</v>
      </c>
      <c r="N10" s="14">
        <v>182.73371604640951</v>
      </c>
      <c r="O10" s="14">
        <v>179.9552990772238</v>
      </c>
      <c r="P10" s="14">
        <v>178.43748980720207</v>
      </c>
      <c r="Q10" s="14">
        <v>174.52616591878649</v>
      </c>
      <c r="R10" s="15">
        <v>169.74183669848921</v>
      </c>
      <c r="S10" s="14">
        <v>142.07566772732639</v>
      </c>
      <c r="T10" s="14">
        <v>143.0093734299347</v>
      </c>
      <c r="U10" s="14">
        <v>143.36417559688945</v>
      </c>
      <c r="V10" s="14">
        <v>150.73792063204721</v>
      </c>
      <c r="W10" s="14">
        <v>161.25918489068246</v>
      </c>
      <c r="X10" s="14">
        <v>174.39536511991994</v>
      </c>
      <c r="Y10" s="14">
        <v>189.73235879062918</v>
      </c>
      <c r="Z10" s="14">
        <v>188.54725155258478</v>
      </c>
      <c r="AA10" s="14">
        <v>196.57850060344876</v>
      </c>
      <c r="AB10" s="14">
        <v>193.60848246405922</v>
      </c>
      <c r="AC10" s="14">
        <v>190.8387655480096</v>
      </c>
      <c r="AD10" s="14">
        <v>188.68035236549861</v>
      </c>
      <c r="AE10" s="14">
        <v>182.73371604640951</v>
      </c>
      <c r="AF10" s="14">
        <v>179.9552990772238</v>
      </c>
      <c r="AG10" s="14">
        <v>178.43748980720207</v>
      </c>
      <c r="AH10" s="14">
        <v>174.52616591878649</v>
      </c>
      <c r="AI10" s="15">
        <v>169.74183669848921</v>
      </c>
      <c r="AJ10" s="14">
        <v>140.34625716494881</v>
      </c>
      <c r="AK10" s="14">
        <v>143.51017648859013</v>
      </c>
      <c r="AL10" s="14">
        <v>143.36417559688945</v>
      </c>
      <c r="AM10" s="14">
        <v>150.73792063204721</v>
      </c>
      <c r="AN10" s="14">
        <v>161.25918489068246</v>
      </c>
      <c r="AO10" s="14">
        <v>174.39536511991994</v>
      </c>
      <c r="AP10" s="14">
        <v>189.73235879062918</v>
      </c>
      <c r="AQ10" s="14">
        <v>188.54725155258478</v>
      </c>
      <c r="AR10" s="14">
        <v>174.52616591878649</v>
      </c>
      <c r="AS10" s="14">
        <v>169.74183669848921</v>
      </c>
    </row>
    <row r="11" spans="1:45" x14ac:dyDescent="0.35">
      <c r="A11" s="15">
        <v>95.342964000000009</v>
      </c>
      <c r="B11" s="14">
        <v>143.41377589982341</v>
      </c>
      <c r="C11" s="14">
        <v>143.01417345925131</v>
      </c>
      <c r="D11" s="14">
        <v>143.36947562925991</v>
      </c>
      <c r="E11" s="14">
        <v>150.7399206442619</v>
      </c>
      <c r="F11" s="14">
        <v>161.25558486869485</v>
      </c>
      <c r="G11" s="14">
        <v>174.38476505518045</v>
      </c>
      <c r="H11" s="14">
        <v>189.71365867641808</v>
      </c>
      <c r="I11" s="14">
        <v>188.52205139867493</v>
      </c>
      <c r="J11" s="14">
        <v>196.54880042205491</v>
      </c>
      <c r="K11" s="14">
        <v>193.58478231931093</v>
      </c>
      <c r="L11" s="14">
        <v>190.82096543929555</v>
      </c>
      <c r="M11" s="14">
        <v>188.65645221952838</v>
      </c>
      <c r="N11" s="14">
        <v>182.71641594074865</v>
      </c>
      <c r="O11" s="14">
        <v>179.93169893308612</v>
      </c>
      <c r="P11" s="14">
        <v>178.41328965939925</v>
      </c>
      <c r="Q11" s="14">
        <v>174.49636573678131</v>
      </c>
      <c r="R11" s="15">
        <v>169.71883655801602</v>
      </c>
      <c r="S11" s="14">
        <v>142.0820677664145</v>
      </c>
      <c r="T11" s="14">
        <v>143.01417345925131</v>
      </c>
      <c r="U11" s="14">
        <v>143.36947562925991</v>
      </c>
      <c r="V11" s="14">
        <v>150.7399206442619</v>
      </c>
      <c r="W11" s="14">
        <v>161.25558486869485</v>
      </c>
      <c r="X11" s="14">
        <v>174.38476505518045</v>
      </c>
      <c r="Y11" s="14">
        <v>189.71365867641808</v>
      </c>
      <c r="Z11" s="14">
        <v>188.52205139867493</v>
      </c>
      <c r="AA11" s="14">
        <v>196.54880042205491</v>
      </c>
      <c r="AB11" s="14">
        <v>193.58478231931093</v>
      </c>
      <c r="AC11" s="14">
        <v>190.82096543929555</v>
      </c>
      <c r="AD11" s="14">
        <v>188.65645221952838</v>
      </c>
      <c r="AE11" s="14">
        <v>182.71641594074865</v>
      </c>
      <c r="AF11" s="14">
        <v>179.93169893308612</v>
      </c>
      <c r="AG11" s="14">
        <v>178.41328965939925</v>
      </c>
      <c r="AH11" s="14">
        <v>174.49636573678131</v>
      </c>
      <c r="AI11" s="15">
        <v>169.71883655801602</v>
      </c>
      <c r="AJ11" s="14">
        <v>140.35255720342627</v>
      </c>
      <c r="AK11" s="14">
        <v>143.51677652890021</v>
      </c>
      <c r="AL11" s="14">
        <v>143.36947562925991</v>
      </c>
      <c r="AM11" s="14">
        <v>150.7399206442619</v>
      </c>
      <c r="AN11" s="14">
        <v>161.25558486869485</v>
      </c>
      <c r="AO11" s="14">
        <v>174.38476505518045</v>
      </c>
      <c r="AP11" s="14">
        <v>189.71365867641808</v>
      </c>
      <c r="AQ11" s="14">
        <v>188.52205139867493</v>
      </c>
      <c r="AR11" s="14">
        <v>174.49636573678131</v>
      </c>
      <c r="AS11" s="14">
        <v>169.71883655801602</v>
      </c>
    </row>
    <row r="12" spans="1:45" x14ac:dyDescent="0.35">
      <c r="A12" s="15">
        <v>114.449352</v>
      </c>
      <c r="B12" s="14">
        <v>143.44987612030536</v>
      </c>
      <c r="C12" s="14">
        <v>143.04667365774631</v>
      </c>
      <c r="D12" s="14">
        <v>143.40197582775423</v>
      </c>
      <c r="E12" s="14">
        <v>150.76772081405167</v>
      </c>
      <c r="F12" s="14">
        <v>161.27458498473857</v>
      </c>
      <c r="G12" s="14">
        <v>174.39356510892648</v>
      </c>
      <c r="H12" s="14">
        <v>189.71075865870628</v>
      </c>
      <c r="I12" s="14">
        <v>188.50935132110934</v>
      </c>
      <c r="J12" s="14">
        <v>196.52970030540126</v>
      </c>
      <c r="K12" s="14">
        <v>193.57428225518137</v>
      </c>
      <c r="L12" s="14">
        <v>190.81926542891273</v>
      </c>
      <c r="M12" s="14">
        <v>188.64575215417753</v>
      </c>
      <c r="N12" s="14">
        <v>182.71541593464161</v>
      </c>
      <c r="O12" s="14">
        <v>179.92149887078915</v>
      </c>
      <c r="P12" s="14">
        <v>178.40208959099527</v>
      </c>
      <c r="Q12" s="14">
        <v>174.47686561768444</v>
      </c>
      <c r="R12" s="15">
        <v>169.70913649877289</v>
      </c>
      <c r="S12" s="14">
        <v>142.11666797773489</v>
      </c>
      <c r="T12" s="14">
        <v>143.04667365774631</v>
      </c>
      <c r="U12" s="14">
        <v>143.40197582775423</v>
      </c>
      <c r="V12" s="14">
        <v>150.76772081405167</v>
      </c>
      <c r="W12" s="14">
        <v>161.27458498473857</v>
      </c>
      <c r="X12" s="14">
        <v>174.39356510892648</v>
      </c>
      <c r="Y12" s="14">
        <v>189.71075865870628</v>
      </c>
      <c r="Z12" s="14">
        <v>188.50935132110934</v>
      </c>
      <c r="AA12" s="14">
        <v>196.52970030540126</v>
      </c>
      <c r="AB12" s="14">
        <v>193.57428225518137</v>
      </c>
      <c r="AC12" s="14">
        <v>190.81926542891273</v>
      </c>
      <c r="AD12" s="14">
        <v>188.64575215417753</v>
      </c>
      <c r="AE12" s="14">
        <v>182.71541593464161</v>
      </c>
      <c r="AF12" s="14">
        <v>179.92149887078915</v>
      </c>
      <c r="AG12" s="14">
        <v>178.40208959099527</v>
      </c>
      <c r="AH12" s="14">
        <v>174.47686561768444</v>
      </c>
      <c r="AI12" s="15">
        <v>169.70913649877289</v>
      </c>
      <c r="AJ12" s="14">
        <v>140.38675741230412</v>
      </c>
      <c r="AK12" s="14">
        <v>143.55287674938214</v>
      </c>
      <c r="AL12" s="14">
        <v>143.40197582775423</v>
      </c>
      <c r="AM12" s="14">
        <v>150.76772081405167</v>
      </c>
      <c r="AN12" s="14">
        <v>161.27458498473857</v>
      </c>
      <c r="AO12" s="14">
        <v>174.39356510892648</v>
      </c>
      <c r="AP12" s="14">
        <v>189.71075865870628</v>
      </c>
      <c r="AQ12" s="14">
        <v>188.50935132110934</v>
      </c>
      <c r="AR12" s="14">
        <v>174.47686561768444</v>
      </c>
      <c r="AS12" s="14">
        <v>169.70913649877289</v>
      </c>
    </row>
    <row r="13" spans="1:45" x14ac:dyDescent="0.35">
      <c r="A13" s="15">
        <v>152.549352</v>
      </c>
      <c r="B13" s="14">
        <v>143.54797671945491</v>
      </c>
      <c r="C13" s="14">
        <v>143.13707420986751</v>
      </c>
      <c r="D13" s="14">
        <v>143.49157637499036</v>
      </c>
      <c r="E13" s="14">
        <v>150.84762130204399</v>
      </c>
      <c r="F13" s="14">
        <v>161.33728536768129</v>
      </c>
      <c r="G13" s="14">
        <v>174.43596536788587</v>
      </c>
      <c r="H13" s="14">
        <v>189.73005877658187</v>
      </c>
      <c r="I13" s="14">
        <v>188.50915131988739</v>
      </c>
      <c r="J13" s="14">
        <v>196.51700022783567</v>
      </c>
      <c r="K13" s="14">
        <v>193.57858228144408</v>
      </c>
      <c r="L13" s="14">
        <v>190.84036555778181</v>
      </c>
      <c r="M13" s="14">
        <v>188.64935217616448</v>
      </c>
      <c r="N13" s="14">
        <v>182.73791607206093</v>
      </c>
      <c r="O13" s="14">
        <v>179.92599889827315</v>
      </c>
      <c r="P13" s="14">
        <v>178.40458960626384</v>
      </c>
      <c r="Q13" s="14">
        <v>174.46336553523241</v>
      </c>
      <c r="R13" s="15">
        <v>169.71423652992138</v>
      </c>
      <c r="S13" s="14">
        <v>142.21086855306564</v>
      </c>
      <c r="T13" s="14">
        <v>143.13707420986751</v>
      </c>
      <c r="U13" s="14">
        <v>143.49157637499036</v>
      </c>
      <c r="V13" s="14">
        <v>150.84762130204399</v>
      </c>
      <c r="W13" s="14">
        <v>161.33728536768129</v>
      </c>
      <c r="X13" s="14">
        <v>174.43596536788587</v>
      </c>
      <c r="Y13" s="14">
        <v>189.73005877658187</v>
      </c>
      <c r="Z13" s="14">
        <v>188.50915131988739</v>
      </c>
      <c r="AA13" s="14">
        <v>196.51700022783567</v>
      </c>
      <c r="AB13" s="14">
        <v>193.57858228144408</v>
      </c>
      <c r="AC13" s="14">
        <v>190.84036555778181</v>
      </c>
      <c r="AD13" s="14">
        <v>188.64935217616448</v>
      </c>
      <c r="AE13" s="14">
        <v>182.73791607206093</v>
      </c>
      <c r="AF13" s="14">
        <v>179.92599889827315</v>
      </c>
      <c r="AG13" s="14">
        <v>178.40458960626384</v>
      </c>
      <c r="AH13" s="14">
        <v>174.46336553523241</v>
      </c>
      <c r="AI13" s="15">
        <v>169.71423652992138</v>
      </c>
      <c r="AJ13" s="14">
        <v>140.47985798091582</v>
      </c>
      <c r="AK13" s="14">
        <v>143.65097734853171</v>
      </c>
      <c r="AL13" s="14">
        <v>143.49157637499036</v>
      </c>
      <c r="AM13" s="14">
        <v>150.84762130204399</v>
      </c>
      <c r="AN13" s="14">
        <v>161.33728536768129</v>
      </c>
      <c r="AO13" s="14">
        <v>174.43596536788587</v>
      </c>
      <c r="AP13" s="14">
        <v>189.73005877658187</v>
      </c>
      <c r="AQ13" s="14">
        <v>188.50915131988739</v>
      </c>
      <c r="AR13" s="14">
        <v>174.46336553523241</v>
      </c>
      <c r="AS13" s="14">
        <v>169.71423652992138</v>
      </c>
    </row>
    <row r="14" spans="1:45" x14ac:dyDescent="0.35">
      <c r="A14" s="15">
        <v>196.97395200000003</v>
      </c>
      <c r="B14" s="14">
        <v>143.63517725203238</v>
      </c>
      <c r="C14" s="14">
        <v>143.21587469114147</v>
      </c>
      <c r="D14" s="14">
        <v>143.57057685748555</v>
      </c>
      <c r="E14" s="14">
        <v>150.91532171552456</v>
      </c>
      <c r="F14" s="14">
        <v>161.38458565656725</v>
      </c>
      <c r="G14" s="14">
        <v>174.45966551263487</v>
      </c>
      <c r="H14" s="14">
        <v>189.72655875520559</v>
      </c>
      <c r="I14" s="14">
        <v>188.4831511610918</v>
      </c>
      <c r="J14" s="14">
        <v>196.47719998475549</v>
      </c>
      <c r="K14" s="14">
        <v>193.55738215196439</v>
      </c>
      <c r="L14" s="14">
        <v>190.83776554190189</v>
      </c>
      <c r="M14" s="14">
        <v>188.62765204363092</v>
      </c>
      <c r="N14" s="14">
        <v>182.73681606534257</v>
      </c>
      <c r="O14" s="14">
        <v>179.9052987718473</v>
      </c>
      <c r="P14" s="14">
        <v>178.3816894664013</v>
      </c>
      <c r="Q14" s="14">
        <v>174.42306528909907</v>
      </c>
      <c r="R14" s="15">
        <v>169.69473641082382</v>
      </c>
      <c r="S14" s="14">
        <v>142.29466906487676</v>
      </c>
      <c r="T14" s="14">
        <v>143.21587469114147</v>
      </c>
      <c r="U14" s="14">
        <v>143.57057685748555</v>
      </c>
      <c r="V14" s="14">
        <v>150.91532171552456</v>
      </c>
      <c r="W14" s="14">
        <v>161.38458565656725</v>
      </c>
      <c r="X14" s="14">
        <v>174.45966551263487</v>
      </c>
      <c r="Y14" s="14">
        <v>189.72655875520559</v>
      </c>
      <c r="Z14" s="14">
        <v>188.4831511610918</v>
      </c>
      <c r="AA14" s="14">
        <v>196.47719998475549</v>
      </c>
      <c r="AB14" s="14">
        <v>193.55738215196439</v>
      </c>
      <c r="AC14" s="14">
        <v>190.83776554190189</v>
      </c>
      <c r="AD14" s="14">
        <v>188.62765204363092</v>
      </c>
      <c r="AE14" s="14">
        <v>182.73681606534257</v>
      </c>
      <c r="AF14" s="14">
        <v>179.9052987718473</v>
      </c>
      <c r="AG14" s="14">
        <v>178.3816894664013</v>
      </c>
      <c r="AH14" s="14">
        <v>174.42306528909907</v>
      </c>
      <c r="AI14" s="15">
        <v>169.69473641082382</v>
      </c>
      <c r="AJ14" s="14">
        <v>140.56265848661991</v>
      </c>
      <c r="AK14" s="14">
        <v>143.7382778817198</v>
      </c>
      <c r="AL14" s="14">
        <v>143.57057685748555</v>
      </c>
      <c r="AM14" s="14">
        <v>150.91532171552456</v>
      </c>
      <c r="AN14" s="14">
        <v>161.38458565656725</v>
      </c>
      <c r="AO14" s="14">
        <v>174.45966551263487</v>
      </c>
      <c r="AP14" s="14">
        <v>189.72655875520559</v>
      </c>
      <c r="AQ14" s="14">
        <v>188.4831511610918</v>
      </c>
      <c r="AR14" s="14">
        <v>174.42306528909907</v>
      </c>
      <c r="AS14" s="14">
        <v>169.69473641082382</v>
      </c>
    </row>
    <row r="15" spans="1:45" x14ac:dyDescent="0.35">
      <c r="A15" s="15">
        <v>235.07395200000002</v>
      </c>
      <c r="B15" s="14">
        <v>143.67897751954271</v>
      </c>
      <c r="C15" s="14">
        <v>143.25277491650985</v>
      </c>
      <c r="D15" s="14">
        <v>143.60907709262545</v>
      </c>
      <c r="E15" s="14">
        <v>150.94452189386456</v>
      </c>
      <c r="F15" s="14">
        <v>161.3963857286364</v>
      </c>
      <c r="G15" s="14">
        <v>174.45066545766687</v>
      </c>
      <c r="H15" s="14">
        <v>189.69385855548859</v>
      </c>
      <c r="I15" s="14">
        <v>188.43135084472115</v>
      </c>
      <c r="J15" s="14">
        <v>196.41389959814825</v>
      </c>
      <c r="K15" s="14">
        <v>193.50938185880196</v>
      </c>
      <c r="L15" s="14">
        <v>190.8050653421856</v>
      </c>
      <c r="M15" s="14">
        <v>188.57925174802594</v>
      </c>
      <c r="N15" s="14">
        <v>182.70561587478718</v>
      </c>
      <c r="O15" s="14">
        <v>179.85789848235004</v>
      </c>
      <c r="P15" s="14">
        <v>178.33228916468863</v>
      </c>
      <c r="Q15" s="14">
        <v>174.35966490188122</v>
      </c>
      <c r="R15" s="15">
        <v>169.64873612987748</v>
      </c>
      <c r="S15" s="14">
        <v>142.33676932200424</v>
      </c>
      <c r="T15" s="14">
        <v>143.25277491650985</v>
      </c>
      <c r="U15" s="14">
        <v>143.60907709262545</v>
      </c>
      <c r="V15" s="14">
        <v>150.94452189386456</v>
      </c>
      <c r="W15" s="14">
        <v>161.3963857286364</v>
      </c>
      <c r="X15" s="14">
        <v>174.45066545766687</v>
      </c>
      <c r="Y15" s="14">
        <v>189.69385855548859</v>
      </c>
      <c r="Z15" s="14">
        <v>188.43135084472115</v>
      </c>
      <c r="AA15" s="14">
        <v>196.41389959814825</v>
      </c>
      <c r="AB15" s="14">
        <v>193.50938185880196</v>
      </c>
      <c r="AC15" s="14">
        <v>190.8050653421856</v>
      </c>
      <c r="AD15" s="14">
        <v>188.57925174802594</v>
      </c>
      <c r="AE15" s="14">
        <v>182.70561587478718</v>
      </c>
      <c r="AF15" s="14">
        <v>179.85789848235004</v>
      </c>
      <c r="AG15" s="14">
        <v>178.33228916468863</v>
      </c>
      <c r="AH15" s="14">
        <v>174.35966490188122</v>
      </c>
      <c r="AI15" s="15">
        <v>169.64873612987748</v>
      </c>
      <c r="AJ15" s="14">
        <v>140.60425874069358</v>
      </c>
      <c r="AK15" s="14">
        <v>143.78207814923013</v>
      </c>
      <c r="AL15" s="14">
        <v>143.60907709262545</v>
      </c>
      <c r="AM15" s="14">
        <v>150.94452189386456</v>
      </c>
      <c r="AN15" s="14">
        <v>161.3963857286364</v>
      </c>
      <c r="AO15" s="14">
        <v>174.45066545766687</v>
      </c>
      <c r="AP15" s="14">
        <v>189.69385855548859</v>
      </c>
      <c r="AQ15" s="14">
        <v>188.43135084472115</v>
      </c>
      <c r="AR15" s="14">
        <v>174.35966490188122</v>
      </c>
      <c r="AS15" s="14">
        <v>169.64873612987748</v>
      </c>
    </row>
    <row r="16" spans="1:45" x14ac:dyDescent="0.35">
      <c r="A16" s="15">
        <v>273.17395200000004</v>
      </c>
      <c r="B16" s="14">
        <v>143.76567804906637</v>
      </c>
      <c r="C16" s="14">
        <v>143.33217540144827</v>
      </c>
      <c r="D16" s="14">
        <v>143.68877757939649</v>
      </c>
      <c r="E16" s="14">
        <v>151.01392231772797</v>
      </c>
      <c r="F16" s="14">
        <v>161.44858604745028</v>
      </c>
      <c r="G16" s="14">
        <v>174.48236565127615</v>
      </c>
      <c r="H16" s="14">
        <v>189.70235860740277</v>
      </c>
      <c r="I16" s="14">
        <v>188.42085078059227</v>
      </c>
      <c r="J16" s="14">
        <v>196.39239946683597</v>
      </c>
      <c r="K16" s="14">
        <v>193.50258181727133</v>
      </c>
      <c r="L16" s="14">
        <v>190.81296539043524</v>
      </c>
      <c r="M16" s="14">
        <v>188.57195170344144</v>
      </c>
      <c r="N16" s="14">
        <v>182.7147159303658</v>
      </c>
      <c r="O16" s="14">
        <v>179.85159844387255</v>
      </c>
      <c r="P16" s="14">
        <v>178.32398911399645</v>
      </c>
      <c r="Q16" s="14">
        <v>174.33796476934765</v>
      </c>
      <c r="R16" s="15">
        <v>169.64313609567515</v>
      </c>
      <c r="S16" s="14">
        <v>142.42016983137285</v>
      </c>
      <c r="T16" s="14">
        <v>143.33217540144827</v>
      </c>
      <c r="U16" s="14">
        <v>143.68877757939649</v>
      </c>
      <c r="V16" s="14">
        <v>151.01392231772797</v>
      </c>
      <c r="W16" s="14">
        <v>161.44858604745028</v>
      </c>
      <c r="X16" s="14">
        <v>174.48236565127615</v>
      </c>
      <c r="Y16" s="14">
        <v>189.70235860740277</v>
      </c>
      <c r="Z16" s="14">
        <v>188.42085078059227</v>
      </c>
      <c r="AA16" s="14">
        <v>196.39239946683597</v>
      </c>
      <c r="AB16" s="14">
        <v>193.50258181727133</v>
      </c>
      <c r="AC16" s="14">
        <v>190.81296539043524</v>
      </c>
      <c r="AD16" s="14">
        <v>188.57195170344144</v>
      </c>
      <c r="AE16" s="14">
        <v>182.7147159303658</v>
      </c>
      <c r="AF16" s="14">
        <v>179.85159844387255</v>
      </c>
      <c r="AG16" s="14">
        <v>178.32398911399645</v>
      </c>
      <c r="AH16" s="14">
        <v>174.33796476934765</v>
      </c>
      <c r="AI16" s="15">
        <v>169.64313609567515</v>
      </c>
      <c r="AJ16" s="14">
        <v>140.68665924395515</v>
      </c>
      <c r="AK16" s="14">
        <v>143.86877867875376</v>
      </c>
      <c r="AL16" s="14">
        <v>143.68877757939649</v>
      </c>
      <c r="AM16" s="14">
        <v>151.01392231772797</v>
      </c>
      <c r="AN16" s="14">
        <v>161.44858604745028</v>
      </c>
      <c r="AO16" s="14">
        <v>174.48236565127615</v>
      </c>
      <c r="AP16" s="14">
        <v>189.70235860740277</v>
      </c>
      <c r="AQ16" s="14">
        <v>188.42085078059227</v>
      </c>
      <c r="AR16" s="14">
        <v>174.33796476934765</v>
      </c>
      <c r="AS16" s="14">
        <v>169.64313609567515</v>
      </c>
    </row>
    <row r="17" spans="1:45" x14ac:dyDescent="0.35">
      <c r="A17" s="15">
        <v>311.27395200000001</v>
      </c>
      <c r="B17" s="14">
        <v>143.89537884121387</v>
      </c>
      <c r="C17" s="14">
        <v>143.45407614595746</v>
      </c>
      <c r="D17" s="14">
        <v>143.80987831901919</v>
      </c>
      <c r="E17" s="14">
        <v>151.12332298589217</v>
      </c>
      <c r="F17" s="14">
        <v>161.54108661239749</v>
      </c>
      <c r="G17" s="14">
        <v>174.55476609346201</v>
      </c>
      <c r="H17" s="14">
        <v>189.75185890972605</v>
      </c>
      <c r="I17" s="14">
        <v>188.45165096870448</v>
      </c>
      <c r="J17" s="14">
        <v>196.4126995908193</v>
      </c>
      <c r="K17" s="14">
        <v>193.53698202737044</v>
      </c>
      <c r="L17" s="14">
        <v>190.86136568604024</v>
      </c>
      <c r="M17" s="14">
        <v>188.60585191048673</v>
      </c>
      <c r="N17" s="14">
        <v>182.76411623207849</v>
      </c>
      <c r="O17" s="14">
        <v>179.88619865519294</v>
      </c>
      <c r="P17" s="14">
        <v>178.35658931310209</v>
      </c>
      <c r="Q17" s="14">
        <v>174.35766488966578</v>
      </c>
      <c r="R17" s="15">
        <v>169.67793630821748</v>
      </c>
      <c r="S17" s="14">
        <v>142.54477059237254</v>
      </c>
      <c r="T17" s="14">
        <v>143.45407614595746</v>
      </c>
      <c r="U17" s="14">
        <v>143.80987831901919</v>
      </c>
      <c r="V17" s="14">
        <v>151.12332298589217</v>
      </c>
      <c r="W17" s="14">
        <v>161.54108661239749</v>
      </c>
      <c r="X17" s="14">
        <v>174.55476609346201</v>
      </c>
      <c r="Y17" s="14">
        <v>189.75185890972605</v>
      </c>
      <c r="Z17" s="14">
        <v>188.45165096870448</v>
      </c>
      <c r="AA17" s="14">
        <v>196.4126995908193</v>
      </c>
      <c r="AB17" s="14">
        <v>193.53698202737044</v>
      </c>
      <c r="AC17" s="14">
        <v>190.86136568604024</v>
      </c>
      <c r="AD17" s="14">
        <v>188.60585191048673</v>
      </c>
      <c r="AE17" s="14">
        <v>182.76411623207849</v>
      </c>
      <c r="AF17" s="14">
        <v>179.88619865519294</v>
      </c>
      <c r="AG17" s="14">
        <v>178.35658931310209</v>
      </c>
      <c r="AH17" s="14">
        <v>174.35766488966578</v>
      </c>
      <c r="AI17" s="15">
        <v>169.67793630821748</v>
      </c>
      <c r="AJ17" s="14">
        <v>140.80975999579329</v>
      </c>
      <c r="AK17" s="14">
        <v>143.99837947029064</v>
      </c>
      <c r="AL17" s="14">
        <v>143.80987831901919</v>
      </c>
      <c r="AM17" s="14">
        <v>151.12332298589217</v>
      </c>
      <c r="AN17" s="14">
        <v>161.54108661239749</v>
      </c>
      <c r="AO17" s="14">
        <v>174.55476609346201</v>
      </c>
      <c r="AP17" s="14">
        <v>189.75185890972605</v>
      </c>
      <c r="AQ17" s="14">
        <v>188.45165096870448</v>
      </c>
      <c r="AR17" s="14">
        <v>174.35766488966578</v>
      </c>
      <c r="AS17" s="14">
        <v>169.67793630821748</v>
      </c>
    </row>
    <row r="18" spans="1:45" x14ac:dyDescent="0.35">
      <c r="A18" s="15">
        <v>349.37395200000003</v>
      </c>
      <c r="B18" s="14">
        <v>144.0823799833237</v>
      </c>
      <c r="C18" s="14">
        <v>143.63337724103894</v>
      </c>
      <c r="D18" s="14">
        <v>143.98687940005405</v>
      </c>
      <c r="E18" s="14">
        <v>151.28682398447501</v>
      </c>
      <c r="F18" s="14">
        <v>161.68768750776269</v>
      </c>
      <c r="G18" s="14">
        <v>174.68176686911897</v>
      </c>
      <c r="H18" s="14">
        <v>189.85635954796373</v>
      </c>
      <c r="I18" s="14">
        <v>188.53755149334165</v>
      </c>
      <c r="J18" s="14">
        <v>196.4888000556027</v>
      </c>
      <c r="K18" s="14">
        <v>193.62658257460586</v>
      </c>
      <c r="L18" s="14">
        <v>190.96426631450569</v>
      </c>
      <c r="M18" s="14">
        <v>188.69485245405767</v>
      </c>
      <c r="N18" s="14">
        <v>182.86801686665166</v>
      </c>
      <c r="O18" s="14">
        <v>179.97579920242839</v>
      </c>
      <c r="P18" s="14">
        <v>178.44418984812208</v>
      </c>
      <c r="Q18" s="14">
        <v>174.43276534834217</v>
      </c>
      <c r="R18" s="15">
        <v>169.76673685056716</v>
      </c>
      <c r="S18" s="14">
        <v>142.7245716905079</v>
      </c>
      <c r="T18" s="14">
        <v>143.63337724103894</v>
      </c>
      <c r="U18" s="14">
        <v>143.98687940005405</v>
      </c>
      <c r="V18" s="14">
        <v>151.28682398447501</v>
      </c>
      <c r="W18" s="14">
        <v>161.68768750776269</v>
      </c>
      <c r="X18" s="14">
        <v>174.68176686911897</v>
      </c>
      <c r="Y18" s="14">
        <v>189.85635954796373</v>
      </c>
      <c r="Z18" s="14">
        <v>188.53755149334165</v>
      </c>
      <c r="AA18" s="14">
        <v>196.4888000556027</v>
      </c>
      <c r="AB18" s="14">
        <v>193.62658257460586</v>
      </c>
      <c r="AC18" s="14">
        <v>190.96426631450569</v>
      </c>
      <c r="AD18" s="14">
        <v>188.69485245405767</v>
      </c>
      <c r="AE18" s="14">
        <v>182.86801686665166</v>
      </c>
      <c r="AF18" s="14">
        <v>179.97579920242839</v>
      </c>
      <c r="AG18" s="14">
        <v>178.44418984812208</v>
      </c>
      <c r="AH18" s="14">
        <v>174.43276534834217</v>
      </c>
      <c r="AI18" s="15">
        <v>169.76673685056716</v>
      </c>
      <c r="AJ18" s="14">
        <v>140.98746108110257</v>
      </c>
      <c r="AK18" s="14">
        <v>144.18548061301112</v>
      </c>
      <c r="AL18" s="14">
        <v>143.98687940005405</v>
      </c>
      <c r="AM18" s="14">
        <v>151.28682398447501</v>
      </c>
      <c r="AN18" s="14">
        <v>161.68768750776269</v>
      </c>
      <c r="AO18" s="14">
        <v>174.68176686911897</v>
      </c>
      <c r="AP18" s="14">
        <v>189.85635954796373</v>
      </c>
      <c r="AQ18" s="14">
        <v>188.53755149334165</v>
      </c>
      <c r="AR18" s="14">
        <v>174.43276534834217</v>
      </c>
      <c r="AS18" s="14">
        <v>169.76673685056716</v>
      </c>
    </row>
    <row r="19" spans="1:45" x14ac:dyDescent="0.35">
      <c r="A19" s="15">
        <v>387.473952</v>
      </c>
      <c r="B19" s="14">
        <v>144.32688147661719</v>
      </c>
      <c r="C19" s="14">
        <v>143.86997868608276</v>
      </c>
      <c r="D19" s="14">
        <v>144.21998082372087</v>
      </c>
      <c r="E19" s="14">
        <v>151.50462531469708</v>
      </c>
      <c r="F19" s="14">
        <v>161.88848873415643</v>
      </c>
      <c r="G19" s="14">
        <v>174.86316797702648</v>
      </c>
      <c r="H19" s="14">
        <v>190.01586052211641</v>
      </c>
      <c r="I19" s="14">
        <v>188.67865235511579</v>
      </c>
      <c r="J19" s="14">
        <v>196.62060086057627</v>
      </c>
      <c r="K19" s="14">
        <v>193.77128345836695</v>
      </c>
      <c r="L19" s="14">
        <v>191.12176727644297</v>
      </c>
      <c r="M19" s="14">
        <v>188.83885333354291</v>
      </c>
      <c r="N19" s="14">
        <v>183.02611783225342</v>
      </c>
      <c r="O19" s="14">
        <v>180.12030008496816</v>
      </c>
      <c r="P19" s="14">
        <v>178.58649071722522</v>
      </c>
      <c r="Q19" s="14">
        <v>174.56316614476484</v>
      </c>
      <c r="R19" s="15">
        <v>169.9096377233341</v>
      </c>
      <c r="S19" s="14">
        <v>142.95947312516884</v>
      </c>
      <c r="T19" s="14">
        <v>143.86997868608276</v>
      </c>
      <c r="U19" s="14">
        <v>144.21998082372087</v>
      </c>
      <c r="V19" s="14">
        <v>151.50462531469708</v>
      </c>
      <c r="W19" s="14">
        <v>161.88848873415643</v>
      </c>
      <c r="X19" s="14">
        <v>174.86316797702648</v>
      </c>
      <c r="Y19" s="14">
        <v>190.01586052211641</v>
      </c>
      <c r="Z19" s="14">
        <v>188.67865235511579</v>
      </c>
      <c r="AA19" s="14">
        <v>196.62060086057627</v>
      </c>
      <c r="AB19" s="14">
        <v>193.77128345836695</v>
      </c>
      <c r="AC19" s="14">
        <v>191.12176727644297</v>
      </c>
      <c r="AD19" s="14">
        <v>188.83885333354291</v>
      </c>
      <c r="AE19" s="14">
        <v>183.02611783225342</v>
      </c>
      <c r="AF19" s="14">
        <v>180.12030008496816</v>
      </c>
      <c r="AG19" s="14">
        <v>178.58649071722522</v>
      </c>
      <c r="AH19" s="14">
        <v>174.56316614476484</v>
      </c>
      <c r="AI19" s="15">
        <v>169.9096377233341</v>
      </c>
      <c r="AJ19" s="14">
        <v>141.21976249988361</v>
      </c>
      <c r="AK19" s="14">
        <v>144.42998210630392</v>
      </c>
      <c r="AL19" s="14">
        <v>144.21998082372087</v>
      </c>
      <c r="AM19" s="14">
        <v>151.50462531469708</v>
      </c>
      <c r="AN19" s="14">
        <v>161.88848873415643</v>
      </c>
      <c r="AO19" s="14">
        <v>174.86316797702648</v>
      </c>
      <c r="AP19" s="14">
        <v>190.01586052211641</v>
      </c>
      <c r="AQ19" s="14">
        <v>188.67865235511579</v>
      </c>
      <c r="AR19" s="14">
        <v>174.56316614476484</v>
      </c>
      <c r="AS19" s="14">
        <v>169.9096377233341</v>
      </c>
    </row>
    <row r="20" spans="1:45" x14ac:dyDescent="0.35">
      <c r="A20" s="15">
        <v>425.57395200000002</v>
      </c>
      <c r="B20" s="14">
        <v>144.55048284226282</v>
      </c>
      <c r="C20" s="14">
        <v>144.08638000775386</v>
      </c>
      <c r="D20" s="14">
        <v>144.43328212645892</v>
      </c>
      <c r="E20" s="14">
        <v>151.70302652643218</v>
      </c>
      <c r="F20" s="14">
        <v>162.06968984084199</v>
      </c>
      <c r="G20" s="14">
        <v>175.02496896522652</v>
      </c>
      <c r="H20" s="14">
        <v>190.15536137411769</v>
      </c>
      <c r="I20" s="14">
        <v>188.80005309657042</v>
      </c>
      <c r="J20" s="14">
        <v>196.73280154584231</v>
      </c>
      <c r="K20" s="14">
        <v>193.89598421997658</v>
      </c>
      <c r="L20" s="14">
        <v>191.25856811195442</v>
      </c>
      <c r="M20" s="14">
        <v>188.96285409087815</v>
      </c>
      <c r="N20" s="14">
        <v>183.16371867265059</v>
      </c>
      <c r="O20" s="14">
        <v>180.24480084535659</v>
      </c>
      <c r="P20" s="14">
        <v>178.70889146478754</v>
      </c>
      <c r="Q20" s="14">
        <v>174.67436682392318</v>
      </c>
      <c r="R20" s="15">
        <v>170.03283847578285</v>
      </c>
      <c r="S20" s="14">
        <v>143.17447443828974</v>
      </c>
      <c r="T20" s="14">
        <v>144.08638000775386</v>
      </c>
      <c r="U20" s="14">
        <v>144.43328212645892</v>
      </c>
      <c r="V20" s="14">
        <v>151.70302652643218</v>
      </c>
      <c r="W20" s="14">
        <v>162.06968984084199</v>
      </c>
      <c r="X20" s="14">
        <v>175.02496896522652</v>
      </c>
      <c r="Y20" s="14">
        <v>190.15536137411769</v>
      </c>
      <c r="Z20" s="14">
        <v>188.80005309657042</v>
      </c>
      <c r="AA20" s="14">
        <v>196.73280154584231</v>
      </c>
      <c r="AB20" s="14">
        <v>193.89598421997658</v>
      </c>
      <c r="AC20" s="14">
        <v>191.25856811195442</v>
      </c>
      <c r="AD20" s="14">
        <v>188.96285409087815</v>
      </c>
      <c r="AE20" s="14">
        <v>183.16371867265059</v>
      </c>
      <c r="AF20" s="14">
        <v>180.24480084535659</v>
      </c>
      <c r="AG20" s="14">
        <v>178.70889146478754</v>
      </c>
      <c r="AH20" s="14">
        <v>174.67436682392318</v>
      </c>
      <c r="AI20" s="15">
        <v>170.03283847578285</v>
      </c>
      <c r="AJ20" s="14">
        <v>141.43226379773594</v>
      </c>
      <c r="AK20" s="14">
        <v>144.65358347194956</v>
      </c>
      <c r="AL20" s="14">
        <v>144.43328212645892</v>
      </c>
      <c r="AM20" s="14">
        <v>151.70302652643218</v>
      </c>
      <c r="AN20" s="14">
        <v>162.06968984084199</v>
      </c>
      <c r="AO20" s="14">
        <v>175.02496896522652</v>
      </c>
      <c r="AP20" s="14">
        <v>190.15536137411769</v>
      </c>
      <c r="AQ20" s="14">
        <v>188.80005309657042</v>
      </c>
      <c r="AR20" s="14">
        <v>174.67436682392318</v>
      </c>
      <c r="AS20" s="14">
        <v>170.03283847578285</v>
      </c>
    </row>
    <row r="21" spans="1:45" x14ac:dyDescent="0.35">
      <c r="A21" s="15">
        <v>463.67395200000004</v>
      </c>
      <c r="B21" s="14">
        <v>144.75368408331454</v>
      </c>
      <c r="C21" s="14">
        <v>144.28288120788557</v>
      </c>
      <c r="D21" s="14">
        <v>144.62668330765689</v>
      </c>
      <c r="E21" s="14">
        <v>151.88212762029238</v>
      </c>
      <c r="F21" s="14">
        <v>162.23129082782074</v>
      </c>
      <c r="G21" s="14">
        <v>175.16686983188643</v>
      </c>
      <c r="H21" s="14">
        <v>190.27496210457954</v>
      </c>
      <c r="I21" s="14">
        <v>188.90165371709696</v>
      </c>
      <c r="J21" s="14">
        <v>196.82550211201081</v>
      </c>
      <c r="K21" s="14">
        <v>194.00048485821424</v>
      </c>
      <c r="L21" s="14">
        <v>191.37486882226122</v>
      </c>
      <c r="M21" s="14">
        <v>189.06685472606196</v>
      </c>
      <c r="N21" s="14">
        <v>183.28081938784388</v>
      </c>
      <c r="O21" s="14">
        <v>180.34940148420486</v>
      </c>
      <c r="P21" s="14">
        <v>178.8113920908105</v>
      </c>
      <c r="Q21" s="14">
        <v>174.76616738459529</v>
      </c>
      <c r="R21" s="15">
        <v>170.13643910852412</v>
      </c>
      <c r="S21" s="14">
        <v>143.36937562864858</v>
      </c>
      <c r="T21" s="14">
        <v>144.28288120788557</v>
      </c>
      <c r="U21" s="14">
        <v>144.62668330765689</v>
      </c>
      <c r="V21" s="14">
        <v>151.88212762029238</v>
      </c>
      <c r="W21" s="14">
        <v>162.23129082782074</v>
      </c>
      <c r="X21" s="14">
        <v>175.16686983188643</v>
      </c>
      <c r="Y21" s="14">
        <v>190.27496210457954</v>
      </c>
      <c r="Z21" s="14">
        <v>188.90165371709696</v>
      </c>
      <c r="AA21" s="14">
        <v>196.82550211201081</v>
      </c>
      <c r="AB21" s="14">
        <v>194.00048485821424</v>
      </c>
      <c r="AC21" s="14">
        <v>191.37486882226122</v>
      </c>
      <c r="AD21" s="14">
        <v>189.06685472606196</v>
      </c>
      <c r="AE21" s="14">
        <v>183.28081938784388</v>
      </c>
      <c r="AF21" s="14">
        <v>180.34940148420486</v>
      </c>
      <c r="AG21" s="14">
        <v>178.8113920908105</v>
      </c>
      <c r="AH21" s="14">
        <v>174.76616738459529</v>
      </c>
      <c r="AI21" s="15">
        <v>170.13643910852412</v>
      </c>
      <c r="AJ21" s="14">
        <v>141.62516497588007</v>
      </c>
      <c r="AK21" s="14">
        <v>144.85668471239063</v>
      </c>
      <c r="AL21" s="14">
        <v>144.62668330765689</v>
      </c>
      <c r="AM21" s="14">
        <v>151.88212762029238</v>
      </c>
      <c r="AN21" s="14">
        <v>162.23129082782074</v>
      </c>
      <c r="AO21" s="14">
        <v>175.16686983188643</v>
      </c>
      <c r="AP21" s="14">
        <v>190.27496210457954</v>
      </c>
      <c r="AQ21" s="14">
        <v>188.90165371709696</v>
      </c>
      <c r="AR21" s="14">
        <v>174.76616738459529</v>
      </c>
      <c r="AS21" s="14">
        <v>170.13643910852412</v>
      </c>
    </row>
    <row r="22" spans="1:45" x14ac:dyDescent="0.35">
      <c r="A22" s="15">
        <v>497.73535200000003</v>
      </c>
      <c r="B22" s="14">
        <v>144.85428469773271</v>
      </c>
      <c r="C22" s="14">
        <v>144.37748178565815</v>
      </c>
      <c r="D22" s="14">
        <v>144.71958387504733</v>
      </c>
      <c r="E22" s="14">
        <v>151.96502812660779</v>
      </c>
      <c r="F22" s="14">
        <v>162.29889124069001</v>
      </c>
      <c r="G22" s="14">
        <v>175.21627013359841</v>
      </c>
      <c r="H22" s="14">
        <v>190.3036622798657</v>
      </c>
      <c r="I22" s="14">
        <v>188.91455379588382</v>
      </c>
      <c r="J22" s="14">
        <v>196.83020214071675</v>
      </c>
      <c r="K22" s="14">
        <v>194.01548494982782</v>
      </c>
      <c r="L22" s="14">
        <v>191.39996897556045</v>
      </c>
      <c r="M22" s="14">
        <v>189.08145481523229</v>
      </c>
      <c r="N22" s="14">
        <v>183.30671954602886</v>
      </c>
      <c r="O22" s="14">
        <v>180.36470157765032</v>
      </c>
      <c r="P22" s="14">
        <v>178.8248921732625</v>
      </c>
      <c r="Q22" s="14">
        <v>174.77096741391185</v>
      </c>
      <c r="R22" s="15">
        <v>170.15213920441215</v>
      </c>
      <c r="S22" s="14">
        <v>143.46557621619405</v>
      </c>
      <c r="T22" s="14">
        <v>144.37748178565815</v>
      </c>
      <c r="U22" s="14">
        <v>144.71958387504733</v>
      </c>
      <c r="V22" s="14">
        <v>151.96502812660779</v>
      </c>
      <c r="W22" s="14">
        <v>162.29889124069001</v>
      </c>
      <c r="X22" s="14">
        <v>175.21627013359841</v>
      </c>
      <c r="Y22" s="14">
        <v>190.3036622798657</v>
      </c>
      <c r="Z22" s="14">
        <v>188.91455379588382</v>
      </c>
      <c r="AA22" s="14">
        <v>196.83020214071675</v>
      </c>
      <c r="AB22" s="14">
        <v>194.01548494982782</v>
      </c>
      <c r="AC22" s="14">
        <v>191.39996897556045</v>
      </c>
      <c r="AD22" s="14">
        <v>189.08145481523229</v>
      </c>
      <c r="AE22" s="14">
        <v>183.30671954602886</v>
      </c>
      <c r="AF22" s="14">
        <v>180.36470157765032</v>
      </c>
      <c r="AG22" s="14">
        <v>178.8248921732625</v>
      </c>
      <c r="AH22" s="14">
        <v>174.77096741391185</v>
      </c>
      <c r="AI22" s="15">
        <v>170.15213920441215</v>
      </c>
      <c r="AJ22" s="14">
        <v>141.72036555731779</v>
      </c>
      <c r="AK22" s="14">
        <v>144.95708532558754</v>
      </c>
      <c r="AL22" s="14">
        <v>144.71958387504733</v>
      </c>
      <c r="AM22" s="14">
        <v>151.96502812660779</v>
      </c>
      <c r="AN22" s="14">
        <v>162.29889124069001</v>
      </c>
      <c r="AO22" s="14">
        <v>175.21627013359841</v>
      </c>
      <c r="AP22" s="14">
        <v>190.3036622798657</v>
      </c>
      <c r="AQ22" s="14">
        <v>188.91455379588382</v>
      </c>
      <c r="AR22" s="14">
        <v>174.77096741391185</v>
      </c>
      <c r="AS22" s="14">
        <v>170.15213920441215</v>
      </c>
    </row>
    <row r="23" spans="1:45" x14ac:dyDescent="0.35">
      <c r="A23" s="15">
        <v>527.758152</v>
      </c>
      <c r="B23" s="14">
        <v>144.85068467574578</v>
      </c>
      <c r="C23" s="14">
        <v>144.3680817282476</v>
      </c>
      <c r="D23" s="14">
        <v>144.71168382679767</v>
      </c>
      <c r="E23" s="14">
        <v>151.95172804537708</v>
      </c>
      <c r="F23" s="14">
        <v>162.27239107884054</v>
      </c>
      <c r="G23" s="14">
        <v>175.17316987036386</v>
      </c>
      <c r="H23" s="14">
        <v>190.24176190180938</v>
      </c>
      <c r="I23" s="14">
        <v>188.8384533311004</v>
      </c>
      <c r="J23" s="14">
        <v>196.74680163134752</v>
      </c>
      <c r="K23" s="14">
        <v>193.94098449481592</v>
      </c>
      <c r="L23" s="14">
        <v>191.33406857307332</v>
      </c>
      <c r="M23" s="14">
        <v>189.00675435899913</v>
      </c>
      <c r="N23" s="14">
        <v>183.2417191490388</v>
      </c>
      <c r="O23" s="14">
        <v>180.29080112630291</v>
      </c>
      <c r="P23" s="14">
        <v>178.74959171336485</v>
      </c>
      <c r="Q23" s="14">
        <v>174.68846691003966</v>
      </c>
      <c r="R23" s="15">
        <v>170.07993876344824</v>
      </c>
      <c r="S23" s="14">
        <v>143.46207619481774</v>
      </c>
      <c r="T23" s="14">
        <v>144.3680817282476</v>
      </c>
      <c r="U23" s="14">
        <v>144.71168382679767</v>
      </c>
      <c r="V23" s="14">
        <v>151.95172804537708</v>
      </c>
      <c r="W23" s="14">
        <v>162.27239107884054</v>
      </c>
      <c r="X23" s="14">
        <v>175.17316987036386</v>
      </c>
      <c r="Y23" s="14">
        <v>190.24176190180938</v>
      </c>
      <c r="Z23" s="14">
        <v>188.8384533311004</v>
      </c>
      <c r="AA23" s="14">
        <v>196.74680163134752</v>
      </c>
      <c r="AB23" s="14">
        <v>193.94098449481592</v>
      </c>
      <c r="AC23" s="14">
        <v>191.33406857307332</v>
      </c>
      <c r="AD23" s="14">
        <v>189.00675435899913</v>
      </c>
      <c r="AE23" s="14">
        <v>183.2417191490388</v>
      </c>
      <c r="AF23" s="14">
        <v>180.29080112630291</v>
      </c>
      <c r="AG23" s="14">
        <v>178.74959171336485</v>
      </c>
      <c r="AH23" s="14">
        <v>174.68846691003966</v>
      </c>
      <c r="AI23" s="15">
        <v>170.07993876344824</v>
      </c>
      <c r="AJ23" s="14">
        <v>141.71696553655215</v>
      </c>
      <c r="AK23" s="14">
        <v>144.95348530360062</v>
      </c>
      <c r="AL23" s="14">
        <v>144.71168382679767</v>
      </c>
      <c r="AM23" s="14">
        <v>151.95172804537708</v>
      </c>
      <c r="AN23" s="14">
        <v>162.27239107884054</v>
      </c>
      <c r="AO23" s="14">
        <v>175.17316987036386</v>
      </c>
      <c r="AP23" s="14">
        <v>190.24176190180938</v>
      </c>
      <c r="AQ23" s="14">
        <v>188.8384533311004</v>
      </c>
      <c r="AR23" s="14">
        <v>174.68846691003966</v>
      </c>
      <c r="AS23" s="14">
        <v>170.07993876344824</v>
      </c>
    </row>
    <row r="24" spans="1:45" x14ac:dyDescent="0.35">
      <c r="A24" s="15">
        <v>554.12563799999998</v>
      </c>
      <c r="B24" s="14">
        <v>144.83088455481632</v>
      </c>
      <c r="C24" s="14">
        <v>144.34318157616966</v>
      </c>
      <c r="D24" s="14">
        <v>144.68828368388128</v>
      </c>
      <c r="E24" s="14">
        <v>151.92412787680928</v>
      </c>
      <c r="F24" s="14">
        <v>162.23309083881418</v>
      </c>
      <c r="G24" s="14">
        <v>175.11946954238914</v>
      </c>
      <c r="H24" s="14">
        <v>190.17146147244893</v>
      </c>
      <c r="I24" s="14">
        <v>188.75585282661754</v>
      </c>
      <c r="J24" s="14">
        <v>196.65780108777659</v>
      </c>
      <c r="K24" s="14">
        <v>193.85938399644078</v>
      </c>
      <c r="L24" s="14">
        <v>191.25996812050465</v>
      </c>
      <c r="M24" s="14">
        <v>188.92505386001338</v>
      </c>
      <c r="N24" s="14">
        <v>183.16831870074523</v>
      </c>
      <c r="O24" s="14">
        <v>180.20990063220361</v>
      </c>
      <c r="P24" s="14">
        <v>178.6673912113252</v>
      </c>
      <c r="Q24" s="14">
        <v>174.60036637196583</v>
      </c>
      <c r="R24" s="15">
        <v>170.00093828095231</v>
      </c>
      <c r="S24" s="14">
        <v>143.44307607877474</v>
      </c>
      <c r="T24" s="14">
        <v>144.34318157616966</v>
      </c>
      <c r="U24" s="14">
        <v>144.68828368388128</v>
      </c>
      <c r="V24" s="14">
        <v>151.92412787680928</v>
      </c>
      <c r="W24" s="14">
        <v>162.23309083881418</v>
      </c>
      <c r="X24" s="14">
        <v>175.11946954238914</v>
      </c>
      <c r="Y24" s="14">
        <v>190.17146147244893</v>
      </c>
      <c r="Z24" s="14">
        <v>188.75585282661754</v>
      </c>
      <c r="AA24" s="14">
        <v>196.65780108777659</v>
      </c>
      <c r="AB24" s="14">
        <v>193.85938399644078</v>
      </c>
      <c r="AC24" s="14">
        <v>191.25996812050465</v>
      </c>
      <c r="AD24" s="14">
        <v>188.92505386001338</v>
      </c>
      <c r="AE24" s="14">
        <v>183.16831870074523</v>
      </c>
      <c r="AF24" s="14">
        <v>180.20990063220361</v>
      </c>
      <c r="AG24" s="14">
        <v>178.6673912113252</v>
      </c>
      <c r="AH24" s="14">
        <v>174.60036637196583</v>
      </c>
      <c r="AI24" s="15">
        <v>170.00093828095231</v>
      </c>
      <c r="AJ24" s="14">
        <v>141.69816542173038</v>
      </c>
      <c r="AK24" s="14">
        <v>144.93368518267116</v>
      </c>
      <c r="AL24" s="14">
        <v>144.68828368388128</v>
      </c>
      <c r="AM24" s="14">
        <v>151.92412787680928</v>
      </c>
      <c r="AN24" s="14">
        <v>162.23309083881418</v>
      </c>
      <c r="AO24" s="14">
        <v>175.11946954238914</v>
      </c>
      <c r="AP24" s="14">
        <v>190.17146147244893</v>
      </c>
      <c r="AQ24" s="14">
        <v>188.75585282661754</v>
      </c>
      <c r="AR24" s="14">
        <v>174.60036637196583</v>
      </c>
      <c r="AS24" s="14">
        <v>170.00093828095231</v>
      </c>
    </row>
    <row r="25" spans="1:45" x14ac:dyDescent="0.35">
      <c r="A25" s="15">
        <v>576.83780999999999</v>
      </c>
      <c r="B25" s="14">
        <v>144.79488433494501</v>
      </c>
      <c r="C25" s="14">
        <v>144.30278132942496</v>
      </c>
      <c r="D25" s="14">
        <v>144.64918344507689</v>
      </c>
      <c r="E25" s="14">
        <v>151.88222762090371</v>
      </c>
      <c r="F25" s="14">
        <v>162.18129052244356</v>
      </c>
      <c r="G25" s="14">
        <v>175.05526915028483</v>
      </c>
      <c r="H25" s="14">
        <v>190.09276099178558</v>
      </c>
      <c r="I25" s="14">
        <v>188.66655228121402</v>
      </c>
      <c r="J25" s="14">
        <v>196.56300050878201</v>
      </c>
      <c r="K25" s="14">
        <v>193.77088345592375</v>
      </c>
      <c r="L25" s="14">
        <v>191.17766761785438</v>
      </c>
      <c r="M25" s="14">
        <v>188.83645331888496</v>
      </c>
      <c r="N25" s="14">
        <v>183.08681820298145</v>
      </c>
      <c r="O25" s="14">
        <v>180.12210009596166</v>
      </c>
      <c r="P25" s="14">
        <v>178.57839066775429</v>
      </c>
      <c r="Q25" s="14">
        <v>174.50656579907829</v>
      </c>
      <c r="R25" s="15">
        <v>169.91493775570382</v>
      </c>
      <c r="S25" s="14">
        <v>143.40837586684302</v>
      </c>
      <c r="T25" s="14">
        <v>144.30278132942496</v>
      </c>
      <c r="U25" s="14">
        <v>144.64918344507689</v>
      </c>
      <c r="V25" s="14">
        <v>151.88222762090371</v>
      </c>
      <c r="W25" s="14">
        <v>162.18129052244356</v>
      </c>
      <c r="X25" s="14">
        <v>175.05526915028483</v>
      </c>
      <c r="Y25" s="14">
        <v>190.09276099178558</v>
      </c>
      <c r="Z25" s="14">
        <v>188.66655228121402</v>
      </c>
      <c r="AA25" s="14">
        <v>196.56300050878201</v>
      </c>
      <c r="AB25" s="14">
        <v>193.77088345592375</v>
      </c>
      <c r="AC25" s="14">
        <v>191.17766761785438</v>
      </c>
      <c r="AD25" s="14">
        <v>188.83645331888496</v>
      </c>
      <c r="AE25" s="14">
        <v>183.08681820298145</v>
      </c>
      <c r="AF25" s="14">
        <v>180.12210009596166</v>
      </c>
      <c r="AG25" s="14">
        <v>178.57839066775429</v>
      </c>
      <c r="AH25" s="14">
        <v>174.50656579907829</v>
      </c>
      <c r="AI25" s="15">
        <v>169.91493775570382</v>
      </c>
      <c r="AJ25" s="14">
        <v>141.66386521224192</v>
      </c>
      <c r="AK25" s="14">
        <v>144.8975849621892</v>
      </c>
      <c r="AL25" s="14">
        <v>144.64918344507689</v>
      </c>
      <c r="AM25" s="14">
        <v>151.88222762090371</v>
      </c>
      <c r="AN25" s="14">
        <v>162.18129052244356</v>
      </c>
      <c r="AO25" s="14">
        <v>175.05526915028483</v>
      </c>
      <c r="AP25" s="14">
        <v>190.09276099178558</v>
      </c>
      <c r="AQ25" s="14">
        <v>188.66655228121402</v>
      </c>
      <c r="AR25" s="14">
        <v>174.50656579907829</v>
      </c>
      <c r="AS25" s="14">
        <v>169.91493775570382</v>
      </c>
    </row>
    <row r="26" spans="1:45" x14ac:dyDescent="0.35">
      <c r="A26" s="15">
        <v>599.55074400000001</v>
      </c>
      <c r="B26" s="14">
        <v>144.75568409552929</v>
      </c>
      <c r="C26" s="14">
        <v>144.25938106435785</v>
      </c>
      <c r="D26" s="14">
        <v>144.60698318733876</v>
      </c>
      <c r="E26" s="14">
        <v>151.8372273460644</v>
      </c>
      <c r="F26" s="14">
        <v>162.12669018897176</v>
      </c>
      <c r="G26" s="14">
        <v>174.98806873985811</v>
      </c>
      <c r="H26" s="14">
        <v>190.01106049279983</v>
      </c>
      <c r="I26" s="14">
        <v>188.57445171871004</v>
      </c>
      <c r="J26" s="14">
        <v>196.46539991268631</v>
      </c>
      <c r="K26" s="14">
        <v>193.67948289769484</v>
      </c>
      <c r="L26" s="14">
        <v>191.09226709627038</v>
      </c>
      <c r="M26" s="14">
        <v>188.74495276004546</v>
      </c>
      <c r="N26" s="14">
        <v>183.00211768567254</v>
      </c>
      <c r="O26" s="14">
        <v>180.03129954139723</v>
      </c>
      <c r="P26" s="14">
        <v>178.48659010708221</v>
      </c>
      <c r="Q26" s="14">
        <v>174.41006520970092</v>
      </c>
      <c r="R26" s="15">
        <v>169.82593721213289</v>
      </c>
      <c r="S26" s="14">
        <v>143.3707756371995</v>
      </c>
      <c r="T26" s="14">
        <v>144.25938106435785</v>
      </c>
      <c r="U26" s="14">
        <v>144.60698318733876</v>
      </c>
      <c r="V26" s="14">
        <v>151.8372273460644</v>
      </c>
      <c r="W26" s="14">
        <v>162.12669018897176</v>
      </c>
      <c r="X26" s="14">
        <v>174.98806873985811</v>
      </c>
      <c r="Y26" s="14">
        <v>190.01106049279983</v>
      </c>
      <c r="Z26" s="14">
        <v>188.57445171871004</v>
      </c>
      <c r="AA26" s="14">
        <v>196.46539991268631</v>
      </c>
      <c r="AB26" s="14">
        <v>193.67948289769484</v>
      </c>
      <c r="AC26" s="14">
        <v>191.09226709627038</v>
      </c>
      <c r="AD26" s="14">
        <v>188.74495276004546</v>
      </c>
      <c r="AE26" s="14">
        <v>183.00211768567254</v>
      </c>
      <c r="AF26" s="14">
        <v>180.03129954139723</v>
      </c>
      <c r="AG26" s="14">
        <v>178.48659010708221</v>
      </c>
      <c r="AH26" s="14">
        <v>174.41006520970092</v>
      </c>
      <c r="AI26" s="15">
        <v>169.82593721213289</v>
      </c>
      <c r="AJ26" s="14">
        <v>141.62666498504163</v>
      </c>
      <c r="AK26" s="14">
        <v>144.85848472338481</v>
      </c>
      <c r="AL26" s="14">
        <v>144.60698318733876</v>
      </c>
      <c r="AM26" s="14">
        <v>151.8372273460644</v>
      </c>
      <c r="AN26" s="14">
        <v>162.12669018897176</v>
      </c>
      <c r="AO26" s="14">
        <v>174.98806873985811</v>
      </c>
      <c r="AP26" s="14">
        <v>190.01106049279983</v>
      </c>
      <c r="AQ26" s="14">
        <v>188.57445171871004</v>
      </c>
      <c r="AR26" s="14">
        <v>174.41006520970092</v>
      </c>
      <c r="AS26" s="14">
        <v>169.82593721213289</v>
      </c>
    </row>
    <row r="27" spans="1:45" x14ac:dyDescent="0.35">
      <c r="A27" s="15">
        <v>622.26444000000004</v>
      </c>
      <c r="B27" s="14">
        <v>144.71348383779116</v>
      </c>
      <c r="C27" s="14">
        <v>144.21288078035766</v>
      </c>
      <c r="D27" s="14">
        <v>144.56168291066683</v>
      </c>
      <c r="E27" s="14">
        <v>151.78922705290262</v>
      </c>
      <c r="F27" s="14">
        <v>162.06908983717753</v>
      </c>
      <c r="G27" s="14">
        <v>174.91806831233089</v>
      </c>
      <c r="H27" s="14">
        <v>189.92655997671292</v>
      </c>
      <c r="I27" s="14">
        <v>188.47935113788293</v>
      </c>
      <c r="J27" s="14">
        <v>196.36499929948943</v>
      </c>
      <c r="K27" s="14">
        <v>193.58498232053222</v>
      </c>
      <c r="L27" s="14">
        <v>191.00376655575332</v>
      </c>
      <c r="M27" s="14">
        <v>188.65055218349346</v>
      </c>
      <c r="N27" s="14">
        <v>182.91431714943059</v>
      </c>
      <c r="O27" s="14">
        <v>179.93749896850974</v>
      </c>
      <c r="P27" s="14">
        <v>178.3916895274763</v>
      </c>
      <c r="Q27" s="14">
        <v>174.3107646032224</v>
      </c>
      <c r="R27" s="15">
        <v>169.7341366514608</v>
      </c>
      <c r="S27" s="14">
        <v>143.33017538923357</v>
      </c>
      <c r="T27" s="14">
        <v>144.21288078035766</v>
      </c>
      <c r="U27" s="14">
        <v>144.56168291066683</v>
      </c>
      <c r="V27" s="14">
        <v>151.78922705290262</v>
      </c>
      <c r="W27" s="14">
        <v>162.06908983717753</v>
      </c>
      <c r="X27" s="14">
        <v>174.91806831233089</v>
      </c>
      <c r="Y27" s="14">
        <v>189.92655997671292</v>
      </c>
      <c r="Z27" s="14">
        <v>188.47935113788293</v>
      </c>
      <c r="AA27" s="14">
        <v>196.36499929948943</v>
      </c>
      <c r="AB27" s="14">
        <v>193.58498232053222</v>
      </c>
      <c r="AC27" s="14">
        <v>191.00376655575332</v>
      </c>
      <c r="AD27" s="14">
        <v>188.65055218349346</v>
      </c>
      <c r="AE27" s="14">
        <v>182.91431714943059</v>
      </c>
      <c r="AF27" s="14">
        <v>179.93749896850974</v>
      </c>
      <c r="AG27" s="14">
        <v>178.3916895274763</v>
      </c>
      <c r="AH27" s="14">
        <v>174.3107646032224</v>
      </c>
      <c r="AI27" s="15">
        <v>169.7341366514608</v>
      </c>
      <c r="AJ27" s="14">
        <v>141.58646473951819</v>
      </c>
      <c r="AK27" s="14">
        <v>144.81628446564665</v>
      </c>
      <c r="AL27" s="14">
        <v>144.56168291066683</v>
      </c>
      <c r="AM27" s="14">
        <v>151.78922705290262</v>
      </c>
      <c r="AN27" s="14">
        <v>162.06908983717753</v>
      </c>
      <c r="AO27" s="14">
        <v>174.91806831233089</v>
      </c>
      <c r="AP27" s="14">
        <v>189.92655997671292</v>
      </c>
      <c r="AQ27" s="14">
        <v>188.47935113788293</v>
      </c>
      <c r="AR27" s="14">
        <v>174.3107646032224</v>
      </c>
      <c r="AS27" s="14">
        <v>169.7341366514608</v>
      </c>
    </row>
    <row r="28" spans="1:45" x14ac:dyDescent="0.35">
      <c r="A28" s="15">
        <v>644.97813600000006</v>
      </c>
      <c r="B28" s="14">
        <v>144.67178358310687</v>
      </c>
      <c r="C28" s="14">
        <v>144.16688049941064</v>
      </c>
      <c r="D28" s="14">
        <v>144.51668263582752</v>
      </c>
      <c r="E28" s="14">
        <v>151.74162676218342</v>
      </c>
      <c r="F28" s="14">
        <v>162.01198948843714</v>
      </c>
      <c r="G28" s="14">
        <v>174.84846788724622</v>
      </c>
      <c r="H28" s="14">
        <v>189.84245946306919</v>
      </c>
      <c r="I28" s="14">
        <v>188.38495056133161</v>
      </c>
      <c r="J28" s="14">
        <v>196.26519868995706</v>
      </c>
      <c r="K28" s="14">
        <v>193.49108174703403</v>
      </c>
      <c r="L28" s="14">
        <v>190.91556601706881</v>
      </c>
      <c r="M28" s="14">
        <v>188.55645160877404</v>
      </c>
      <c r="N28" s="14">
        <v>182.82691661563186</v>
      </c>
      <c r="O28" s="14">
        <v>179.8442983992874</v>
      </c>
      <c r="P28" s="14">
        <v>178.29728895092504</v>
      </c>
      <c r="Q28" s="14">
        <v>174.21206400040833</v>
      </c>
      <c r="R28" s="15">
        <v>169.64283609384256</v>
      </c>
      <c r="S28" s="14">
        <v>143.29007514432078</v>
      </c>
      <c r="T28" s="14">
        <v>144.16688049941064</v>
      </c>
      <c r="U28" s="14">
        <v>144.51668263582752</v>
      </c>
      <c r="V28" s="14">
        <v>151.74162676218342</v>
      </c>
      <c r="W28" s="14">
        <v>162.01198948843714</v>
      </c>
      <c r="X28" s="14">
        <v>174.84846788724622</v>
      </c>
      <c r="Y28" s="14">
        <v>189.84245946306919</v>
      </c>
      <c r="Z28" s="14">
        <v>188.38495056133161</v>
      </c>
      <c r="AA28" s="14">
        <v>196.26519868995706</v>
      </c>
      <c r="AB28" s="14">
        <v>193.49108174703403</v>
      </c>
      <c r="AC28" s="14">
        <v>190.91556601706881</v>
      </c>
      <c r="AD28" s="14">
        <v>188.55645160877404</v>
      </c>
      <c r="AE28" s="14">
        <v>182.82691661563186</v>
      </c>
      <c r="AF28" s="14">
        <v>179.8442983992874</v>
      </c>
      <c r="AG28" s="14">
        <v>178.29728895092504</v>
      </c>
      <c r="AH28" s="14">
        <v>174.21206400040833</v>
      </c>
      <c r="AI28" s="15">
        <v>169.64283609384256</v>
      </c>
      <c r="AJ28" s="14">
        <v>141.54686449765993</v>
      </c>
      <c r="AK28" s="14">
        <v>144.77448421035103</v>
      </c>
      <c r="AL28" s="14">
        <v>144.51668263582752</v>
      </c>
      <c r="AM28" s="14">
        <v>151.74162676218342</v>
      </c>
      <c r="AN28" s="14">
        <v>162.01198948843714</v>
      </c>
      <c r="AO28" s="14">
        <v>174.84846788724622</v>
      </c>
      <c r="AP28" s="14">
        <v>189.84245946306919</v>
      </c>
      <c r="AQ28" s="14">
        <v>188.38495056133161</v>
      </c>
      <c r="AR28" s="14">
        <v>174.21206400040833</v>
      </c>
      <c r="AS28" s="14">
        <v>169.64283609384256</v>
      </c>
    </row>
    <row r="29" spans="1:45" x14ac:dyDescent="0.35">
      <c r="A29" s="15">
        <v>667.69183200000009</v>
      </c>
      <c r="B29" s="14">
        <v>144.63048333086579</v>
      </c>
      <c r="C29" s="14">
        <v>144.12138022151746</v>
      </c>
      <c r="D29" s="14">
        <v>144.47208236343141</v>
      </c>
      <c r="E29" s="14">
        <v>151.69422647268615</v>
      </c>
      <c r="F29" s="14">
        <v>161.95538914275059</v>
      </c>
      <c r="G29" s="14">
        <v>174.77926746460406</v>
      </c>
      <c r="H29" s="14">
        <v>189.75885895247865</v>
      </c>
      <c r="I29" s="14">
        <v>188.2909499872228</v>
      </c>
      <c r="J29" s="14">
        <v>196.16599808408913</v>
      </c>
      <c r="K29" s="14">
        <v>193.39758117597913</v>
      </c>
      <c r="L29" s="14">
        <v>190.82766548021624</v>
      </c>
      <c r="M29" s="14">
        <v>188.46295103771911</v>
      </c>
      <c r="N29" s="14">
        <v>182.73971608305439</v>
      </c>
      <c r="O29" s="14">
        <v>179.75139783189695</v>
      </c>
      <c r="P29" s="14">
        <v>178.20338837742685</v>
      </c>
      <c r="Q29" s="14">
        <v>174.11396340125876</v>
      </c>
      <c r="R29" s="15">
        <v>169.55193553866755</v>
      </c>
      <c r="S29" s="14">
        <v>143.25037490185187</v>
      </c>
      <c r="T29" s="14">
        <v>144.12138022151746</v>
      </c>
      <c r="U29" s="14">
        <v>144.47208236343141</v>
      </c>
      <c r="V29" s="14">
        <v>151.69422647268615</v>
      </c>
      <c r="W29" s="14">
        <v>161.95538914275059</v>
      </c>
      <c r="X29" s="14">
        <v>174.77926746460406</v>
      </c>
      <c r="Y29" s="14">
        <v>189.75885895247865</v>
      </c>
      <c r="Z29" s="14">
        <v>188.2909499872228</v>
      </c>
      <c r="AA29" s="14">
        <v>196.16599808408913</v>
      </c>
      <c r="AB29" s="14">
        <v>193.39758117597913</v>
      </c>
      <c r="AC29" s="14">
        <v>190.82766548021624</v>
      </c>
      <c r="AD29" s="14">
        <v>188.46295103771911</v>
      </c>
      <c r="AE29" s="14">
        <v>182.73971608305439</v>
      </c>
      <c r="AF29" s="14">
        <v>179.75139783189695</v>
      </c>
      <c r="AG29" s="14">
        <v>178.20338837742685</v>
      </c>
      <c r="AH29" s="14">
        <v>174.11396340125876</v>
      </c>
      <c r="AI29" s="15">
        <v>169.55193553866755</v>
      </c>
      <c r="AJ29" s="14">
        <v>141.50766425824423</v>
      </c>
      <c r="AK29" s="14">
        <v>144.73328395872062</v>
      </c>
      <c r="AL29" s="14">
        <v>144.47208236343141</v>
      </c>
      <c r="AM29" s="14">
        <v>151.69422647268615</v>
      </c>
      <c r="AN29" s="14">
        <v>161.95538914275059</v>
      </c>
      <c r="AO29" s="14">
        <v>174.77926746460406</v>
      </c>
      <c r="AP29" s="14">
        <v>189.75885895247865</v>
      </c>
      <c r="AQ29" s="14">
        <v>188.2909499872228</v>
      </c>
      <c r="AR29" s="14">
        <v>174.11396340125876</v>
      </c>
      <c r="AS29" s="14">
        <v>169.55193553866755</v>
      </c>
    </row>
    <row r="30" spans="1:45" x14ac:dyDescent="0.35">
      <c r="A30" s="15">
        <v>690.40857600000004</v>
      </c>
      <c r="B30" s="14">
        <v>144.57988302182412</v>
      </c>
      <c r="C30" s="14">
        <v>144.0665798868244</v>
      </c>
      <c r="D30" s="14">
        <v>144.41808203362478</v>
      </c>
      <c r="E30" s="14">
        <v>151.63782612822087</v>
      </c>
      <c r="F30" s="14">
        <v>161.88988874270669</v>
      </c>
      <c r="G30" s="14">
        <v>174.70126698821585</v>
      </c>
      <c r="H30" s="14">
        <v>189.66635838753143</v>
      </c>
      <c r="I30" s="14">
        <v>188.188149359368</v>
      </c>
      <c r="J30" s="14">
        <v>196.05789742386457</v>
      </c>
      <c r="K30" s="14">
        <v>193.29508054995688</v>
      </c>
      <c r="L30" s="14">
        <v>190.730664887785</v>
      </c>
      <c r="M30" s="14">
        <v>188.36045041169686</v>
      </c>
      <c r="N30" s="14">
        <v>182.64341549489828</v>
      </c>
      <c r="O30" s="14">
        <v>179.64959721014912</v>
      </c>
      <c r="P30" s="14">
        <v>178.10058774957201</v>
      </c>
      <c r="Q30" s="14">
        <v>174.00706274836315</v>
      </c>
      <c r="R30" s="15">
        <v>169.45223492974577</v>
      </c>
      <c r="S30" s="14">
        <v>143.20177460502563</v>
      </c>
      <c r="T30" s="14">
        <v>144.0665798868244</v>
      </c>
      <c r="U30" s="14">
        <v>144.41808203362478</v>
      </c>
      <c r="V30" s="14">
        <v>151.63782612822087</v>
      </c>
      <c r="W30" s="14">
        <v>161.88988874270669</v>
      </c>
      <c r="X30" s="14">
        <v>174.70126698821585</v>
      </c>
      <c r="Y30" s="14">
        <v>189.66635838753143</v>
      </c>
      <c r="Z30" s="14">
        <v>188.188149359368</v>
      </c>
      <c r="AA30" s="14">
        <v>196.05789742386457</v>
      </c>
      <c r="AB30" s="14">
        <v>193.29508054995688</v>
      </c>
      <c r="AC30" s="14">
        <v>190.730664887785</v>
      </c>
      <c r="AD30" s="14">
        <v>188.36045041169686</v>
      </c>
      <c r="AE30" s="14">
        <v>182.64341549489828</v>
      </c>
      <c r="AF30" s="14">
        <v>179.64959721014912</v>
      </c>
      <c r="AG30" s="14">
        <v>178.10058774957201</v>
      </c>
      <c r="AH30" s="14">
        <v>174.00706274836315</v>
      </c>
      <c r="AI30" s="15">
        <v>169.45223492974577</v>
      </c>
      <c r="AJ30" s="14">
        <v>141.45956396447187</v>
      </c>
      <c r="AK30" s="14">
        <v>144.68268364967892</v>
      </c>
      <c r="AL30" s="14">
        <v>144.41808203362478</v>
      </c>
      <c r="AM30" s="14">
        <v>151.63782612822087</v>
      </c>
      <c r="AN30" s="14">
        <v>161.88988874270669</v>
      </c>
      <c r="AO30" s="14">
        <v>174.70126698821585</v>
      </c>
      <c r="AP30" s="14">
        <v>189.66635838753143</v>
      </c>
      <c r="AQ30" s="14">
        <v>188.188149359368</v>
      </c>
      <c r="AR30" s="14">
        <v>174.00706274836315</v>
      </c>
      <c r="AS30" s="14">
        <v>169.45223492974577</v>
      </c>
    </row>
    <row r="31" spans="1:45" x14ac:dyDescent="0.35">
      <c r="A31" s="15">
        <v>713.12836800000002</v>
      </c>
      <c r="B31" s="14">
        <v>144.51998265598257</v>
      </c>
      <c r="C31" s="14">
        <v>144.00227949411016</v>
      </c>
      <c r="D31" s="14">
        <v>144.35478164701757</v>
      </c>
      <c r="E31" s="14">
        <v>151.57222572756632</v>
      </c>
      <c r="F31" s="14">
        <v>161.8155882889167</v>
      </c>
      <c r="G31" s="14">
        <v>174.61446645808161</v>
      </c>
      <c r="H31" s="14">
        <v>189.56495776822683</v>
      </c>
      <c r="I31" s="14">
        <v>188.0765486777664</v>
      </c>
      <c r="J31" s="14">
        <v>195.94089670928261</v>
      </c>
      <c r="K31" s="14">
        <v>193.18357986896595</v>
      </c>
      <c r="L31" s="14">
        <v>190.62446423916384</v>
      </c>
      <c r="M31" s="14">
        <v>188.24894973070593</v>
      </c>
      <c r="N31" s="14">
        <v>182.53791485055291</v>
      </c>
      <c r="O31" s="14">
        <v>179.53889653404465</v>
      </c>
      <c r="P31" s="14">
        <v>177.98868706613857</v>
      </c>
      <c r="Q31" s="14">
        <v>173.89146204233143</v>
      </c>
      <c r="R31" s="15">
        <v>169.34373426707796</v>
      </c>
      <c r="S31" s="14">
        <v>143.14407425262007</v>
      </c>
      <c r="T31" s="14">
        <v>144.00227949411016</v>
      </c>
      <c r="U31" s="14">
        <v>144.35478164701757</v>
      </c>
      <c r="V31" s="14">
        <v>151.57222572756632</v>
      </c>
      <c r="W31" s="14">
        <v>161.8155882889167</v>
      </c>
      <c r="X31" s="14">
        <v>174.61446645808161</v>
      </c>
      <c r="Y31" s="14">
        <v>189.56495776822683</v>
      </c>
      <c r="Z31" s="14">
        <v>188.0765486777664</v>
      </c>
      <c r="AA31" s="14">
        <v>195.94089670928261</v>
      </c>
      <c r="AB31" s="14">
        <v>193.18357986896595</v>
      </c>
      <c r="AC31" s="14">
        <v>190.62446423916384</v>
      </c>
      <c r="AD31" s="14">
        <v>188.24894973070593</v>
      </c>
      <c r="AE31" s="14">
        <v>182.53791485055291</v>
      </c>
      <c r="AF31" s="14">
        <v>179.53889653404465</v>
      </c>
      <c r="AG31" s="14">
        <v>177.98868706613857</v>
      </c>
      <c r="AH31" s="14">
        <v>173.89146204233143</v>
      </c>
      <c r="AI31" s="15">
        <v>169.34373426707796</v>
      </c>
      <c r="AJ31" s="14">
        <v>141.40256361634209</v>
      </c>
      <c r="AK31" s="14">
        <v>144.62268328322673</v>
      </c>
      <c r="AL31" s="14">
        <v>144.35478164701757</v>
      </c>
      <c r="AM31" s="14">
        <v>151.57222572756632</v>
      </c>
      <c r="AN31" s="14">
        <v>161.8155882889167</v>
      </c>
      <c r="AO31" s="14">
        <v>174.61446645808161</v>
      </c>
      <c r="AP31" s="14">
        <v>189.56495776822683</v>
      </c>
      <c r="AQ31" s="14">
        <v>188.0765486777664</v>
      </c>
      <c r="AR31" s="14">
        <v>173.89146204233143</v>
      </c>
      <c r="AS31" s="14">
        <v>169.34373426707796</v>
      </c>
    </row>
    <row r="32" spans="1:45" x14ac:dyDescent="0.35">
      <c r="A32" s="15">
        <v>735.84358800000007</v>
      </c>
      <c r="B32" s="14">
        <v>144.47628238908354</v>
      </c>
      <c r="C32" s="14">
        <v>143.95437920155902</v>
      </c>
      <c r="D32" s="14">
        <v>144.30758135874157</v>
      </c>
      <c r="E32" s="14">
        <v>151.52222542218985</v>
      </c>
      <c r="F32" s="14">
        <v>161.75658792857223</v>
      </c>
      <c r="G32" s="14">
        <v>174.54306602200344</v>
      </c>
      <c r="H32" s="14">
        <v>189.47915724420031</v>
      </c>
      <c r="I32" s="14">
        <v>187.9805480914429</v>
      </c>
      <c r="J32" s="14">
        <v>195.8397960918106</v>
      </c>
      <c r="K32" s="14">
        <v>193.08767928325307</v>
      </c>
      <c r="L32" s="14">
        <v>190.53386368582142</v>
      </c>
      <c r="M32" s="14">
        <v>188.15304914499305</v>
      </c>
      <c r="N32" s="14">
        <v>182.44801430148561</v>
      </c>
      <c r="O32" s="14">
        <v>179.4437959532182</v>
      </c>
      <c r="P32" s="14">
        <v>177.8924864785931</v>
      </c>
      <c r="Q32" s="14">
        <v>173.79156143218842</v>
      </c>
      <c r="R32" s="15">
        <v>169.25053369785562</v>
      </c>
      <c r="S32" s="14">
        <v>143.10217399671453</v>
      </c>
      <c r="T32" s="14">
        <v>143.95437920155902</v>
      </c>
      <c r="U32" s="14">
        <v>144.30758135874157</v>
      </c>
      <c r="V32" s="14">
        <v>151.52222542218985</v>
      </c>
      <c r="W32" s="14">
        <v>161.75658792857223</v>
      </c>
      <c r="X32" s="14">
        <v>174.54306602200344</v>
      </c>
      <c r="Y32" s="14">
        <v>189.47915724420031</v>
      </c>
      <c r="Z32" s="14">
        <v>187.9805480914429</v>
      </c>
      <c r="AA32" s="14">
        <v>195.8397960918106</v>
      </c>
      <c r="AB32" s="14">
        <v>193.08767928325307</v>
      </c>
      <c r="AC32" s="14">
        <v>190.53386368582142</v>
      </c>
      <c r="AD32" s="14">
        <v>188.15304914499305</v>
      </c>
      <c r="AE32" s="14">
        <v>182.44801430148561</v>
      </c>
      <c r="AF32" s="14">
        <v>179.4437959532182</v>
      </c>
      <c r="AG32" s="14">
        <v>177.8924864785931</v>
      </c>
      <c r="AH32" s="14">
        <v>173.79156143218842</v>
      </c>
      <c r="AI32" s="15">
        <v>169.25053369785562</v>
      </c>
      <c r="AJ32" s="14">
        <v>141.36106336287907</v>
      </c>
      <c r="AK32" s="14">
        <v>144.57908301693837</v>
      </c>
      <c r="AL32" s="14">
        <v>144.30758135874157</v>
      </c>
      <c r="AM32" s="14">
        <v>151.52222542218985</v>
      </c>
      <c r="AN32" s="14">
        <v>161.75658792857223</v>
      </c>
      <c r="AO32" s="14">
        <v>174.54306602200344</v>
      </c>
      <c r="AP32" s="14">
        <v>189.47915724420031</v>
      </c>
      <c r="AQ32" s="14">
        <v>187.9805480914429</v>
      </c>
      <c r="AR32" s="14">
        <v>173.79156143218842</v>
      </c>
      <c r="AS32" s="14">
        <v>169.25053369785562</v>
      </c>
    </row>
    <row r="33" spans="1:45" x14ac:dyDescent="0.35">
      <c r="A33" s="15">
        <v>758.55423600000006</v>
      </c>
      <c r="B33" s="14">
        <v>144.44898222234761</v>
      </c>
      <c r="C33" s="14">
        <v>143.92267900794974</v>
      </c>
      <c r="D33" s="14">
        <v>144.27648116879681</v>
      </c>
      <c r="E33" s="14">
        <v>151.48772521147939</v>
      </c>
      <c r="F33" s="14">
        <v>161.71298766228315</v>
      </c>
      <c r="G33" s="14">
        <v>174.48716568059203</v>
      </c>
      <c r="H33" s="14">
        <v>189.4088568148405</v>
      </c>
      <c r="I33" s="14">
        <v>187.90024760100738</v>
      </c>
      <c r="J33" s="14">
        <v>195.75449557083724</v>
      </c>
      <c r="K33" s="14">
        <v>193.00757879403952</v>
      </c>
      <c r="L33" s="14">
        <v>190.458763227145</v>
      </c>
      <c r="M33" s="14">
        <v>188.07284865516885</v>
      </c>
      <c r="N33" s="14">
        <v>182.37351384647368</v>
      </c>
      <c r="O33" s="14">
        <v>179.36419546705781</v>
      </c>
      <c r="P33" s="14">
        <v>177.81178598571506</v>
      </c>
      <c r="Q33" s="14">
        <v>173.70726091732277</v>
      </c>
      <c r="R33" s="15">
        <v>169.17273322268869</v>
      </c>
      <c r="S33" s="14">
        <v>143.07587383608632</v>
      </c>
      <c r="T33" s="14">
        <v>143.92267900794974</v>
      </c>
      <c r="U33" s="14">
        <v>144.27648116879681</v>
      </c>
      <c r="V33" s="14">
        <v>151.48772521147939</v>
      </c>
      <c r="W33" s="14">
        <v>161.71298766228315</v>
      </c>
      <c r="X33" s="14">
        <v>174.48716568059203</v>
      </c>
      <c r="Y33" s="14">
        <v>189.4088568148405</v>
      </c>
      <c r="Z33" s="14">
        <v>187.90024760100738</v>
      </c>
      <c r="AA33" s="14">
        <v>195.75449557083724</v>
      </c>
      <c r="AB33" s="14">
        <v>193.00757879403952</v>
      </c>
      <c r="AC33" s="14">
        <v>190.458763227145</v>
      </c>
      <c r="AD33" s="14">
        <v>188.07284865516885</v>
      </c>
      <c r="AE33" s="14">
        <v>182.37351384647368</v>
      </c>
      <c r="AF33" s="14">
        <v>179.36419546705781</v>
      </c>
      <c r="AG33" s="14">
        <v>177.81178598571506</v>
      </c>
      <c r="AH33" s="14">
        <v>173.70726091732277</v>
      </c>
      <c r="AI33" s="15">
        <v>169.17273322268869</v>
      </c>
      <c r="AJ33" s="14">
        <v>141.33506320408276</v>
      </c>
      <c r="AK33" s="14">
        <v>144.55178285020244</v>
      </c>
      <c r="AL33" s="14">
        <v>144.27648116879681</v>
      </c>
      <c r="AM33" s="14">
        <v>151.48772521147939</v>
      </c>
      <c r="AN33" s="14">
        <v>161.71298766228315</v>
      </c>
      <c r="AO33" s="14">
        <v>174.48716568059203</v>
      </c>
      <c r="AP33" s="14">
        <v>189.4088568148405</v>
      </c>
      <c r="AQ33" s="14">
        <v>187.90024760100738</v>
      </c>
      <c r="AR33" s="14">
        <v>173.70726091732277</v>
      </c>
      <c r="AS33" s="14">
        <v>169.17273322268869</v>
      </c>
    </row>
    <row r="34" spans="1:45" x14ac:dyDescent="0.35">
      <c r="A34" s="15">
        <v>781.26640800000007</v>
      </c>
      <c r="B34" s="14">
        <v>144.41508201530166</v>
      </c>
      <c r="C34" s="14">
        <v>143.88437877403112</v>
      </c>
      <c r="D34" s="14">
        <v>144.23878093854262</v>
      </c>
      <c r="E34" s="14">
        <v>151.44672496107023</v>
      </c>
      <c r="F34" s="14">
        <v>161.66318735812794</v>
      </c>
      <c r="G34" s="14">
        <v>174.42506530131382</v>
      </c>
      <c r="H34" s="14">
        <v>189.3324563482245</v>
      </c>
      <c r="I34" s="14">
        <v>187.81384707331637</v>
      </c>
      <c r="J34" s="14">
        <v>195.66289501138641</v>
      </c>
      <c r="K34" s="14">
        <v>192.92107826573715</v>
      </c>
      <c r="L34" s="14">
        <v>190.3772627293805</v>
      </c>
      <c r="M34" s="14">
        <v>187.98634812686652</v>
      </c>
      <c r="N34" s="14">
        <v>182.29261335237368</v>
      </c>
      <c r="O34" s="14">
        <v>179.27839494303126</v>
      </c>
      <c r="P34" s="14">
        <v>177.72488545497015</v>
      </c>
      <c r="Q34" s="14">
        <v>173.61686036520157</v>
      </c>
      <c r="R34" s="15">
        <v>169.08873270965563</v>
      </c>
      <c r="S34" s="14">
        <v>143.04327363698067</v>
      </c>
      <c r="T34" s="14">
        <v>143.88437877403112</v>
      </c>
      <c r="U34" s="14">
        <v>144.23878093854262</v>
      </c>
      <c r="V34" s="14">
        <v>151.44672496107023</v>
      </c>
      <c r="W34" s="14">
        <v>161.66318735812794</v>
      </c>
      <c r="X34" s="14">
        <v>174.42506530131382</v>
      </c>
      <c r="Y34" s="14">
        <v>189.3324563482245</v>
      </c>
      <c r="Z34" s="14">
        <v>187.81384707331637</v>
      </c>
      <c r="AA34" s="14">
        <v>195.66289501138641</v>
      </c>
      <c r="AB34" s="14">
        <v>192.92107826573715</v>
      </c>
      <c r="AC34" s="14">
        <v>190.3772627293805</v>
      </c>
      <c r="AD34" s="14">
        <v>187.98634812686652</v>
      </c>
      <c r="AE34" s="14">
        <v>182.29261335237368</v>
      </c>
      <c r="AF34" s="14">
        <v>179.27839494303126</v>
      </c>
      <c r="AG34" s="14">
        <v>177.72488545497015</v>
      </c>
      <c r="AH34" s="14">
        <v>173.61686036520157</v>
      </c>
      <c r="AI34" s="15">
        <v>169.08873270965563</v>
      </c>
      <c r="AJ34" s="14">
        <v>141.30286300742031</v>
      </c>
      <c r="AK34" s="14">
        <v>144.51778264254588</v>
      </c>
      <c r="AL34" s="14">
        <v>144.23878093854262</v>
      </c>
      <c r="AM34" s="14">
        <v>151.44672496107023</v>
      </c>
      <c r="AN34" s="14">
        <v>161.66318735812794</v>
      </c>
      <c r="AO34" s="14">
        <v>174.42506530131382</v>
      </c>
      <c r="AP34" s="14">
        <v>189.3324563482245</v>
      </c>
      <c r="AQ34" s="14">
        <v>187.81384707331637</v>
      </c>
      <c r="AR34" s="14">
        <v>173.61686036520157</v>
      </c>
      <c r="AS34" s="14">
        <v>169.08873270965563</v>
      </c>
    </row>
    <row r="35" spans="1:45" x14ac:dyDescent="0.35">
      <c r="A35" s="15">
        <v>803.9801040000001</v>
      </c>
      <c r="B35" s="14">
        <v>144.37458176794635</v>
      </c>
      <c r="C35" s="14">
        <v>143.83937849919181</v>
      </c>
      <c r="D35" s="14">
        <v>144.19448066797915</v>
      </c>
      <c r="E35" s="14">
        <v>151.39912467035171</v>
      </c>
      <c r="F35" s="14">
        <v>161.60718701610591</v>
      </c>
      <c r="G35" s="14">
        <v>174.35666488355807</v>
      </c>
      <c r="H35" s="14">
        <v>189.24965584252038</v>
      </c>
      <c r="I35" s="14">
        <v>187.72114650714718</v>
      </c>
      <c r="J35" s="14">
        <v>195.56519441468006</v>
      </c>
      <c r="K35" s="14">
        <v>192.82827769895803</v>
      </c>
      <c r="L35" s="14">
        <v>190.28926219191729</v>
      </c>
      <c r="M35" s="14">
        <v>187.89344755947607</v>
      </c>
      <c r="N35" s="14">
        <v>182.20521281857495</v>
      </c>
      <c r="O35" s="14">
        <v>179.18619437991595</v>
      </c>
      <c r="P35" s="14">
        <v>177.6315848851365</v>
      </c>
      <c r="Q35" s="14">
        <v>173.52035977582355</v>
      </c>
      <c r="R35" s="15">
        <v>168.99853215875572</v>
      </c>
      <c r="S35" s="14">
        <v>143.00427339878624</v>
      </c>
      <c r="T35" s="14">
        <v>143.83937849919181</v>
      </c>
      <c r="U35" s="14">
        <v>144.19448066797915</v>
      </c>
      <c r="V35" s="14">
        <v>151.39912467035171</v>
      </c>
      <c r="W35" s="14">
        <v>161.60718701610591</v>
      </c>
      <c r="X35" s="14">
        <v>174.35666488355807</v>
      </c>
      <c r="Y35" s="14">
        <v>189.24965584252038</v>
      </c>
      <c r="Z35" s="14">
        <v>187.72114650714718</v>
      </c>
      <c r="AA35" s="14">
        <v>195.56519441468006</v>
      </c>
      <c r="AB35" s="14">
        <v>192.82827769895803</v>
      </c>
      <c r="AC35" s="14">
        <v>190.28926219191729</v>
      </c>
      <c r="AD35" s="14">
        <v>187.89344755947607</v>
      </c>
      <c r="AE35" s="14">
        <v>182.20521281857495</v>
      </c>
      <c r="AF35" s="14">
        <v>179.18619437991595</v>
      </c>
      <c r="AG35" s="14">
        <v>177.6315848851365</v>
      </c>
      <c r="AH35" s="14">
        <v>173.52035977582355</v>
      </c>
      <c r="AI35" s="15">
        <v>168.99853215875572</v>
      </c>
      <c r="AJ35" s="14">
        <v>141.26436277227975</v>
      </c>
      <c r="AK35" s="14">
        <v>144.47728239519054</v>
      </c>
      <c r="AL35" s="14">
        <v>144.19448066797915</v>
      </c>
      <c r="AM35" s="14">
        <v>151.39912467035171</v>
      </c>
      <c r="AN35" s="14">
        <v>161.60718701610591</v>
      </c>
      <c r="AO35" s="14">
        <v>174.35666488355807</v>
      </c>
      <c r="AP35" s="14">
        <v>189.24965584252038</v>
      </c>
      <c r="AQ35" s="14">
        <v>187.72114650714718</v>
      </c>
      <c r="AR35" s="14">
        <v>173.52035977582355</v>
      </c>
      <c r="AS35" s="14">
        <v>168.99853215875572</v>
      </c>
    </row>
    <row r="36" spans="1:45" x14ac:dyDescent="0.35">
      <c r="A36" s="15">
        <v>826.69151399999998</v>
      </c>
      <c r="B36" s="14">
        <v>144.34548159021699</v>
      </c>
      <c r="C36" s="14">
        <v>143.80567829336781</v>
      </c>
      <c r="D36" s="14">
        <v>144.16148046643025</v>
      </c>
      <c r="E36" s="14">
        <v>151.36242444620456</v>
      </c>
      <c r="F36" s="14">
        <v>161.56188673943399</v>
      </c>
      <c r="G36" s="14">
        <v>174.29906453176383</v>
      </c>
      <c r="H36" s="14">
        <v>189.1777554033884</v>
      </c>
      <c r="I36" s="14">
        <v>187.63944600816143</v>
      </c>
      <c r="J36" s="14">
        <v>195.47849388515644</v>
      </c>
      <c r="K36" s="14">
        <v>192.74637719875031</v>
      </c>
      <c r="L36" s="14">
        <v>190.21206172041556</v>
      </c>
      <c r="M36" s="14">
        <v>187.81154705926903</v>
      </c>
      <c r="N36" s="14">
        <v>182.12861235073768</v>
      </c>
      <c r="O36" s="14">
        <v>179.10499388398406</v>
      </c>
      <c r="P36" s="14">
        <v>177.54928438248626</v>
      </c>
      <c r="Q36" s="14">
        <v>173.43475925301826</v>
      </c>
      <c r="R36" s="15">
        <v>168.91913167381728</v>
      </c>
      <c r="S36" s="14">
        <v>142.97627322777518</v>
      </c>
      <c r="T36" s="14">
        <v>143.80567829336781</v>
      </c>
      <c r="U36" s="14">
        <v>144.16148046643025</v>
      </c>
      <c r="V36" s="14">
        <v>151.36242444620456</v>
      </c>
      <c r="W36" s="14">
        <v>161.56188673943399</v>
      </c>
      <c r="X36" s="14">
        <v>174.29906453176383</v>
      </c>
      <c r="Y36" s="14">
        <v>189.1777554033884</v>
      </c>
      <c r="Z36" s="14">
        <v>187.63944600816143</v>
      </c>
      <c r="AA36" s="14">
        <v>195.47849388515644</v>
      </c>
      <c r="AB36" s="14">
        <v>192.74637719875031</v>
      </c>
      <c r="AC36" s="14">
        <v>190.21206172041556</v>
      </c>
      <c r="AD36" s="14">
        <v>187.81154705926903</v>
      </c>
      <c r="AE36" s="14">
        <v>182.12861235073768</v>
      </c>
      <c r="AF36" s="14">
        <v>179.10499388398406</v>
      </c>
      <c r="AG36" s="14">
        <v>177.54928438248626</v>
      </c>
      <c r="AH36" s="14">
        <v>173.43475925301826</v>
      </c>
      <c r="AI36" s="15">
        <v>168.91913167381728</v>
      </c>
      <c r="AJ36" s="14">
        <v>141.23666260310131</v>
      </c>
      <c r="AK36" s="14">
        <v>144.44818221746118</v>
      </c>
      <c r="AL36" s="14">
        <v>144.16148046643025</v>
      </c>
      <c r="AM36" s="14">
        <v>151.36242444620456</v>
      </c>
      <c r="AN36" s="14">
        <v>161.56188673943399</v>
      </c>
      <c r="AO36" s="14">
        <v>174.29906453176383</v>
      </c>
      <c r="AP36" s="14">
        <v>189.1777554033884</v>
      </c>
      <c r="AQ36" s="14">
        <v>187.63944600816143</v>
      </c>
      <c r="AR36" s="14">
        <v>173.43475925301826</v>
      </c>
      <c r="AS36" s="14">
        <v>168.91913167381728</v>
      </c>
    </row>
    <row r="37" spans="1:45" x14ac:dyDescent="0.35">
      <c r="A37" s="15">
        <v>849.40063800000007</v>
      </c>
      <c r="B37" s="14">
        <v>144.32778148211355</v>
      </c>
      <c r="C37" s="14">
        <v>143.78327815655911</v>
      </c>
      <c r="D37" s="14">
        <v>144.13988033450732</v>
      </c>
      <c r="E37" s="14">
        <v>151.33662428863022</v>
      </c>
      <c r="F37" s="14">
        <v>161.52728652811359</v>
      </c>
      <c r="G37" s="14">
        <v>174.25226424593106</v>
      </c>
      <c r="H37" s="14">
        <v>189.1167550308285</v>
      </c>
      <c r="I37" s="14">
        <v>187.56864557574778</v>
      </c>
      <c r="J37" s="14">
        <v>195.40279342281556</v>
      </c>
      <c r="K37" s="14">
        <v>192.6753767651154</v>
      </c>
      <c r="L37" s="14">
        <v>190.14566131487456</v>
      </c>
      <c r="M37" s="14">
        <v>187.74054662563344</v>
      </c>
      <c r="N37" s="14">
        <v>182.06281194886188</v>
      </c>
      <c r="O37" s="14">
        <v>179.03459345401291</v>
      </c>
      <c r="P37" s="14">
        <v>177.4777839457968</v>
      </c>
      <c r="Q37" s="14">
        <v>173.36015879739642</v>
      </c>
      <c r="R37" s="15">
        <v>168.85033125361832</v>
      </c>
      <c r="S37" s="14">
        <v>142.9592731239469</v>
      </c>
      <c r="T37" s="14">
        <v>143.78327815655911</v>
      </c>
      <c r="U37" s="14">
        <v>144.13988033450732</v>
      </c>
      <c r="V37" s="14">
        <v>151.33662428863022</v>
      </c>
      <c r="W37" s="14">
        <v>161.52728652811359</v>
      </c>
      <c r="X37" s="14">
        <v>174.25226424593106</v>
      </c>
      <c r="Y37" s="14">
        <v>189.1167550308285</v>
      </c>
      <c r="Z37" s="14">
        <v>187.56864557574778</v>
      </c>
      <c r="AA37" s="14">
        <v>195.40279342281556</v>
      </c>
      <c r="AB37" s="14">
        <v>192.6753767651154</v>
      </c>
      <c r="AC37" s="14">
        <v>190.14566131487456</v>
      </c>
      <c r="AD37" s="14">
        <v>187.74054662563344</v>
      </c>
      <c r="AE37" s="14">
        <v>182.06281194886188</v>
      </c>
      <c r="AF37" s="14">
        <v>179.03459345401291</v>
      </c>
      <c r="AG37" s="14">
        <v>177.4777839457968</v>
      </c>
      <c r="AH37" s="14">
        <v>173.36015879739642</v>
      </c>
      <c r="AI37" s="15">
        <v>168.85033125361832</v>
      </c>
      <c r="AJ37" s="14">
        <v>141.21976249988361</v>
      </c>
      <c r="AK37" s="14">
        <v>144.43048210935777</v>
      </c>
      <c r="AL37" s="14">
        <v>144.13988033450732</v>
      </c>
      <c r="AM37" s="14">
        <v>151.33662428863022</v>
      </c>
      <c r="AN37" s="14">
        <v>161.52728652811359</v>
      </c>
      <c r="AO37" s="14">
        <v>174.25226424593106</v>
      </c>
      <c r="AP37" s="14">
        <v>189.1167550308285</v>
      </c>
      <c r="AQ37" s="14">
        <v>187.56864557574778</v>
      </c>
      <c r="AR37" s="14">
        <v>173.36015879739642</v>
      </c>
      <c r="AS37" s="14">
        <v>168.85033125361832</v>
      </c>
    </row>
    <row r="38" spans="1:45" x14ac:dyDescent="0.35">
      <c r="A38" s="15">
        <v>872.10976200000005</v>
      </c>
      <c r="B38" s="14">
        <v>144.30748135813096</v>
      </c>
      <c r="C38" s="14">
        <v>143.75837800448116</v>
      </c>
      <c r="D38" s="14">
        <v>144.11548018548322</v>
      </c>
      <c r="E38" s="14">
        <v>151.30812411456535</v>
      </c>
      <c r="F38" s="14">
        <v>161.49038630274521</v>
      </c>
      <c r="G38" s="14">
        <v>174.20316394605095</v>
      </c>
      <c r="H38" s="14">
        <v>189.05345464422126</v>
      </c>
      <c r="I38" s="14">
        <v>187.49564512989741</v>
      </c>
      <c r="J38" s="14">
        <v>195.32489294703868</v>
      </c>
      <c r="K38" s="14">
        <v>192.60197631682186</v>
      </c>
      <c r="L38" s="14">
        <v>190.07676089406499</v>
      </c>
      <c r="M38" s="14">
        <v>187.66704617672923</v>
      </c>
      <c r="N38" s="14">
        <v>181.99441153110618</v>
      </c>
      <c r="O38" s="14">
        <v>178.96179300938454</v>
      </c>
      <c r="P38" s="14">
        <v>177.40388349445007</v>
      </c>
      <c r="Q38" s="14">
        <v>173.28335832833719</v>
      </c>
      <c r="R38" s="15">
        <v>168.77923081937277</v>
      </c>
      <c r="S38" s="14">
        <v>142.93977300485003</v>
      </c>
      <c r="T38" s="14">
        <v>143.75837800448116</v>
      </c>
      <c r="U38" s="14">
        <v>144.11548018548322</v>
      </c>
      <c r="V38" s="14">
        <v>151.30812411456535</v>
      </c>
      <c r="W38" s="14">
        <v>161.49038630274521</v>
      </c>
      <c r="X38" s="14">
        <v>174.20316394605095</v>
      </c>
      <c r="Y38" s="14">
        <v>189.05345464422126</v>
      </c>
      <c r="Z38" s="14">
        <v>187.49564512989741</v>
      </c>
      <c r="AA38" s="14">
        <v>195.32489294703868</v>
      </c>
      <c r="AB38" s="14">
        <v>192.60197631682186</v>
      </c>
      <c r="AC38" s="14">
        <v>190.07676089406499</v>
      </c>
      <c r="AD38" s="14">
        <v>187.66704617672923</v>
      </c>
      <c r="AE38" s="14">
        <v>181.99441153110618</v>
      </c>
      <c r="AF38" s="14">
        <v>178.96179300938454</v>
      </c>
      <c r="AG38" s="14">
        <v>177.40388349445007</v>
      </c>
      <c r="AH38" s="14">
        <v>173.28335832833719</v>
      </c>
      <c r="AI38" s="15">
        <v>168.77923081937277</v>
      </c>
      <c r="AJ38" s="14">
        <v>141.20056238261935</v>
      </c>
      <c r="AK38" s="14">
        <v>144.41028198598579</v>
      </c>
      <c r="AL38" s="14">
        <v>144.11548018548322</v>
      </c>
      <c r="AM38" s="14">
        <v>151.30812411456535</v>
      </c>
      <c r="AN38" s="14">
        <v>161.49038630274521</v>
      </c>
      <c r="AO38" s="14">
        <v>174.20316394605095</v>
      </c>
      <c r="AP38" s="14">
        <v>189.05345464422126</v>
      </c>
      <c r="AQ38" s="14">
        <v>187.49564512989741</v>
      </c>
      <c r="AR38" s="14">
        <v>173.28335832833719</v>
      </c>
      <c r="AS38" s="14">
        <v>168.77923081937277</v>
      </c>
    </row>
    <row r="39" spans="1:45" x14ac:dyDescent="0.35">
      <c r="A39" s="15">
        <v>894.81888600000013</v>
      </c>
      <c r="B39" s="14">
        <v>144.28468121887903</v>
      </c>
      <c r="C39" s="14">
        <v>143.73097783713465</v>
      </c>
      <c r="D39" s="14">
        <v>144.08858002119055</v>
      </c>
      <c r="E39" s="14">
        <v>151.27702392462126</v>
      </c>
      <c r="F39" s="14">
        <v>161.4509860621082</v>
      </c>
      <c r="G39" s="14">
        <v>174.15156363090227</v>
      </c>
      <c r="H39" s="14">
        <v>188.98765424234477</v>
      </c>
      <c r="I39" s="14">
        <v>187.42024466938915</v>
      </c>
      <c r="J39" s="14">
        <v>195.24459245660316</v>
      </c>
      <c r="K39" s="14">
        <v>192.52617585387031</v>
      </c>
      <c r="L39" s="14">
        <v>190.00526045737621</v>
      </c>
      <c r="M39" s="14">
        <v>187.59124571377842</v>
      </c>
      <c r="N39" s="14">
        <v>181.92351109808121</v>
      </c>
      <c r="O39" s="14">
        <v>178.8865925500975</v>
      </c>
      <c r="P39" s="14">
        <v>177.32758302844471</v>
      </c>
      <c r="Q39" s="14">
        <v>173.20415784462</v>
      </c>
      <c r="R39" s="15">
        <v>168.70573037046861</v>
      </c>
      <c r="S39" s="14">
        <v>142.91787287109517</v>
      </c>
      <c r="T39" s="14">
        <v>143.73097783713465</v>
      </c>
      <c r="U39" s="14">
        <v>144.08858002119055</v>
      </c>
      <c r="V39" s="14">
        <v>151.27702392462126</v>
      </c>
      <c r="W39" s="14">
        <v>161.4509860621082</v>
      </c>
      <c r="X39" s="14">
        <v>174.15156363090227</v>
      </c>
      <c r="Y39" s="14">
        <v>188.98765424234477</v>
      </c>
      <c r="Z39" s="14">
        <v>187.42024466938915</v>
      </c>
      <c r="AA39" s="14">
        <v>195.24459245660316</v>
      </c>
      <c r="AB39" s="14">
        <v>192.52617585387031</v>
      </c>
      <c r="AC39" s="14">
        <v>190.00526045737621</v>
      </c>
      <c r="AD39" s="14">
        <v>187.59124571377842</v>
      </c>
      <c r="AE39" s="14">
        <v>181.92351109808121</v>
      </c>
      <c r="AF39" s="14">
        <v>178.8865925500975</v>
      </c>
      <c r="AG39" s="14">
        <v>177.32758302844471</v>
      </c>
      <c r="AH39" s="14">
        <v>173.20415784462</v>
      </c>
      <c r="AI39" s="15">
        <v>168.70573037046861</v>
      </c>
      <c r="AJ39" s="14">
        <v>141.17886225008579</v>
      </c>
      <c r="AK39" s="14">
        <v>144.38748184673386</v>
      </c>
      <c r="AL39" s="14">
        <v>144.08858002119055</v>
      </c>
      <c r="AM39" s="14">
        <v>151.27702392462126</v>
      </c>
      <c r="AN39" s="14">
        <v>161.4509860621082</v>
      </c>
      <c r="AO39" s="14">
        <v>174.15156363090227</v>
      </c>
      <c r="AP39" s="14">
        <v>188.98765424234477</v>
      </c>
      <c r="AQ39" s="14">
        <v>187.42024466938915</v>
      </c>
      <c r="AR39" s="14">
        <v>173.20415784462</v>
      </c>
      <c r="AS39" s="14">
        <v>168.70573037046861</v>
      </c>
    </row>
    <row r="40" spans="1:45" x14ac:dyDescent="0.35">
      <c r="A40" s="15">
        <v>925.22344800000008</v>
      </c>
      <c r="B40" s="14">
        <v>144.26928112482292</v>
      </c>
      <c r="C40" s="14">
        <v>143.70927770460108</v>
      </c>
      <c r="D40" s="14">
        <v>144.06757989293209</v>
      </c>
      <c r="E40" s="14">
        <v>151.24962375727469</v>
      </c>
      <c r="F40" s="14">
        <v>161.41248582696764</v>
      </c>
      <c r="G40" s="14">
        <v>174.09686329681983</v>
      </c>
      <c r="H40" s="14">
        <v>188.91405379282995</v>
      </c>
      <c r="I40" s="14">
        <v>187.33394414230807</v>
      </c>
      <c r="J40" s="14">
        <v>195.15179188982339</v>
      </c>
      <c r="K40" s="14">
        <v>192.43917532251481</v>
      </c>
      <c r="L40" s="14">
        <v>189.92385996022236</v>
      </c>
      <c r="M40" s="14">
        <v>187.50414518181157</v>
      </c>
      <c r="N40" s="14">
        <v>181.84291060581378</v>
      </c>
      <c r="O40" s="14">
        <v>178.80039202362775</v>
      </c>
      <c r="P40" s="14">
        <v>177.23978249220275</v>
      </c>
      <c r="Q40" s="14">
        <v>173.11275728639114</v>
      </c>
      <c r="R40" s="15">
        <v>168.62152985621356</v>
      </c>
      <c r="S40" s="14">
        <v>142.90307278070358</v>
      </c>
      <c r="T40" s="14">
        <v>143.70927770460108</v>
      </c>
      <c r="U40" s="14">
        <v>144.06757989293209</v>
      </c>
      <c r="V40" s="14">
        <v>151.24962375727469</v>
      </c>
      <c r="W40" s="14">
        <v>161.41248582696764</v>
      </c>
      <c r="X40" s="14">
        <v>174.09686329681983</v>
      </c>
      <c r="Y40" s="14">
        <v>188.91405379282995</v>
      </c>
      <c r="Z40" s="14">
        <v>187.33394414230807</v>
      </c>
      <c r="AA40" s="14">
        <v>195.15179188982339</v>
      </c>
      <c r="AB40" s="14">
        <v>192.43917532251481</v>
      </c>
      <c r="AC40" s="14">
        <v>189.92385996022236</v>
      </c>
      <c r="AD40" s="14">
        <v>187.50414518181157</v>
      </c>
      <c r="AE40" s="14">
        <v>181.84291060581378</v>
      </c>
      <c r="AF40" s="14">
        <v>178.80039202362775</v>
      </c>
      <c r="AG40" s="14">
        <v>177.23978249220275</v>
      </c>
      <c r="AH40" s="14">
        <v>173.11275728639114</v>
      </c>
      <c r="AI40" s="15">
        <v>168.62152985621356</v>
      </c>
      <c r="AJ40" s="14">
        <v>141.16426216091546</v>
      </c>
      <c r="AK40" s="14">
        <v>144.37208175267776</v>
      </c>
      <c r="AL40" s="14">
        <v>144.06757989293209</v>
      </c>
      <c r="AM40" s="14">
        <v>151.24962375727469</v>
      </c>
      <c r="AN40" s="14">
        <v>161.41248582696764</v>
      </c>
      <c r="AO40" s="14">
        <v>174.09686329681983</v>
      </c>
      <c r="AP40" s="14">
        <v>188.91405379282995</v>
      </c>
      <c r="AQ40" s="14">
        <v>187.33394414230807</v>
      </c>
      <c r="AR40" s="14">
        <v>173.11275728639114</v>
      </c>
      <c r="AS40" s="14">
        <v>168.62152985621356</v>
      </c>
    </row>
    <row r="41" spans="1:45" x14ac:dyDescent="0.35">
      <c r="A41" s="15">
        <v>963.3234480000001</v>
      </c>
      <c r="B41" s="14">
        <v>144.26128107596267</v>
      </c>
      <c r="C41" s="14">
        <v>143.6930776056592</v>
      </c>
      <c r="D41" s="14">
        <v>144.05257980131924</v>
      </c>
      <c r="E41" s="14">
        <v>151.22602361313636</v>
      </c>
      <c r="F41" s="14">
        <v>161.37498559793545</v>
      </c>
      <c r="G41" s="14">
        <v>174.03896294319298</v>
      </c>
      <c r="H41" s="14">
        <v>188.83255329506548</v>
      </c>
      <c r="I41" s="14">
        <v>187.23684354926618</v>
      </c>
      <c r="J41" s="14">
        <v>195.04669124792122</v>
      </c>
      <c r="K41" s="14">
        <v>192.34097472275391</v>
      </c>
      <c r="L41" s="14">
        <v>189.83245940199348</v>
      </c>
      <c r="M41" s="14">
        <v>187.40584458144076</v>
      </c>
      <c r="N41" s="14">
        <v>181.75231005247065</v>
      </c>
      <c r="O41" s="14">
        <v>178.70309142936395</v>
      </c>
      <c r="P41" s="14">
        <v>177.14058188633484</v>
      </c>
      <c r="Q41" s="14">
        <v>173.00925665426118</v>
      </c>
      <c r="R41" s="15">
        <v>168.52662927660839</v>
      </c>
      <c r="S41" s="14">
        <v>142.89537273367517</v>
      </c>
      <c r="T41" s="14">
        <v>143.6930776056592</v>
      </c>
      <c r="U41" s="14">
        <v>144.05257980131924</v>
      </c>
      <c r="V41" s="14">
        <v>151.22602361313636</v>
      </c>
      <c r="W41" s="14">
        <v>161.37498559793545</v>
      </c>
      <c r="X41" s="14">
        <v>174.03896294319298</v>
      </c>
      <c r="Y41" s="14">
        <v>188.83255329506548</v>
      </c>
      <c r="Z41" s="14">
        <v>187.23684354926618</v>
      </c>
      <c r="AA41" s="14">
        <v>195.04669124792122</v>
      </c>
      <c r="AB41" s="14">
        <v>192.34097472275391</v>
      </c>
      <c r="AC41" s="14">
        <v>189.83245940199348</v>
      </c>
      <c r="AD41" s="14">
        <v>187.40584458144076</v>
      </c>
      <c r="AE41" s="14">
        <v>181.75231005247065</v>
      </c>
      <c r="AF41" s="14">
        <v>178.70309142936395</v>
      </c>
      <c r="AG41" s="14">
        <v>177.14058188633484</v>
      </c>
      <c r="AH41" s="14">
        <v>173.00925665426118</v>
      </c>
      <c r="AI41" s="15">
        <v>168.52662927660839</v>
      </c>
      <c r="AJ41" s="14">
        <v>141.15666211449837</v>
      </c>
      <c r="AK41" s="14">
        <v>144.36408170381745</v>
      </c>
      <c r="AL41" s="14">
        <v>144.05257980131924</v>
      </c>
      <c r="AM41" s="14">
        <v>151.22602361313636</v>
      </c>
      <c r="AN41" s="14">
        <v>161.37498559793545</v>
      </c>
      <c r="AO41" s="14">
        <v>174.03896294319298</v>
      </c>
      <c r="AP41" s="14">
        <v>188.83255329506548</v>
      </c>
      <c r="AQ41" s="14">
        <v>187.23684354926618</v>
      </c>
      <c r="AR41" s="14">
        <v>173.00925665426118</v>
      </c>
      <c r="AS41" s="14">
        <v>168.52662927660839</v>
      </c>
    </row>
    <row r="42" spans="1:45" x14ac:dyDescent="0.35">
      <c r="A42" s="15">
        <v>1001.4234480000001</v>
      </c>
      <c r="B42" s="14">
        <v>144.2671811119969</v>
      </c>
      <c r="C42" s="14">
        <v>143.69077759161192</v>
      </c>
      <c r="D42" s="14">
        <v>144.05137979399026</v>
      </c>
      <c r="E42" s="14">
        <v>151.21542354839687</v>
      </c>
      <c r="F42" s="14">
        <v>161.35058544891135</v>
      </c>
      <c r="G42" s="14">
        <v>173.99426267018626</v>
      </c>
      <c r="H42" s="14">
        <v>188.76435287853172</v>
      </c>
      <c r="I42" s="14">
        <v>187.15314303806571</v>
      </c>
      <c r="J42" s="14">
        <v>194.95509068847105</v>
      </c>
      <c r="K42" s="14">
        <v>192.25607420422446</v>
      </c>
      <c r="L42" s="14">
        <v>189.75405892316277</v>
      </c>
      <c r="M42" s="14">
        <v>187.32074406168863</v>
      </c>
      <c r="N42" s="14">
        <v>181.67470957852566</v>
      </c>
      <c r="O42" s="14">
        <v>178.61909091633089</v>
      </c>
      <c r="P42" s="14">
        <v>177.05458136108703</v>
      </c>
      <c r="Q42" s="14">
        <v>172.91925610458256</v>
      </c>
      <c r="R42" s="15">
        <v>168.44482877701131</v>
      </c>
      <c r="S42" s="14">
        <v>142.90097276787753</v>
      </c>
      <c r="T42" s="14">
        <v>143.69077759161192</v>
      </c>
      <c r="U42" s="14">
        <v>144.05137979399026</v>
      </c>
      <c r="V42" s="14">
        <v>151.21542354839687</v>
      </c>
      <c r="W42" s="14">
        <v>161.35058544891135</v>
      </c>
      <c r="X42" s="14">
        <v>173.99426267018626</v>
      </c>
      <c r="Y42" s="14">
        <v>188.76435287853172</v>
      </c>
      <c r="Z42" s="14">
        <v>187.15314303806571</v>
      </c>
      <c r="AA42" s="14">
        <v>194.95509068847105</v>
      </c>
      <c r="AB42" s="14">
        <v>192.25607420422446</v>
      </c>
      <c r="AC42" s="14">
        <v>189.75405892316277</v>
      </c>
      <c r="AD42" s="14">
        <v>187.32074406168863</v>
      </c>
      <c r="AE42" s="14">
        <v>181.67470957852566</v>
      </c>
      <c r="AF42" s="14">
        <v>178.61909091633089</v>
      </c>
      <c r="AG42" s="14">
        <v>177.05458136108703</v>
      </c>
      <c r="AH42" s="14">
        <v>172.91925610458256</v>
      </c>
      <c r="AI42" s="15">
        <v>168.44482877701131</v>
      </c>
      <c r="AJ42" s="14">
        <v>141.16216214808941</v>
      </c>
      <c r="AK42" s="14">
        <v>144.36988173924109</v>
      </c>
      <c r="AL42" s="14">
        <v>144.05137979399026</v>
      </c>
      <c r="AM42" s="14">
        <v>151.21542354839687</v>
      </c>
      <c r="AN42" s="14">
        <v>161.35058544891135</v>
      </c>
      <c r="AO42" s="14">
        <v>173.99426267018626</v>
      </c>
      <c r="AP42" s="14">
        <v>188.76435287853172</v>
      </c>
      <c r="AQ42" s="14">
        <v>187.15314303806571</v>
      </c>
      <c r="AR42" s="14">
        <v>172.91925610458256</v>
      </c>
      <c r="AS42" s="14">
        <v>168.44482877701131</v>
      </c>
    </row>
    <row r="43" spans="1:45" x14ac:dyDescent="0.35">
      <c r="A43" s="15">
        <v>1039.5234480000001</v>
      </c>
      <c r="B43" s="14">
        <v>144.28688123231572</v>
      </c>
      <c r="C43" s="14">
        <v>143.70547768139218</v>
      </c>
      <c r="D43" s="14">
        <v>144.06437987338839</v>
      </c>
      <c r="E43" s="14">
        <v>151.21792356366547</v>
      </c>
      <c r="F43" s="14">
        <v>161.33978538294988</v>
      </c>
      <c r="G43" s="14">
        <v>173.9626624771883</v>
      </c>
      <c r="H43" s="14">
        <v>188.70935254261667</v>
      </c>
      <c r="I43" s="14">
        <v>187.08304260992719</v>
      </c>
      <c r="J43" s="14">
        <v>194.87709021208286</v>
      </c>
      <c r="K43" s="14">
        <v>192.18447376692438</v>
      </c>
      <c r="L43" s="14">
        <v>189.68855852311887</v>
      </c>
      <c r="M43" s="14">
        <v>187.24894362316726</v>
      </c>
      <c r="N43" s="14">
        <v>181.61000918336822</v>
      </c>
      <c r="O43" s="14">
        <v>178.5481904833066</v>
      </c>
      <c r="P43" s="14">
        <v>176.98188091706859</v>
      </c>
      <c r="Q43" s="14">
        <v>172.84265563674458</v>
      </c>
      <c r="R43" s="15">
        <v>168.37602835681307</v>
      </c>
      <c r="S43" s="14">
        <v>142.91997288392125</v>
      </c>
      <c r="T43" s="14">
        <v>143.70547768139218</v>
      </c>
      <c r="U43" s="14">
        <v>144.06437987338839</v>
      </c>
      <c r="V43" s="14">
        <v>151.21792356366547</v>
      </c>
      <c r="W43" s="14">
        <v>161.33978538294988</v>
      </c>
      <c r="X43" s="14">
        <v>173.9626624771883</v>
      </c>
      <c r="Y43" s="14">
        <v>188.70935254261667</v>
      </c>
      <c r="Z43" s="14">
        <v>187.08304260992719</v>
      </c>
      <c r="AA43" s="14">
        <v>194.87709021208286</v>
      </c>
      <c r="AB43" s="14">
        <v>192.18447376692438</v>
      </c>
      <c r="AC43" s="14">
        <v>189.68855852311887</v>
      </c>
      <c r="AD43" s="14">
        <v>187.24894362316726</v>
      </c>
      <c r="AE43" s="14">
        <v>181.61000918336822</v>
      </c>
      <c r="AF43" s="14">
        <v>178.5481904833066</v>
      </c>
      <c r="AG43" s="14">
        <v>176.98188091706859</v>
      </c>
      <c r="AH43" s="14">
        <v>172.84265563674458</v>
      </c>
      <c r="AI43" s="15">
        <v>168.37602835681307</v>
      </c>
      <c r="AJ43" s="14">
        <v>141.18096226291115</v>
      </c>
      <c r="AK43" s="14">
        <v>144.38958185955991</v>
      </c>
      <c r="AL43" s="14">
        <v>144.06437987338839</v>
      </c>
      <c r="AM43" s="14">
        <v>151.21792356366547</v>
      </c>
      <c r="AN43" s="14">
        <v>161.33978538294988</v>
      </c>
      <c r="AO43" s="14">
        <v>173.9626624771883</v>
      </c>
      <c r="AP43" s="14">
        <v>188.70935254261667</v>
      </c>
      <c r="AQ43" s="14">
        <v>187.08304260992719</v>
      </c>
      <c r="AR43" s="14">
        <v>172.84265563674458</v>
      </c>
      <c r="AS43" s="14">
        <v>168.37602835681307</v>
      </c>
    </row>
    <row r="44" spans="1:45" x14ac:dyDescent="0.35">
      <c r="A44" s="15">
        <v>1077.6234480000001</v>
      </c>
      <c r="B44" s="14">
        <v>144.31688141554147</v>
      </c>
      <c r="C44" s="14">
        <v>143.73057783469139</v>
      </c>
      <c r="D44" s="14">
        <v>144.08798001752606</v>
      </c>
      <c r="E44" s="14">
        <v>151.23032363939913</v>
      </c>
      <c r="F44" s="14">
        <v>161.33878537684217</v>
      </c>
      <c r="G44" s="14">
        <v>173.94076234343282</v>
      </c>
      <c r="H44" s="14">
        <v>188.66425226716672</v>
      </c>
      <c r="I44" s="14">
        <v>187.02314224408562</v>
      </c>
      <c r="J44" s="14">
        <v>194.8093897986023</v>
      </c>
      <c r="K44" s="14">
        <v>192.12277339008932</v>
      </c>
      <c r="L44" s="14">
        <v>189.63285818292871</v>
      </c>
      <c r="M44" s="14">
        <v>187.18714324572159</v>
      </c>
      <c r="N44" s="14">
        <v>181.55490884684255</v>
      </c>
      <c r="O44" s="14">
        <v>178.48729011135731</v>
      </c>
      <c r="P44" s="14">
        <v>176.91898053290458</v>
      </c>
      <c r="Q44" s="14">
        <v>172.77625523120429</v>
      </c>
      <c r="R44" s="15">
        <v>168.31702799646789</v>
      </c>
      <c r="S44" s="14">
        <v>142.94887306042867</v>
      </c>
      <c r="T44" s="14">
        <v>143.73057783469139</v>
      </c>
      <c r="U44" s="14">
        <v>144.08798001752606</v>
      </c>
      <c r="V44" s="14">
        <v>151.23032363939913</v>
      </c>
      <c r="W44" s="14">
        <v>161.33878537684217</v>
      </c>
      <c r="X44" s="14">
        <v>173.94076234343282</v>
      </c>
      <c r="Y44" s="14">
        <v>188.66425226716672</v>
      </c>
      <c r="Z44" s="14">
        <v>187.02314224408562</v>
      </c>
      <c r="AA44" s="14">
        <v>194.8093897986023</v>
      </c>
      <c r="AB44" s="14">
        <v>192.12277339008932</v>
      </c>
      <c r="AC44" s="14">
        <v>189.63285818292871</v>
      </c>
      <c r="AD44" s="14">
        <v>187.18714324572159</v>
      </c>
      <c r="AE44" s="14">
        <v>181.55490884684255</v>
      </c>
      <c r="AF44" s="14">
        <v>178.48729011135731</v>
      </c>
      <c r="AG44" s="14">
        <v>176.91898053290458</v>
      </c>
      <c r="AH44" s="14">
        <v>172.77625523120429</v>
      </c>
      <c r="AI44" s="15">
        <v>168.31702799646789</v>
      </c>
      <c r="AJ44" s="14">
        <v>141.20946243697603</v>
      </c>
      <c r="AK44" s="14">
        <v>144.41968204339628</v>
      </c>
      <c r="AL44" s="14">
        <v>144.08798001752606</v>
      </c>
      <c r="AM44" s="14">
        <v>151.23032363939913</v>
      </c>
      <c r="AN44" s="14">
        <v>161.33878537684217</v>
      </c>
      <c r="AO44" s="14">
        <v>173.94076234343282</v>
      </c>
      <c r="AP44" s="14">
        <v>188.66425226716672</v>
      </c>
      <c r="AQ44" s="14">
        <v>187.02314224408562</v>
      </c>
      <c r="AR44" s="14">
        <v>172.77625523120429</v>
      </c>
      <c r="AS44" s="14">
        <v>168.31702799646789</v>
      </c>
    </row>
    <row r="45" spans="1:45" x14ac:dyDescent="0.35">
      <c r="A45" s="15">
        <v>1115.7234480000002</v>
      </c>
      <c r="B45" s="14">
        <v>144.35728166228617</v>
      </c>
      <c r="C45" s="14">
        <v>143.76607805150957</v>
      </c>
      <c r="D45" s="14">
        <v>144.1220802257933</v>
      </c>
      <c r="E45" s="14">
        <v>151.25242377437587</v>
      </c>
      <c r="F45" s="14">
        <v>161.34758543058891</v>
      </c>
      <c r="G45" s="14">
        <v>173.92876227014236</v>
      </c>
      <c r="H45" s="14">
        <v>188.62905205218183</v>
      </c>
      <c r="I45" s="14">
        <v>186.97324193931908</v>
      </c>
      <c r="J45" s="14">
        <v>194.75178944680803</v>
      </c>
      <c r="K45" s="14">
        <v>192.0709730737187</v>
      </c>
      <c r="L45" s="14">
        <v>189.58675790137102</v>
      </c>
      <c r="M45" s="14">
        <v>187.13514292812971</v>
      </c>
      <c r="N45" s="14">
        <v>181.50940856895005</v>
      </c>
      <c r="O45" s="14">
        <v>178.43628979987309</v>
      </c>
      <c r="P45" s="14">
        <v>176.86598020920496</v>
      </c>
      <c r="Q45" s="14">
        <v>172.71995488734967</v>
      </c>
      <c r="R45" s="15">
        <v>168.26772769536655</v>
      </c>
      <c r="S45" s="14">
        <v>142.9877732980118</v>
      </c>
      <c r="T45" s="14">
        <v>143.76607805150957</v>
      </c>
      <c r="U45" s="14">
        <v>144.1220802257933</v>
      </c>
      <c r="V45" s="14">
        <v>151.25242377437587</v>
      </c>
      <c r="W45" s="14">
        <v>161.34758543058891</v>
      </c>
      <c r="X45" s="14">
        <v>173.92876227014236</v>
      </c>
      <c r="Y45" s="14">
        <v>188.62905205218183</v>
      </c>
      <c r="Z45" s="14">
        <v>186.97324193931908</v>
      </c>
      <c r="AA45" s="14">
        <v>194.75178944680803</v>
      </c>
      <c r="AB45" s="14">
        <v>192.0709730737187</v>
      </c>
      <c r="AC45" s="14">
        <v>189.58675790137102</v>
      </c>
      <c r="AD45" s="14">
        <v>187.13514292812971</v>
      </c>
      <c r="AE45" s="14">
        <v>181.50940856895005</v>
      </c>
      <c r="AF45" s="14">
        <v>178.43628979987309</v>
      </c>
      <c r="AG45" s="14">
        <v>176.86598020920496</v>
      </c>
      <c r="AH45" s="14">
        <v>172.71995488734967</v>
      </c>
      <c r="AI45" s="15">
        <v>168.26772769536655</v>
      </c>
      <c r="AJ45" s="14">
        <v>141.24786267150532</v>
      </c>
      <c r="AK45" s="14">
        <v>144.46008229014097</v>
      </c>
      <c r="AL45" s="14">
        <v>144.1220802257933</v>
      </c>
      <c r="AM45" s="14">
        <v>151.25242377437587</v>
      </c>
      <c r="AN45" s="14">
        <v>161.34758543058891</v>
      </c>
      <c r="AO45" s="14">
        <v>173.92876227014236</v>
      </c>
      <c r="AP45" s="14">
        <v>188.62905205218183</v>
      </c>
      <c r="AQ45" s="14">
        <v>186.97324193931908</v>
      </c>
      <c r="AR45" s="14">
        <v>172.71995488734967</v>
      </c>
      <c r="AS45" s="14">
        <v>168.26772769536655</v>
      </c>
    </row>
    <row r="46" spans="1:45" x14ac:dyDescent="0.35">
      <c r="A46" s="15">
        <v>1153.8234480000001</v>
      </c>
      <c r="B46" s="14">
        <v>144.4315821160761</v>
      </c>
      <c r="C46" s="14">
        <v>143.8329784601037</v>
      </c>
      <c r="D46" s="14">
        <v>144.19028064232705</v>
      </c>
      <c r="E46" s="14">
        <v>151.3076241115115</v>
      </c>
      <c r="F46" s="14">
        <v>161.38878568221935</v>
      </c>
      <c r="G46" s="14">
        <v>173.9488623929044</v>
      </c>
      <c r="H46" s="14">
        <v>188.62625203508065</v>
      </c>
      <c r="I46" s="14">
        <v>186.95614183488016</v>
      </c>
      <c r="J46" s="14">
        <v>194.72698929534138</v>
      </c>
      <c r="K46" s="14">
        <v>192.0517729564537</v>
      </c>
      <c r="L46" s="14">
        <v>189.57295781708714</v>
      </c>
      <c r="M46" s="14">
        <v>187.11574280964345</v>
      </c>
      <c r="N46" s="14">
        <v>181.49620848832996</v>
      </c>
      <c r="O46" s="14">
        <v>178.41768968627261</v>
      </c>
      <c r="P46" s="14">
        <v>176.8454800840004</v>
      </c>
      <c r="Q46" s="14">
        <v>172.69625474260138</v>
      </c>
      <c r="R46" s="15">
        <v>168.25032758909569</v>
      </c>
      <c r="S46" s="14">
        <v>143.05927373470124</v>
      </c>
      <c r="T46" s="14">
        <v>143.8329784601037</v>
      </c>
      <c r="U46" s="14">
        <v>144.19028064232705</v>
      </c>
      <c r="V46" s="14">
        <v>151.3076241115115</v>
      </c>
      <c r="W46" s="14">
        <v>161.38878568221935</v>
      </c>
      <c r="X46" s="14">
        <v>173.9488623929044</v>
      </c>
      <c r="Y46" s="14">
        <v>188.62625203508065</v>
      </c>
      <c r="Z46" s="14">
        <v>186.95614183488016</v>
      </c>
      <c r="AA46" s="14">
        <v>194.72698929534138</v>
      </c>
      <c r="AB46" s="14">
        <v>192.0517729564537</v>
      </c>
      <c r="AC46" s="14">
        <v>189.57295781708714</v>
      </c>
      <c r="AD46" s="14">
        <v>187.11574280964345</v>
      </c>
      <c r="AE46" s="14">
        <v>181.49620848832996</v>
      </c>
      <c r="AF46" s="14">
        <v>178.41768968627261</v>
      </c>
      <c r="AG46" s="14">
        <v>176.8454800840004</v>
      </c>
      <c r="AH46" s="14">
        <v>172.69625474260138</v>
      </c>
      <c r="AI46" s="15">
        <v>168.25032758909569</v>
      </c>
      <c r="AJ46" s="14">
        <v>141.31856310330832</v>
      </c>
      <c r="AK46" s="14">
        <v>144.53438274393093</v>
      </c>
      <c r="AL46" s="14">
        <v>144.19028064232705</v>
      </c>
      <c r="AM46" s="14">
        <v>151.3076241115115</v>
      </c>
      <c r="AN46" s="14">
        <v>161.38878568221935</v>
      </c>
      <c r="AO46" s="14">
        <v>173.9488623929044</v>
      </c>
      <c r="AP46" s="14">
        <v>188.62625203508065</v>
      </c>
      <c r="AQ46" s="14">
        <v>186.95614183488016</v>
      </c>
      <c r="AR46" s="14">
        <v>172.69625474260138</v>
      </c>
      <c r="AS46" s="14">
        <v>168.25032758909569</v>
      </c>
    </row>
    <row r="47" spans="1:45" x14ac:dyDescent="0.35">
      <c r="A47" s="15">
        <v>1191.9234480000002</v>
      </c>
      <c r="B47" s="14">
        <v>144.53988277752265</v>
      </c>
      <c r="C47" s="14">
        <v>143.93347907391123</v>
      </c>
      <c r="D47" s="14">
        <v>144.2925812671287</v>
      </c>
      <c r="E47" s="14">
        <v>151.39572464958601</v>
      </c>
      <c r="F47" s="14">
        <v>161.46238613173418</v>
      </c>
      <c r="G47" s="14">
        <v>174.00116271232824</v>
      </c>
      <c r="H47" s="14">
        <v>188.65575221525259</v>
      </c>
      <c r="I47" s="14">
        <v>186.97184193076885</v>
      </c>
      <c r="J47" s="14">
        <v>194.73508934481231</v>
      </c>
      <c r="K47" s="14">
        <v>192.06517303829509</v>
      </c>
      <c r="L47" s="14">
        <v>189.59145793007698</v>
      </c>
      <c r="M47" s="14">
        <v>187.12894289026289</v>
      </c>
      <c r="N47" s="14">
        <v>181.51520860437367</v>
      </c>
      <c r="O47" s="14">
        <v>178.43148977055654</v>
      </c>
      <c r="P47" s="14">
        <v>176.85728015606958</v>
      </c>
      <c r="Q47" s="14">
        <v>172.70505479634741</v>
      </c>
      <c r="R47" s="15">
        <v>168.26492767826537</v>
      </c>
      <c r="S47" s="14">
        <v>143.16337437049569</v>
      </c>
      <c r="T47" s="14">
        <v>143.93347907391123</v>
      </c>
      <c r="U47" s="14">
        <v>144.2925812671287</v>
      </c>
      <c r="V47" s="14">
        <v>151.39572464958601</v>
      </c>
      <c r="W47" s="14">
        <v>161.46238613173418</v>
      </c>
      <c r="X47" s="14">
        <v>174.00116271232824</v>
      </c>
      <c r="Y47" s="14">
        <v>188.65575221525259</v>
      </c>
      <c r="Z47" s="14">
        <v>186.97184193076885</v>
      </c>
      <c r="AA47" s="14">
        <v>194.73508934481231</v>
      </c>
      <c r="AB47" s="14">
        <v>192.06517303829509</v>
      </c>
      <c r="AC47" s="14">
        <v>189.59145793007698</v>
      </c>
      <c r="AD47" s="14">
        <v>187.12894289026289</v>
      </c>
      <c r="AE47" s="14">
        <v>181.51520860437367</v>
      </c>
      <c r="AF47" s="14">
        <v>178.43148977055654</v>
      </c>
      <c r="AG47" s="14">
        <v>176.85728015606958</v>
      </c>
      <c r="AH47" s="14">
        <v>172.70505479634741</v>
      </c>
      <c r="AI47" s="15">
        <v>168.26492767826537</v>
      </c>
      <c r="AJ47" s="14">
        <v>141.4215637323851</v>
      </c>
      <c r="AK47" s="14">
        <v>144.64258340476687</v>
      </c>
      <c r="AL47" s="14">
        <v>144.2925812671287</v>
      </c>
      <c r="AM47" s="14">
        <v>151.39572464958601</v>
      </c>
      <c r="AN47" s="14">
        <v>161.46238613173418</v>
      </c>
      <c r="AO47" s="14">
        <v>174.00116271232824</v>
      </c>
      <c r="AP47" s="14">
        <v>188.65575221525259</v>
      </c>
      <c r="AQ47" s="14">
        <v>186.97184193076885</v>
      </c>
      <c r="AR47" s="14">
        <v>172.70505479634741</v>
      </c>
      <c r="AS47" s="14">
        <v>168.26492767826537</v>
      </c>
    </row>
    <row r="48" spans="1:45" x14ac:dyDescent="0.35">
      <c r="A48" s="15">
        <v>1222.3272480000001</v>
      </c>
      <c r="B48" s="14">
        <v>144.58708306579865</v>
      </c>
      <c r="C48" s="14">
        <v>143.97447932432041</v>
      </c>
      <c r="D48" s="14">
        <v>144.33508152669876</v>
      </c>
      <c r="E48" s="14">
        <v>151.42692484014145</v>
      </c>
      <c r="F48" s="14">
        <v>161.48368626182452</v>
      </c>
      <c r="G48" s="14">
        <v>174.00576274042285</v>
      </c>
      <c r="H48" s="14">
        <v>188.64195213096869</v>
      </c>
      <c r="I48" s="14">
        <v>186.94684177808026</v>
      </c>
      <c r="J48" s="14">
        <v>194.70398915486822</v>
      </c>
      <c r="K48" s="14">
        <v>192.0381728733918</v>
      </c>
      <c r="L48" s="14">
        <v>189.56845778960312</v>
      </c>
      <c r="M48" s="14">
        <v>187.10174272413761</v>
      </c>
      <c r="N48" s="14">
        <v>181.49260846634303</v>
      </c>
      <c r="O48" s="14">
        <v>178.40508960931768</v>
      </c>
      <c r="P48" s="14">
        <v>176.8291799844479</v>
      </c>
      <c r="Q48" s="14">
        <v>172.67495461251033</v>
      </c>
      <c r="R48" s="15">
        <v>168.23962752374487</v>
      </c>
      <c r="S48" s="14">
        <v>143.20877464777823</v>
      </c>
      <c r="T48" s="14">
        <v>143.97447932432041</v>
      </c>
      <c r="U48" s="14">
        <v>144.33508152669876</v>
      </c>
      <c r="V48" s="14">
        <v>151.42692484014145</v>
      </c>
      <c r="W48" s="14">
        <v>161.48368626182452</v>
      </c>
      <c r="X48" s="14">
        <v>174.00576274042285</v>
      </c>
      <c r="Y48" s="14">
        <v>188.64195213096869</v>
      </c>
      <c r="Z48" s="14">
        <v>186.94684177808026</v>
      </c>
      <c r="AA48" s="14">
        <v>194.70398915486822</v>
      </c>
      <c r="AB48" s="14">
        <v>192.0381728733918</v>
      </c>
      <c r="AC48" s="14">
        <v>189.56845778960312</v>
      </c>
      <c r="AD48" s="14">
        <v>187.10174272413761</v>
      </c>
      <c r="AE48" s="14">
        <v>181.49260846634303</v>
      </c>
      <c r="AF48" s="14">
        <v>178.40508960931768</v>
      </c>
      <c r="AG48" s="14">
        <v>176.8291799844479</v>
      </c>
      <c r="AH48" s="14">
        <v>172.67495461251033</v>
      </c>
      <c r="AI48" s="15">
        <v>168.23962752374487</v>
      </c>
      <c r="AJ48" s="14">
        <v>141.46646400661382</v>
      </c>
      <c r="AK48" s="14">
        <v>144.68978369304284</v>
      </c>
      <c r="AL48" s="14">
        <v>144.33508152669876</v>
      </c>
      <c r="AM48" s="14">
        <v>151.42692484014145</v>
      </c>
      <c r="AN48" s="14">
        <v>161.48368626182452</v>
      </c>
      <c r="AO48" s="14">
        <v>174.00576274042285</v>
      </c>
      <c r="AP48" s="14">
        <v>188.64195213096869</v>
      </c>
      <c r="AQ48" s="14">
        <v>186.94684177808026</v>
      </c>
      <c r="AR48" s="14">
        <v>172.67495461251033</v>
      </c>
      <c r="AS48" s="14">
        <v>168.23962752374487</v>
      </c>
    </row>
    <row r="49" spans="1:45" x14ac:dyDescent="0.35">
      <c r="A49" s="15">
        <v>1245.0348480000002</v>
      </c>
      <c r="B49" s="14">
        <v>144.57318298090343</v>
      </c>
      <c r="C49" s="14">
        <v>143.95607921194184</v>
      </c>
      <c r="D49" s="14">
        <v>144.31698141615212</v>
      </c>
      <c r="E49" s="14">
        <v>151.40202468806351</v>
      </c>
      <c r="F49" s="14">
        <v>161.45188606760462</v>
      </c>
      <c r="G49" s="14">
        <v>173.96246247596636</v>
      </c>
      <c r="H49" s="14">
        <v>188.58465178100701</v>
      </c>
      <c r="I49" s="14">
        <v>186.88134137803635</v>
      </c>
      <c r="J49" s="14">
        <v>194.63358872489709</v>
      </c>
      <c r="K49" s="14">
        <v>191.97077246174308</v>
      </c>
      <c r="L49" s="14">
        <v>189.50395739566693</v>
      </c>
      <c r="M49" s="14">
        <v>187.03424231187898</v>
      </c>
      <c r="N49" s="14">
        <v>181.42860807546069</v>
      </c>
      <c r="O49" s="14">
        <v>178.33818920072355</v>
      </c>
      <c r="P49" s="14">
        <v>176.76127956974537</v>
      </c>
      <c r="Q49" s="14">
        <v>172.60575418986889</v>
      </c>
      <c r="R49" s="15">
        <v>168.1745271261442</v>
      </c>
      <c r="S49" s="14">
        <v>143.19537456593687</v>
      </c>
      <c r="T49" s="14">
        <v>143.95607921194184</v>
      </c>
      <c r="U49" s="14">
        <v>144.31698141615212</v>
      </c>
      <c r="V49" s="14">
        <v>151.40202468806351</v>
      </c>
      <c r="W49" s="14">
        <v>161.45188606760462</v>
      </c>
      <c r="X49" s="14">
        <v>173.96246247596636</v>
      </c>
      <c r="Y49" s="14">
        <v>188.58465178100701</v>
      </c>
      <c r="Z49" s="14">
        <v>186.88134137803635</v>
      </c>
      <c r="AA49" s="14">
        <v>194.63358872489709</v>
      </c>
      <c r="AB49" s="14">
        <v>191.97077246174308</v>
      </c>
      <c r="AC49" s="14">
        <v>189.50395739566693</v>
      </c>
      <c r="AD49" s="14">
        <v>187.03424231187898</v>
      </c>
      <c r="AE49" s="14">
        <v>181.42860807546069</v>
      </c>
      <c r="AF49" s="14">
        <v>178.33818920072355</v>
      </c>
      <c r="AG49" s="14">
        <v>176.76127956974537</v>
      </c>
      <c r="AH49" s="14">
        <v>172.60575418986889</v>
      </c>
      <c r="AI49" s="15">
        <v>168.1745271261442</v>
      </c>
      <c r="AJ49" s="14">
        <v>141.45326392599438</v>
      </c>
      <c r="AK49" s="14">
        <v>144.67588360814833</v>
      </c>
      <c r="AL49" s="14">
        <v>144.31698141615212</v>
      </c>
      <c r="AM49" s="14">
        <v>151.40202468806351</v>
      </c>
      <c r="AN49" s="14">
        <v>161.45188606760462</v>
      </c>
      <c r="AO49" s="14">
        <v>173.96246247596636</v>
      </c>
      <c r="AP49" s="14">
        <v>188.58465178100701</v>
      </c>
      <c r="AQ49" s="14">
        <v>186.88134137803635</v>
      </c>
      <c r="AR49" s="14">
        <v>172.60575418986889</v>
      </c>
      <c r="AS49" s="14">
        <v>168.1745271261442</v>
      </c>
    </row>
    <row r="50" spans="1:45" x14ac:dyDescent="0.35">
      <c r="A50" s="15">
        <v>1275.4386480000001</v>
      </c>
      <c r="B50" s="14">
        <v>144.59588311954471</v>
      </c>
      <c r="C50" s="14">
        <v>143.97277931393756</v>
      </c>
      <c r="D50" s="14">
        <v>144.33408152059104</v>
      </c>
      <c r="E50" s="14">
        <v>151.40922473203736</v>
      </c>
      <c r="F50" s="14">
        <v>161.4489860498928</v>
      </c>
      <c r="G50" s="14">
        <v>173.94376236175594</v>
      </c>
      <c r="H50" s="14">
        <v>188.54755155441737</v>
      </c>
      <c r="I50" s="14">
        <v>186.83324108426393</v>
      </c>
      <c r="J50" s="14">
        <v>194.57928839325788</v>
      </c>
      <c r="K50" s="14">
        <v>191.92027215331277</v>
      </c>
      <c r="L50" s="14">
        <v>189.45715710983416</v>
      </c>
      <c r="M50" s="14">
        <v>186.98364200283731</v>
      </c>
      <c r="N50" s="14">
        <v>181.3824077932924</v>
      </c>
      <c r="O50" s="14">
        <v>178.28838889656762</v>
      </c>
      <c r="P50" s="14">
        <v>176.70977925520731</v>
      </c>
      <c r="Q50" s="14">
        <v>172.55245386433737</v>
      </c>
      <c r="R50" s="15">
        <v>168.12622683114984</v>
      </c>
      <c r="S50" s="14">
        <v>143.21727469969238</v>
      </c>
      <c r="T50" s="14">
        <v>143.97277931393756</v>
      </c>
      <c r="U50" s="14">
        <v>144.33408152059104</v>
      </c>
      <c r="V50" s="14">
        <v>151.40922473203736</v>
      </c>
      <c r="W50" s="14">
        <v>161.4489860498928</v>
      </c>
      <c r="X50" s="14">
        <v>173.94376236175594</v>
      </c>
      <c r="Y50" s="14">
        <v>188.54755155441737</v>
      </c>
      <c r="Z50" s="14">
        <v>186.83324108426393</v>
      </c>
      <c r="AA50" s="14">
        <v>194.57928839325788</v>
      </c>
      <c r="AB50" s="14">
        <v>191.92027215331277</v>
      </c>
      <c r="AC50" s="14">
        <v>189.45715710983416</v>
      </c>
      <c r="AD50" s="14">
        <v>186.98364200283731</v>
      </c>
      <c r="AE50" s="14">
        <v>181.3824077932924</v>
      </c>
      <c r="AF50" s="14">
        <v>178.28838889656762</v>
      </c>
      <c r="AG50" s="14">
        <v>176.70977925520731</v>
      </c>
      <c r="AH50" s="14">
        <v>172.55245386433737</v>
      </c>
      <c r="AI50" s="15">
        <v>168.12622683114984</v>
      </c>
      <c r="AJ50" s="14">
        <v>141.47486405791662</v>
      </c>
      <c r="AK50" s="14">
        <v>144.6985837467889</v>
      </c>
      <c r="AL50" s="14">
        <v>144.33408152059104</v>
      </c>
      <c r="AM50" s="14">
        <v>151.40922473203736</v>
      </c>
      <c r="AN50" s="14">
        <v>161.4489860498928</v>
      </c>
      <c r="AO50" s="14">
        <v>173.94376236175594</v>
      </c>
      <c r="AP50" s="14">
        <v>188.54755155441737</v>
      </c>
      <c r="AQ50" s="14">
        <v>186.83324108426393</v>
      </c>
      <c r="AR50" s="14">
        <v>172.55245386433737</v>
      </c>
      <c r="AS50" s="14">
        <v>168.12622683114984</v>
      </c>
    </row>
    <row r="51" spans="1:45" x14ac:dyDescent="0.35">
      <c r="A51" s="15">
        <v>1313.5386480000002</v>
      </c>
      <c r="B51" s="14">
        <v>144.65528348233241</v>
      </c>
      <c r="C51" s="14">
        <v>144.02457963030821</v>
      </c>
      <c r="D51" s="14">
        <v>144.38798184978774</v>
      </c>
      <c r="E51" s="14">
        <v>151.44862497267499</v>
      </c>
      <c r="F51" s="14">
        <v>161.47558621235359</v>
      </c>
      <c r="G51" s="14">
        <v>173.94976239840079</v>
      </c>
      <c r="H51" s="14">
        <v>188.53055145058906</v>
      </c>
      <c r="I51" s="14">
        <v>186.80284089859427</v>
      </c>
      <c r="J51" s="14">
        <v>194.54108815994988</v>
      </c>
      <c r="K51" s="14">
        <v>191.88657194748876</v>
      </c>
      <c r="L51" s="14">
        <v>189.42805693210477</v>
      </c>
      <c r="M51" s="14">
        <v>186.94984179640269</v>
      </c>
      <c r="N51" s="14">
        <v>181.35380761861691</v>
      </c>
      <c r="O51" s="14">
        <v>178.25538869501943</v>
      </c>
      <c r="P51" s="14">
        <v>176.67487904205433</v>
      </c>
      <c r="Q51" s="14">
        <v>172.51545363835834</v>
      </c>
      <c r="R51" s="15">
        <v>168.09472663876255</v>
      </c>
      <c r="S51" s="14">
        <v>143.27437504843277</v>
      </c>
      <c r="T51" s="14">
        <v>144.02457963030821</v>
      </c>
      <c r="U51" s="14">
        <v>144.38798184978774</v>
      </c>
      <c r="V51" s="14">
        <v>151.44862497267499</v>
      </c>
      <c r="W51" s="14">
        <v>161.47558621235359</v>
      </c>
      <c r="X51" s="14">
        <v>173.94976239840079</v>
      </c>
      <c r="Y51" s="14">
        <v>188.53055145058906</v>
      </c>
      <c r="Z51" s="14">
        <v>186.80284089859427</v>
      </c>
      <c r="AA51" s="14">
        <v>194.54108815994988</v>
      </c>
      <c r="AB51" s="14">
        <v>191.88657194748876</v>
      </c>
      <c r="AC51" s="14">
        <v>189.42805693210477</v>
      </c>
      <c r="AD51" s="14">
        <v>186.94984179640269</v>
      </c>
      <c r="AE51" s="14">
        <v>181.35380761861691</v>
      </c>
      <c r="AF51" s="14">
        <v>178.25538869501943</v>
      </c>
      <c r="AG51" s="14">
        <v>176.67487904205433</v>
      </c>
      <c r="AH51" s="14">
        <v>172.51545363835834</v>
      </c>
      <c r="AI51" s="15">
        <v>168.09472663876255</v>
      </c>
      <c r="AJ51" s="14">
        <v>141.53126440238188</v>
      </c>
      <c r="AK51" s="14">
        <v>144.7579841095766</v>
      </c>
      <c r="AL51" s="14">
        <v>144.38798184978774</v>
      </c>
      <c r="AM51" s="14">
        <v>151.44862497267499</v>
      </c>
      <c r="AN51" s="14">
        <v>161.47558621235359</v>
      </c>
      <c r="AO51" s="14">
        <v>173.94976239840079</v>
      </c>
      <c r="AP51" s="14">
        <v>188.53055145058906</v>
      </c>
      <c r="AQ51" s="14">
        <v>186.80284089859427</v>
      </c>
      <c r="AR51" s="14">
        <v>172.51545363835834</v>
      </c>
      <c r="AS51" s="14">
        <v>168.09472663876255</v>
      </c>
    </row>
    <row r="52" spans="1:45" x14ac:dyDescent="0.35">
      <c r="A52" s="15">
        <v>1343.9454960000003</v>
      </c>
      <c r="B52" s="14">
        <v>144.66388353485718</v>
      </c>
      <c r="C52" s="14">
        <v>144.02707964557678</v>
      </c>
      <c r="D52" s="14">
        <v>144.39198187421789</v>
      </c>
      <c r="E52" s="14">
        <v>151.44142492870046</v>
      </c>
      <c r="F52" s="14">
        <v>161.45898611096851</v>
      </c>
      <c r="G52" s="14">
        <v>173.91736220051644</v>
      </c>
      <c r="H52" s="14">
        <v>188.47965113971549</v>
      </c>
      <c r="I52" s="14">
        <v>186.7413405229812</v>
      </c>
      <c r="J52" s="14">
        <v>194.47318774524803</v>
      </c>
      <c r="K52" s="14">
        <v>191.82227155477383</v>
      </c>
      <c r="L52" s="14">
        <v>189.36715656015622</v>
      </c>
      <c r="M52" s="14">
        <v>186.88534140246651</v>
      </c>
      <c r="N52" s="14">
        <v>181.29340724972147</v>
      </c>
      <c r="O52" s="14">
        <v>178.19168830596902</v>
      </c>
      <c r="P52" s="14">
        <v>176.60967864384301</v>
      </c>
      <c r="Q52" s="14">
        <v>172.4488532315961</v>
      </c>
      <c r="R52" s="15">
        <v>168.03292626131616</v>
      </c>
      <c r="S52" s="14">
        <v>143.28247509790367</v>
      </c>
      <c r="T52" s="14">
        <v>144.02707964557678</v>
      </c>
      <c r="U52" s="14">
        <v>144.39198187421789</v>
      </c>
      <c r="V52" s="14">
        <v>151.44142492870046</v>
      </c>
      <c r="W52" s="14">
        <v>161.45898611096851</v>
      </c>
      <c r="X52" s="14">
        <v>173.91736220051644</v>
      </c>
      <c r="Y52" s="14">
        <v>188.47965113971549</v>
      </c>
      <c r="Z52" s="14">
        <v>186.7413405229812</v>
      </c>
      <c r="AA52" s="14">
        <v>194.47318774524803</v>
      </c>
      <c r="AB52" s="14">
        <v>191.82227155477383</v>
      </c>
      <c r="AC52" s="14">
        <v>189.36715656015622</v>
      </c>
      <c r="AD52" s="14">
        <v>186.88534140246651</v>
      </c>
      <c r="AE52" s="14">
        <v>181.29340724972147</v>
      </c>
      <c r="AF52" s="14">
        <v>178.19168830596902</v>
      </c>
      <c r="AG52" s="14">
        <v>176.60967864384301</v>
      </c>
      <c r="AH52" s="14">
        <v>172.4488532315961</v>
      </c>
      <c r="AI52" s="15">
        <v>168.03292626131616</v>
      </c>
      <c r="AJ52" s="14">
        <v>141.53926445124219</v>
      </c>
      <c r="AK52" s="14">
        <v>144.76668416271272</v>
      </c>
      <c r="AL52" s="14">
        <v>144.39198187421789</v>
      </c>
      <c r="AM52" s="14">
        <v>151.44142492870046</v>
      </c>
      <c r="AN52" s="14">
        <v>161.45898611096851</v>
      </c>
      <c r="AO52" s="14">
        <v>173.91736220051644</v>
      </c>
      <c r="AP52" s="14">
        <v>188.47965113971549</v>
      </c>
      <c r="AQ52" s="14">
        <v>186.7413405229812</v>
      </c>
      <c r="AR52" s="14">
        <v>172.4488532315961</v>
      </c>
      <c r="AS52" s="14">
        <v>168.03292626131616</v>
      </c>
    </row>
    <row r="53" spans="1:45" x14ac:dyDescent="0.35">
      <c r="A53" s="15">
        <v>1366.6591920000001</v>
      </c>
      <c r="B53" s="14">
        <v>144.62138327528712</v>
      </c>
      <c r="C53" s="14">
        <v>143.98007935852274</v>
      </c>
      <c r="D53" s="14">
        <v>144.34518158838509</v>
      </c>
      <c r="E53" s="14">
        <v>151.38742459889315</v>
      </c>
      <c r="F53" s="14">
        <v>161.3992857463482</v>
      </c>
      <c r="G53" s="14">
        <v>173.84686176993534</v>
      </c>
      <c r="H53" s="14">
        <v>188.39505062301723</v>
      </c>
      <c r="I53" s="14">
        <v>186.64873995742269</v>
      </c>
      <c r="J53" s="14">
        <v>194.37568714976297</v>
      </c>
      <c r="K53" s="14">
        <v>191.7271709739467</v>
      </c>
      <c r="L53" s="14">
        <v>189.27465599520829</v>
      </c>
      <c r="M53" s="14">
        <v>186.79034082225067</v>
      </c>
      <c r="N53" s="14">
        <v>181.2014066878281</v>
      </c>
      <c r="O53" s="14">
        <v>178.09738773002832</v>
      </c>
      <c r="P53" s="14">
        <v>176.5141780605727</v>
      </c>
      <c r="Q53" s="14">
        <v>172.35255264343999</v>
      </c>
      <c r="R53" s="15">
        <v>167.94072569820156</v>
      </c>
      <c r="S53" s="14">
        <v>143.24147484749452</v>
      </c>
      <c r="T53" s="14">
        <v>143.98007935852274</v>
      </c>
      <c r="U53" s="14">
        <v>144.34518158838509</v>
      </c>
      <c r="V53" s="14">
        <v>151.38742459889315</v>
      </c>
      <c r="W53" s="14">
        <v>161.3992857463482</v>
      </c>
      <c r="X53" s="14">
        <v>173.84686176993534</v>
      </c>
      <c r="Y53" s="14">
        <v>188.39505062301723</v>
      </c>
      <c r="Z53" s="14">
        <v>186.64873995742269</v>
      </c>
      <c r="AA53" s="14">
        <v>194.37568714976297</v>
      </c>
      <c r="AB53" s="14">
        <v>191.7271709739467</v>
      </c>
      <c r="AC53" s="14">
        <v>189.27465599520829</v>
      </c>
      <c r="AD53" s="14">
        <v>186.79034082225067</v>
      </c>
      <c r="AE53" s="14">
        <v>181.2014066878281</v>
      </c>
      <c r="AF53" s="14">
        <v>178.09738773002832</v>
      </c>
      <c r="AG53" s="14">
        <v>176.5141780605727</v>
      </c>
      <c r="AH53" s="14">
        <v>172.35255264343999</v>
      </c>
      <c r="AI53" s="15">
        <v>167.94072569820156</v>
      </c>
      <c r="AJ53" s="14">
        <v>141.49876420388688</v>
      </c>
      <c r="AK53" s="14">
        <v>144.72408390253133</v>
      </c>
      <c r="AL53" s="14">
        <v>144.34518158838509</v>
      </c>
      <c r="AM53" s="14">
        <v>151.38742459889315</v>
      </c>
      <c r="AN53" s="14">
        <v>161.3992857463482</v>
      </c>
      <c r="AO53" s="14">
        <v>173.84686176993534</v>
      </c>
      <c r="AP53" s="14">
        <v>188.39505062301723</v>
      </c>
      <c r="AQ53" s="14">
        <v>186.64873995742269</v>
      </c>
      <c r="AR53" s="14">
        <v>172.35255264343999</v>
      </c>
      <c r="AS53" s="14">
        <v>167.94072569820156</v>
      </c>
    </row>
    <row r="54" spans="1:45" x14ac:dyDescent="0.35">
      <c r="A54" s="15">
        <v>1393.0274400000001</v>
      </c>
      <c r="B54" s="14">
        <v>144.59408310855125</v>
      </c>
      <c r="C54" s="14">
        <v>143.94777916124897</v>
      </c>
      <c r="D54" s="14">
        <v>144.31298139172196</v>
      </c>
      <c r="E54" s="14">
        <v>151.34672435031658</v>
      </c>
      <c r="F54" s="14">
        <v>161.35128545318648</v>
      </c>
      <c r="G54" s="14">
        <v>173.78596139798606</v>
      </c>
      <c r="H54" s="14">
        <v>188.31805015273744</v>
      </c>
      <c r="I54" s="14">
        <v>186.56273943217488</v>
      </c>
      <c r="J54" s="14">
        <v>194.28388658909086</v>
      </c>
      <c r="K54" s="14">
        <v>191.63827043098709</v>
      </c>
      <c r="L54" s="14">
        <v>189.18855546934915</v>
      </c>
      <c r="M54" s="14">
        <v>186.70134027867974</v>
      </c>
      <c r="N54" s="14">
        <v>181.11590616563348</v>
      </c>
      <c r="O54" s="14">
        <v>178.00908719073254</v>
      </c>
      <c r="P54" s="14">
        <v>176.4246775139479</v>
      </c>
      <c r="Q54" s="14">
        <v>172.26215209131882</v>
      </c>
      <c r="R54" s="15">
        <v>167.85462517234242</v>
      </c>
      <c r="S54" s="14">
        <v>143.21507468625569</v>
      </c>
      <c r="T54" s="14">
        <v>143.94777916124897</v>
      </c>
      <c r="U54" s="14">
        <v>144.31298139172196</v>
      </c>
      <c r="V54" s="14">
        <v>151.34672435031658</v>
      </c>
      <c r="W54" s="14">
        <v>161.35128545318648</v>
      </c>
      <c r="X54" s="14">
        <v>173.78596139798606</v>
      </c>
      <c r="Y54" s="14">
        <v>188.31805015273744</v>
      </c>
      <c r="Z54" s="14">
        <v>186.56273943217488</v>
      </c>
      <c r="AA54" s="14">
        <v>194.28388658909086</v>
      </c>
      <c r="AB54" s="14">
        <v>191.63827043098709</v>
      </c>
      <c r="AC54" s="14">
        <v>189.18855546934915</v>
      </c>
      <c r="AD54" s="14">
        <v>186.70134027867974</v>
      </c>
      <c r="AE54" s="14">
        <v>181.11590616563348</v>
      </c>
      <c r="AF54" s="14">
        <v>178.00908719073254</v>
      </c>
      <c r="AG54" s="14">
        <v>176.4246775139479</v>
      </c>
      <c r="AH54" s="14">
        <v>172.26215209131882</v>
      </c>
      <c r="AI54" s="15">
        <v>167.85462517234242</v>
      </c>
      <c r="AJ54" s="14">
        <v>141.47266404448064</v>
      </c>
      <c r="AK54" s="14">
        <v>144.69688373640608</v>
      </c>
      <c r="AL54" s="14">
        <v>144.31298139172196</v>
      </c>
      <c r="AM54" s="14">
        <v>151.34672435031658</v>
      </c>
      <c r="AN54" s="14">
        <v>161.35128545318648</v>
      </c>
      <c r="AO54" s="14">
        <v>173.78596139798606</v>
      </c>
      <c r="AP54" s="14">
        <v>188.31805015273744</v>
      </c>
      <c r="AQ54" s="14">
        <v>186.56273943217488</v>
      </c>
      <c r="AR54" s="14">
        <v>172.26215209131882</v>
      </c>
      <c r="AS54" s="14">
        <v>167.85462517234242</v>
      </c>
    </row>
    <row r="55" spans="1:45" x14ac:dyDescent="0.35">
      <c r="A55" s="15">
        <v>1423.05024</v>
      </c>
      <c r="B55" s="14">
        <v>144.58228303648207</v>
      </c>
      <c r="C55" s="14">
        <v>143.93027905436753</v>
      </c>
      <c r="D55" s="14">
        <v>144.29538128422988</v>
      </c>
      <c r="E55" s="14">
        <v>151.31912418174875</v>
      </c>
      <c r="F55" s="14">
        <v>161.31498523148255</v>
      </c>
      <c r="G55" s="14">
        <v>173.73486108589057</v>
      </c>
      <c r="H55" s="14">
        <v>188.24874972948467</v>
      </c>
      <c r="I55" s="14">
        <v>186.48313894601449</v>
      </c>
      <c r="J55" s="14">
        <v>194.19788606384236</v>
      </c>
      <c r="K55" s="14">
        <v>191.55536992467168</v>
      </c>
      <c r="L55" s="14">
        <v>189.10885498257883</v>
      </c>
      <c r="M55" s="14">
        <v>186.61833977175371</v>
      </c>
      <c r="N55" s="14">
        <v>181.03670568191632</v>
      </c>
      <c r="O55" s="14">
        <v>177.92698668930356</v>
      </c>
      <c r="P55" s="14">
        <v>176.34097700274739</v>
      </c>
      <c r="Q55" s="14">
        <v>172.17755157462128</v>
      </c>
      <c r="R55" s="15">
        <v>167.77462468373952</v>
      </c>
      <c r="S55" s="14">
        <v>143.20367461662974</v>
      </c>
      <c r="T55" s="14">
        <v>143.93027905436753</v>
      </c>
      <c r="U55" s="14">
        <v>144.29538128422988</v>
      </c>
      <c r="V55" s="14">
        <v>151.31912418174875</v>
      </c>
      <c r="W55" s="14">
        <v>161.31498523148255</v>
      </c>
      <c r="X55" s="14">
        <v>173.73486108589057</v>
      </c>
      <c r="Y55" s="14">
        <v>188.24874972948467</v>
      </c>
      <c r="Z55" s="14">
        <v>186.48313894601449</v>
      </c>
      <c r="AA55" s="14">
        <v>194.19788606384236</v>
      </c>
      <c r="AB55" s="14">
        <v>191.55536992467168</v>
      </c>
      <c r="AC55" s="14">
        <v>189.10885498257883</v>
      </c>
      <c r="AD55" s="14">
        <v>186.61833977175371</v>
      </c>
      <c r="AE55" s="14">
        <v>181.03670568191632</v>
      </c>
      <c r="AF55" s="14">
        <v>177.92698668930356</v>
      </c>
      <c r="AG55" s="14">
        <v>176.34097700274739</v>
      </c>
      <c r="AH55" s="14">
        <v>172.17755157462128</v>
      </c>
      <c r="AI55" s="15">
        <v>167.77462468373952</v>
      </c>
      <c r="AJ55" s="14">
        <v>141.4613639754653</v>
      </c>
      <c r="AK55" s="14">
        <v>144.68508366433758</v>
      </c>
      <c r="AL55" s="14">
        <v>144.29538128422988</v>
      </c>
      <c r="AM55" s="14">
        <v>151.31912418174875</v>
      </c>
      <c r="AN55" s="14">
        <v>161.31498523148255</v>
      </c>
      <c r="AO55" s="14">
        <v>173.73486108589057</v>
      </c>
      <c r="AP55" s="14">
        <v>188.24874972948467</v>
      </c>
      <c r="AQ55" s="14">
        <v>186.48313894601449</v>
      </c>
      <c r="AR55" s="14">
        <v>172.17755157462128</v>
      </c>
      <c r="AS55" s="14">
        <v>167.77462468373952</v>
      </c>
    </row>
    <row r="56" spans="1:45" x14ac:dyDescent="0.35">
      <c r="A56" s="15">
        <v>1449.4215360000001</v>
      </c>
      <c r="B56" s="14">
        <v>144.54718282210783</v>
      </c>
      <c r="C56" s="14">
        <v>143.89007880884409</v>
      </c>
      <c r="D56" s="14">
        <v>144.2550810380958</v>
      </c>
      <c r="E56" s="14">
        <v>151.27022388308993</v>
      </c>
      <c r="F56" s="14">
        <v>161.25898488946052</v>
      </c>
      <c r="G56" s="14">
        <v>173.66646066813556</v>
      </c>
      <c r="H56" s="14">
        <v>188.16414921278709</v>
      </c>
      <c r="I56" s="14">
        <v>186.3897383755702</v>
      </c>
      <c r="J56" s="14">
        <v>194.09868545797445</v>
      </c>
      <c r="K56" s="14">
        <v>191.45876933468367</v>
      </c>
      <c r="L56" s="14">
        <v>189.0149544090807</v>
      </c>
      <c r="M56" s="14">
        <v>186.5217391817657</v>
      </c>
      <c r="N56" s="14">
        <v>180.943305111472</v>
      </c>
      <c r="O56" s="14">
        <v>177.83118610420129</v>
      </c>
      <c r="P56" s="14">
        <v>176.24387640970554</v>
      </c>
      <c r="Q56" s="14">
        <v>172.07965097669299</v>
      </c>
      <c r="R56" s="15">
        <v>167.68102411207391</v>
      </c>
      <c r="S56" s="14">
        <v>143.16987441019512</v>
      </c>
      <c r="T56" s="14">
        <v>143.89007880884409</v>
      </c>
      <c r="U56" s="14">
        <v>144.2550810380958</v>
      </c>
      <c r="V56" s="14">
        <v>151.27022388308993</v>
      </c>
      <c r="W56" s="14">
        <v>161.25898488946052</v>
      </c>
      <c r="X56" s="14">
        <v>173.66646066813556</v>
      </c>
      <c r="Y56" s="14">
        <v>188.16414921278709</v>
      </c>
      <c r="Z56" s="14">
        <v>186.3897383755702</v>
      </c>
      <c r="AA56" s="14">
        <v>194.09868545797445</v>
      </c>
      <c r="AB56" s="14">
        <v>191.45876933468367</v>
      </c>
      <c r="AC56" s="14">
        <v>189.0149544090807</v>
      </c>
      <c r="AD56" s="14">
        <v>186.5217391817657</v>
      </c>
      <c r="AE56" s="14">
        <v>180.943305111472</v>
      </c>
      <c r="AF56" s="14">
        <v>177.83118610420129</v>
      </c>
      <c r="AG56" s="14">
        <v>176.24387640970554</v>
      </c>
      <c r="AH56" s="14">
        <v>172.07965097669299</v>
      </c>
      <c r="AI56" s="15">
        <v>167.68102411207391</v>
      </c>
      <c r="AJ56" s="14">
        <v>141.4279637714732</v>
      </c>
      <c r="AK56" s="14">
        <v>144.64988344935202</v>
      </c>
      <c r="AL56" s="14">
        <v>144.2550810380958</v>
      </c>
      <c r="AM56" s="14">
        <v>151.27022388308993</v>
      </c>
      <c r="AN56" s="14">
        <v>161.25898488946052</v>
      </c>
      <c r="AO56" s="14">
        <v>173.66646066813556</v>
      </c>
      <c r="AP56" s="14">
        <v>188.16414921278709</v>
      </c>
      <c r="AQ56" s="14">
        <v>186.3897383755702</v>
      </c>
      <c r="AR56" s="14">
        <v>172.07965097669299</v>
      </c>
      <c r="AS56" s="14">
        <v>167.68102411207391</v>
      </c>
    </row>
    <row r="57" spans="1:45" x14ac:dyDescent="0.35">
      <c r="A57" s="15">
        <v>1472.1413279999999</v>
      </c>
      <c r="B57" s="14">
        <v>144.48868246481649</v>
      </c>
      <c r="C57" s="14">
        <v>143.82727842529073</v>
      </c>
      <c r="D57" s="14">
        <v>144.19218065393181</v>
      </c>
      <c r="E57" s="14">
        <v>151.20002345434077</v>
      </c>
      <c r="F57" s="14">
        <v>161.1832844271203</v>
      </c>
      <c r="G57" s="14">
        <v>173.58066014410832</v>
      </c>
      <c r="H57" s="14">
        <v>188.06434860325473</v>
      </c>
      <c r="I57" s="14">
        <v>186.2823377196207</v>
      </c>
      <c r="J57" s="14">
        <v>193.98608477026588</v>
      </c>
      <c r="K57" s="14">
        <v>191.34836866041107</v>
      </c>
      <c r="L57" s="14">
        <v>188.90685374885609</v>
      </c>
      <c r="M57" s="14">
        <v>186.4113385074931</v>
      </c>
      <c r="N57" s="14">
        <v>180.83580445491188</v>
      </c>
      <c r="O57" s="14">
        <v>177.72158543481515</v>
      </c>
      <c r="P57" s="14">
        <v>176.13317573360038</v>
      </c>
      <c r="Q57" s="14">
        <v>171.96855029814526</v>
      </c>
      <c r="R57" s="15">
        <v>167.57382345734572</v>
      </c>
      <c r="S57" s="14">
        <v>143.11357406634048</v>
      </c>
      <c r="T57" s="14">
        <v>143.82727842529073</v>
      </c>
      <c r="U57" s="14">
        <v>144.19218065393181</v>
      </c>
      <c r="V57" s="14">
        <v>151.20002345434077</v>
      </c>
      <c r="W57" s="14">
        <v>161.1832844271203</v>
      </c>
      <c r="X57" s="14">
        <v>173.58066014410832</v>
      </c>
      <c r="Y57" s="14">
        <v>188.06434860325473</v>
      </c>
      <c r="Z57" s="14">
        <v>186.2823377196207</v>
      </c>
      <c r="AA57" s="14">
        <v>193.98608477026588</v>
      </c>
      <c r="AB57" s="14">
        <v>191.34836866041107</v>
      </c>
      <c r="AC57" s="14">
        <v>188.90685374885609</v>
      </c>
      <c r="AD57" s="14">
        <v>186.4113385074931</v>
      </c>
      <c r="AE57" s="14">
        <v>180.83580445491188</v>
      </c>
      <c r="AF57" s="14">
        <v>177.72158543481515</v>
      </c>
      <c r="AG57" s="14">
        <v>176.13317573360038</v>
      </c>
      <c r="AH57" s="14">
        <v>171.96855029814526</v>
      </c>
      <c r="AI57" s="15">
        <v>167.57382345734572</v>
      </c>
      <c r="AJ57" s="14">
        <v>141.37236343189437</v>
      </c>
      <c r="AK57" s="14">
        <v>144.59138309206071</v>
      </c>
      <c r="AL57" s="14">
        <v>144.19218065393181</v>
      </c>
      <c r="AM57" s="14">
        <v>151.20002345434077</v>
      </c>
      <c r="AN57" s="14">
        <v>161.1832844271203</v>
      </c>
      <c r="AO57" s="14">
        <v>173.58066014410832</v>
      </c>
      <c r="AP57" s="14">
        <v>188.06434860325473</v>
      </c>
      <c r="AQ57" s="14">
        <v>186.2823377196207</v>
      </c>
      <c r="AR57" s="14">
        <v>171.96855029814526</v>
      </c>
      <c r="AS57" s="14">
        <v>167.57382345734572</v>
      </c>
    </row>
    <row r="58" spans="1:45" x14ac:dyDescent="0.35">
      <c r="A58" s="15">
        <v>1494.8573100000001</v>
      </c>
      <c r="B58" s="14">
        <v>144.4402821692122</v>
      </c>
      <c r="C58" s="14">
        <v>143.7744781028124</v>
      </c>
      <c r="D58" s="14">
        <v>144.13918033023219</v>
      </c>
      <c r="E58" s="14">
        <v>151.13972308605597</v>
      </c>
      <c r="F58" s="14">
        <v>161.11718402341194</v>
      </c>
      <c r="G58" s="14">
        <v>173.50435967810293</v>
      </c>
      <c r="H58" s="14">
        <v>187.97414805235482</v>
      </c>
      <c r="I58" s="14">
        <v>186.18463712291435</v>
      </c>
      <c r="J58" s="14">
        <v>193.88328414241104</v>
      </c>
      <c r="K58" s="14">
        <v>191.24766804538231</v>
      </c>
      <c r="L58" s="14">
        <v>188.80835314726332</v>
      </c>
      <c r="M58" s="14">
        <v>186.31063789246434</v>
      </c>
      <c r="N58" s="14">
        <v>180.73780385637298</v>
      </c>
      <c r="O58" s="14">
        <v>177.62158482406147</v>
      </c>
      <c r="P58" s="14">
        <v>176.03207511612837</v>
      </c>
      <c r="Q58" s="14">
        <v>171.86704967823005</v>
      </c>
      <c r="R58" s="15">
        <v>167.47602286002808</v>
      </c>
      <c r="S58" s="14">
        <v>143.06697378172896</v>
      </c>
      <c r="T58" s="14">
        <v>143.7744781028124</v>
      </c>
      <c r="U58" s="14">
        <v>144.13918033023219</v>
      </c>
      <c r="V58" s="14">
        <v>151.13972308605597</v>
      </c>
      <c r="W58" s="14">
        <v>161.11718402341194</v>
      </c>
      <c r="X58" s="14">
        <v>173.50435967810293</v>
      </c>
      <c r="Y58" s="14">
        <v>187.97414805235482</v>
      </c>
      <c r="Z58" s="14">
        <v>186.18463712291435</v>
      </c>
      <c r="AA58" s="14">
        <v>193.88328414241104</v>
      </c>
      <c r="AB58" s="14">
        <v>191.24766804538231</v>
      </c>
      <c r="AC58" s="14">
        <v>188.80835314726332</v>
      </c>
      <c r="AD58" s="14">
        <v>186.31063789246434</v>
      </c>
      <c r="AE58" s="14">
        <v>180.73780385637298</v>
      </c>
      <c r="AF58" s="14">
        <v>177.62158482406147</v>
      </c>
      <c r="AG58" s="14">
        <v>176.03207511612837</v>
      </c>
      <c r="AH58" s="14">
        <v>171.86704967823005</v>
      </c>
      <c r="AI58" s="15">
        <v>167.47602286002808</v>
      </c>
      <c r="AJ58" s="14">
        <v>141.32626315033673</v>
      </c>
      <c r="AK58" s="14">
        <v>144.54298279645641</v>
      </c>
      <c r="AL58" s="14">
        <v>144.13918033023219</v>
      </c>
      <c r="AM58" s="14">
        <v>151.13972308605597</v>
      </c>
      <c r="AN58" s="14">
        <v>161.11718402341194</v>
      </c>
      <c r="AO58" s="14">
        <v>173.50435967810293</v>
      </c>
      <c r="AP58" s="14">
        <v>187.97414805235482</v>
      </c>
      <c r="AQ58" s="14">
        <v>186.18463712291435</v>
      </c>
      <c r="AR58" s="14">
        <v>171.86704967823005</v>
      </c>
      <c r="AS58" s="14">
        <v>167.47602286002808</v>
      </c>
    </row>
    <row r="59" spans="1:45" x14ac:dyDescent="0.35">
      <c r="A59" s="15">
        <v>1517.5694820000001</v>
      </c>
      <c r="B59" s="14">
        <v>144.40188193468228</v>
      </c>
      <c r="C59" s="14">
        <v>143.73187784263169</v>
      </c>
      <c r="D59" s="14">
        <v>144.09628006821825</v>
      </c>
      <c r="E59" s="14">
        <v>151.08932277823627</v>
      </c>
      <c r="F59" s="14">
        <v>161.06058367772539</v>
      </c>
      <c r="G59" s="14">
        <v>173.43755927011944</v>
      </c>
      <c r="H59" s="14">
        <v>187.89354756008672</v>
      </c>
      <c r="I59" s="14">
        <v>186.09663658545117</v>
      </c>
      <c r="J59" s="14">
        <v>193.79018357379931</v>
      </c>
      <c r="K59" s="14">
        <v>191.1565674889853</v>
      </c>
      <c r="L59" s="14">
        <v>188.719452604303</v>
      </c>
      <c r="M59" s="14">
        <v>186.21953733606733</v>
      </c>
      <c r="N59" s="14">
        <v>180.64930331585589</v>
      </c>
      <c r="O59" s="14">
        <v>177.53118427193962</v>
      </c>
      <c r="P59" s="14">
        <v>175.94057455728884</v>
      </c>
      <c r="Q59" s="14">
        <v>171.77514911694729</v>
      </c>
      <c r="R59" s="15">
        <v>167.38772232073228</v>
      </c>
      <c r="S59" s="14">
        <v>143.03007355636126</v>
      </c>
      <c r="T59" s="14">
        <v>143.73187784263169</v>
      </c>
      <c r="U59" s="14">
        <v>144.09628006821825</v>
      </c>
      <c r="V59" s="14">
        <v>151.08932277823627</v>
      </c>
      <c r="W59" s="14">
        <v>161.06058367772539</v>
      </c>
      <c r="X59" s="14">
        <v>173.43755927011944</v>
      </c>
      <c r="Y59" s="14">
        <v>187.89354756008672</v>
      </c>
      <c r="Z59" s="14">
        <v>186.09663658545117</v>
      </c>
      <c r="AA59" s="14">
        <v>193.79018357379931</v>
      </c>
      <c r="AB59" s="14">
        <v>191.1565674889853</v>
      </c>
      <c r="AC59" s="14">
        <v>188.719452604303</v>
      </c>
      <c r="AD59" s="14">
        <v>186.21953733606733</v>
      </c>
      <c r="AE59" s="14">
        <v>180.64930331585589</v>
      </c>
      <c r="AF59" s="14">
        <v>177.53118427193962</v>
      </c>
      <c r="AG59" s="14">
        <v>175.94057455728884</v>
      </c>
      <c r="AH59" s="14">
        <v>171.77514911694729</v>
      </c>
      <c r="AI59" s="15">
        <v>167.38772232073228</v>
      </c>
      <c r="AJ59" s="14">
        <v>141.28966292680093</v>
      </c>
      <c r="AK59" s="14">
        <v>144.50458256192644</v>
      </c>
      <c r="AL59" s="14">
        <v>144.09628006821825</v>
      </c>
      <c r="AM59" s="14">
        <v>151.08932277823627</v>
      </c>
      <c r="AN59" s="14">
        <v>161.06058367772539</v>
      </c>
      <c r="AO59" s="14">
        <v>173.43755927011944</v>
      </c>
      <c r="AP59" s="14">
        <v>187.89354756008672</v>
      </c>
      <c r="AQ59" s="14">
        <v>186.09663658545117</v>
      </c>
      <c r="AR59" s="14">
        <v>171.77514911694729</v>
      </c>
      <c r="AS59" s="14">
        <v>167.38772232073228</v>
      </c>
    </row>
    <row r="60" spans="1:45" x14ac:dyDescent="0.35">
      <c r="A60" s="15">
        <v>1540.280892</v>
      </c>
      <c r="B60" s="14">
        <v>144.36788172702634</v>
      </c>
      <c r="C60" s="14">
        <v>143.69357760871307</v>
      </c>
      <c r="D60" s="14">
        <v>144.05777983307834</v>
      </c>
      <c r="E60" s="14">
        <v>151.04312249606798</v>
      </c>
      <c r="F60" s="14">
        <v>161.00818335769026</v>
      </c>
      <c r="G60" s="14">
        <v>173.37495888778801</v>
      </c>
      <c r="H60" s="14">
        <v>187.81714709347071</v>
      </c>
      <c r="I60" s="14">
        <v>186.01293607424998</v>
      </c>
      <c r="J60" s="14">
        <v>193.70148303206031</v>
      </c>
      <c r="K60" s="14">
        <v>191.06976695885106</v>
      </c>
      <c r="L60" s="14">
        <v>188.63465208638348</v>
      </c>
      <c r="M60" s="14">
        <v>186.13273680593309</v>
      </c>
      <c r="N60" s="14">
        <v>180.56510280160089</v>
      </c>
      <c r="O60" s="14">
        <v>177.44508374608048</v>
      </c>
      <c r="P60" s="14">
        <v>175.85327402410076</v>
      </c>
      <c r="Q60" s="14">
        <v>171.6875485819273</v>
      </c>
      <c r="R60" s="15">
        <v>167.30362180708855</v>
      </c>
      <c r="S60" s="14">
        <v>142.99737335664429</v>
      </c>
      <c r="T60" s="14">
        <v>143.69357760871307</v>
      </c>
      <c r="U60" s="14">
        <v>144.05777983307834</v>
      </c>
      <c r="V60" s="14">
        <v>151.04312249606798</v>
      </c>
      <c r="W60" s="14">
        <v>161.00818335769026</v>
      </c>
      <c r="X60" s="14">
        <v>173.37495888778801</v>
      </c>
      <c r="Y60" s="14">
        <v>187.81714709347071</v>
      </c>
      <c r="Z60" s="14">
        <v>186.01293607424998</v>
      </c>
      <c r="AA60" s="14">
        <v>193.70148303206031</v>
      </c>
      <c r="AB60" s="14">
        <v>191.06976695885106</v>
      </c>
      <c r="AC60" s="14">
        <v>188.63465208638348</v>
      </c>
      <c r="AD60" s="14">
        <v>186.13273680593309</v>
      </c>
      <c r="AE60" s="14">
        <v>180.56510280160089</v>
      </c>
      <c r="AF60" s="14">
        <v>177.44508374608048</v>
      </c>
      <c r="AG60" s="14">
        <v>175.85327402410076</v>
      </c>
      <c r="AH60" s="14">
        <v>171.6875485819273</v>
      </c>
      <c r="AI60" s="15">
        <v>167.30362180708855</v>
      </c>
      <c r="AJ60" s="14">
        <v>141.25736272952713</v>
      </c>
      <c r="AK60" s="14">
        <v>144.47058235427056</v>
      </c>
      <c r="AL60" s="14">
        <v>144.05777983307834</v>
      </c>
      <c r="AM60" s="14">
        <v>151.04312249606798</v>
      </c>
      <c r="AN60" s="14">
        <v>161.00818335769026</v>
      </c>
      <c r="AO60" s="14">
        <v>173.37495888778801</v>
      </c>
      <c r="AP60" s="14">
        <v>187.81714709347071</v>
      </c>
      <c r="AQ60" s="14">
        <v>186.01293607424998</v>
      </c>
      <c r="AR60" s="14">
        <v>171.6875485819273</v>
      </c>
      <c r="AS60" s="14">
        <v>167.30362180708855</v>
      </c>
    </row>
    <row r="61" spans="1:45" x14ac:dyDescent="0.35">
      <c r="A61" s="15">
        <v>1562.9915400000002</v>
      </c>
      <c r="B61" s="14">
        <v>144.33828154624314</v>
      </c>
      <c r="C61" s="14">
        <v>143.65977740227774</v>
      </c>
      <c r="D61" s="14">
        <v>144.02377962542175</v>
      </c>
      <c r="E61" s="14">
        <v>151.00132224077237</v>
      </c>
      <c r="F61" s="14">
        <v>160.96008306391718</v>
      </c>
      <c r="G61" s="14">
        <v>173.31655853110732</v>
      </c>
      <c r="H61" s="14">
        <v>187.74504665311741</v>
      </c>
      <c r="I61" s="14">
        <v>185.93353558931153</v>
      </c>
      <c r="J61" s="14">
        <v>193.61698251597338</v>
      </c>
      <c r="K61" s="14">
        <v>190.98716645436826</v>
      </c>
      <c r="L61" s="14">
        <v>188.55415159472673</v>
      </c>
      <c r="M61" s="14">
        <v>186.05013630145029</v>
      </c>
      <c r="N61" s="14">
        <v>180.48500231238731</v>
      </c>
      <c r="O61" s="14">
        <v>177.36318324587347</v>
      </c>
      <c r="P61" s="14">
        <v>175.7702735171747</v>
      </c>
      <c r="Q61" s="14">
        <v>171.60424807316934</v>
      </c>
      <c r="R61" s="15">
        <v>167.22372131909626</v>
      </c>
      <c r="S61" s="14">
        <v>142.96897318319003</v>
      </c>
      <c r="T61" s="14">
        <v>143.65977740227774</v>
      </c>
      <c r="U61" s="14">
        <v>144.02377962542175</v>
      </c>
      <c r="V61" s="14">
        <v>151.00132224077237</v>
      </c>
      <c r="W61" s="14">
        <v>160.96008306391718</v>
      </c>
      <c r="X61" s="14">
        <v>173.31655853110732</v>
      </c>
      <c r="Y61" s="14">
        <v>187.74504665311741</v>
      </c>
      <c r="Z61" s="14">
        <v>185.93353558931153</v>
      </c>
      <c r="AA61" s="14">
        <v>193.61698251597338</v>
      </c>
      <c r="AB61" s="14">
        <v>190.98716645436826</v>
      </c>
      <c r="AC61" s="14">
        <v>188.55415159472673</v>
      </c>
      <c r="AD61" s="14">
        <v>186.05013630145029</v>
      </c>
      <c r="AE61" s="14">
        <v>180.48500231238731</v>
      </c>
      <c r="AF61" s="14">
        <v>177.36318324587347</v>
      </c>
      <c r="AG61" s="14">
        <v>175.7702735171747</v>
      </c>
      <c r="AH61" s="14">
        <v>171.60424807316934</v>
      </c>
      <c r="AI61" s="15">
        <v>167.22372131909626</v>
      </c>
      <c r="AJ61" s="14">
        <v>141.22926255790549</v>
      </c>
      <c r="AK61" s="14">
        <v>144.44108217409797</v>
      </c>
      <c r="AL61" s="14">
        <v>144.02377962542175</v>
      </c>
      <c r="AM61" s="14">
        <v>151.00132224077237</v>
      </c>
      <c r="AN61" s="14">
        <v>160.96008306391718</v>
      </c>
      <c r="AO61" s="14">
        <v>173.31655853110732</v>
      </c>
      <c r="AP61" s="14">
        <v>187.74504665311741</v>
      </c>
      <c r="AQ61" s="14">
        <v>185.93353558931153</v>
      </c>
      <c r="AR61" s="14">
        <v>171.60424807316934</v>
      </c>
      <c r="AS61" s="14">
        <v>167.22372131909626</v>
      </c>
    </row>
    <row r="62" spans="1:45" x14ac:dyDescent="0.35">
      <c r="A62" s="15">
        <v>1585.7044740000001</v>
      </c>
      <c r="B62" s="14">
        <v>144.29868130438422</v>
      </c>
      <c r="C62" s="14">
        <v>143.61577713354615</v>
      </c>
      <c r="D62" s="14">
        <v>143.97957935546887</v>
      </c>
      <c r="E62" s="14">
        <v>150.94942192379179</v>
      </c>
      <c r="F62" s="14">
        <v>160.90188270845846</v>
      </c>
      <c r="G62" s="14">
        <v>173.24845811518421</v>
      </c>
      <c r="H62" s="14">
        <v>187.66324615352104</v>
      </c>
      <c r="I62" s="14">
        <v>185.84463504635124</v>
      </c>
      <c r="J62" s="14">
        <v>193.52288194125396</v>
      </c>
      <c r="K62" s="14">
        <v>190.89486589064228</v>
      </c>
      <c r="L62" s="14">
        <v>188.46385104321618</v>
      </c>
      <c r="M62" s="14">
        <v>185.95793573833492</v>
      </c>
      <c r="N62" s="14">
        <v>180.39520176392995</v>
      </c>
      <c r="O62" s="14">
        <v>177.27158268642265</v>
      </c>
      <c r="P62" s="14">
        <v>175.6775729510062</v>
      </c>
      <c r="Q62" s="14">
        <v>171.5113475057789</v>
      </c>
      <c r="R62" s="15">
        <v>167.13422077247148</v>
      </c>
      <c r="S62" s="14">
        <v>142.93077294988203</v>
      </c>
      <c r="T62" s="14">
        <v>143.61577713354615</v>
      </c>
      <c r="U62" s="14">
        <v>143.97957935546887</v>
      </c>
      <c r="V62" s="14">
        <v>150.94942192379179</v>
      </c>
      <c r="W62" s="14">
        <v>160.90188270845846</v>
      </c>
      <c r="X62" s="14">
        <v>173.24845811518421</v>
      </c>
      <c r="Y62" s="14">
        <v>187.66324615352104</v>
      </c>
      <c r="Z62" s="14">
        <v>185.84463504635124</v>
      </c>
      <c r="AA62" s="14">
        <v>193.52288194125396</v>
      </c>
      <c r="AB62" s="14">
        <v>190.89486589064228</v>
      </c>
      <c r="AC62" s="14">
        <v>188.46385104321618</v>
      </c>
      <c r="AD62" s="14">
        <v>185.95793573833492</v>
      </c>
      <c r="AE62" s="14">
        <v>180.39520176392995</v>
      </c>
      <c r="AF62" s="14">
        <v>177.27158268642265</v>
      </c>
      <c r="AG62" s="14">
        <v>175.6775729510062</v>
      </c>
      <c r="AH62" s="14">
        <v>171.5113475057789</v>
      </c>
      <c r="AI62" s="15">
        <v>167.13422077247148</v>
      </c>
      <c r="AJ62" s="14">
        <v>141.19156232765135</v>
      </c>
      <c r="AK62" s="14">
        <v>144.40138193162838</v>
      </c>
      <c r="AL62" s="14">
        <v>143.97957935546887</v>
      </c>
      <c r="AM62" s="14">
        <v>150.94942192379179</v>
      </c>
      <c r="AN62" s="14">
        <v>160.90188270845846</v>
      </c>
      <c r="AO62" s="14">
        <v>173.24845811518421</v>
      </c>
      <c r="AP62" s="14">
        <v>187.66324615352104</v>
      </c>
      <c r="AQ62" s="14">
        <v>185.84463504635124</v>
      </c>
      <c r="AR62" s="14">
        <v>171.5113475057789</v>
      </c>
      <c r="AS62" s="14">
        <v>167.13422077247148</v>
      </c>
    </row>
    <row r="63" spans="1:45" x14ac:dyDescent="0.35">
      <c r="A63" s="15">
        <v>1608.4196939999999</v>
      </c>
      <c r="B63" s="14">
        <v>144.24898100083962</v>
      </c>
      <c r="C63" s="14">
        <v>143.56177680373952</v>
      </c>
      <c r="D63" s="14">
        <v>143.92527902382966</v>
      </c>
      <c r="E63" s="14">
        <v>150.88742154512417</v>
      </c>
      <c r="F63" s="14">
        <v>160.8336822919247</v>
      </c>
      <c r="G63" s="14">
        <v>173.17065764001725</v>
      </c>
      <c r="H63" s="14">
        <v>187.57184559529216</v>
      </c>
      <c r="I63" s="14">
        <v>185.74613444475844</v>
      </c>
      <c r="J63" s="14">
        <v>193.41908130729144</v>
      </c>
      <c r="K63" s="14">
        <v>190.7928652676739</v>
      </c>
      <c r="L63" s="14">
        <v>188.36385043246253</v>
      </c>
      <c r="M63" s="14">
        <v>185.85593511536655</v>
      </c>
      <c r="N63" s="14">
        <v>180.29570115623011</v>
      </c>
      <c r="O63" s="14">
        <v>177.17038206834002</v>
      </c>
      <c r="P63" s="14">
        <v>175.57517232559391</v>
      </c>
      <c r="Q63" s="14">
        <v>171.40894688036661</v>
      </c>
      <c r="R63" s="15">
        <v>167.03532016843619</v>
      </c>
      <c r="S63" s="14">
        <v>142.88297265794222</v>
      </c>
      <c r="T63" s="14">
        <v>143.56177680373952</v>
      </c>
      <c r="U63" s="14">
        <v>143.92527902382966</v>
      </c>
      <c r="V63" s="14">
        <v>150.88742154512417</v>
      </c>
      <c r="W63" s="14">
        <v>160.8336822919247</v>
      </c>
      <c r="X63" s="14">
        <v>173.17065764001725</v>
      </c>
      <c r="Y63" s="14">
        <v>187.57184559529216</v>
      </c>
      <c r="Z63" s="14">
        <v>185.74613444475844</v>
      </c>
      <c r="AA63" s="14">
        <v>193.41908130729144</v>
      </c>
      <c r="AB63" s="14">
        <v>190.7928652676739</v>
      </c>
      <c r="AC63" s="14">
        <v>188.36385043246253</v>
      </c>
      <c r="AD63" s="14">
        <v>185.85593511536655</v>
      </c>
      <c r="AE63" s="14">
        <v>180.29570115623011</v>
      </c>
      <c r="AF63" s="14">
        <v>177.17038206834002</v>
      </c>
      <c r="AG63" s="14">
        <v>175.57517232559391</v>
      </c>
      <c r="AH63" s="14">
        <v>171.40894688036661</v>
      </c>
      <c r="AI63" s="15">
        <v>167.03532016843619</v>
      </c>
      <c r="AJ63" s="14">
        <v>141.14416203815409</v>
      </c>
      <c r="AK63" s="14">
        <v>144.35168162808384</v>
      </c>
      <c r="AL63" s="14">
        <v>143.92527902382966</v>
      </c>
      <c r="AM63" s="14">
        <v>150.88742154512417</v>
      </c>
      <c r="AN63" s="14">
        <v>160.8336822919247</v>
      </c>
      <c r="AO63" s="14">
        <v>173.17065764001725</v>
      </c>
      <c r="AP63" s="14">
        <v>187.57184559529216</v>
      </c>
      <c r="AQ63" s="14">
        <v>185.74613444475844</v>
      </c>
      <c r="AR63" s="14">
        <v>171.40894688036661</v>
      </c>
      <c r="AS63" s="14">
        <v>167.03532016843619</v>
      </c>
    </row>
    <row r="64" spans="1:45" x14ac:dyDescent="0.35">
      <c r="A64" s="15">
        <v>1631.1364380000002</v>
      </c>
      <c r="B64" s="14">
        <v>144.19558067469745</v>
      </c>
      <c r="C64" s="14">
        <v>143.50397645072331</v>
      </c>
      <c r="D64" s="14">
        <v>143.86737867020284</v>
      </c>
      <c r="E64" s="14">
        <v>150.82172114385901</v>
      </c>
      <c r="F64" s="14">
        <v>160.76178185279269</v>
      </c>
      <c r="G64" s="14">
        <v>173.08945714408537</v>
      </c>
      <c r="H64" s="14">
        <v>187.47694501568631</v>
      </c>
      <c r="I64" s="14">
        <v>185.64423382240071</v>
      </c>
      <c r="J64" s="14">
        <v>193.31188065256322</v>
      </c>
      <c r="K64" s="14">
        <v>190.68736462332853</v>
      </c>
      <c r="L64" s="14">
        <v>188.26024979972124</v>
      </c>
      <c r="M64" s="14">
        <v>185.75043447102118</v>
      </c>
      <c r="N64" s="14">
        <v>180.19260052654272</v>
      </c>
      <c r="O64" s="14">
        <v>177.06558142826978</v>
      </c>
      <c r="P64" s="14">
        <v>175.46937167941667</v>
      </c>
      <c r="Q64" s="14">
        <v>171.30304623357873</v>
      </c>
      <c r="R64" s="15">
        <v>166.93291954302387</v>
      </c>
      <c r="S64" s="14">
        <v>142.8315723440148</v>
      </c>
      <c r="T64" s="14">
        <v>143.50397645072331</v>
      </c>
      <c r="U64" s="14">
        <v>143.86737867020284</v>
      </c>
      <c r="V64" s="14">
        <v>150.82172114385901</v>
      </c>
      <c r="W64" s="14">
        <v>160.76178185279269</v>
      </c>
      <c r="X64" s="14">
        <v>173.08945714408537</v>
      </c>
      <c r="Y64" s="14">
        <v>187.47694501568631</v>
      </c>
      <c r="Z64" s="14">
        <v>185.64423382240071</v>
      </c>
      <c r="AA64" s="14">
        <v>193.31188065256322</v>
      </c>
      <c r="AB64" s="14">
        <v>190.68736462332853</v>
      </c>
      <c r="AC64" s="14">
        <v>188.26024979972124</v>
      </c>
      <c r="AD64" s="14">
        <v>185.75043447102118</v>
      </c>
      <c r="AE64" s="14">
        <v>180.19260052654272</v>
      </c>
      <c r="AF64" s="14">
        <v>177.06558142826978</v>
      </c>
      <c r="AG64" s="14">
        <v>175.46937167941667</v>
      </c>
      <c r="AH64" s="14">
        <v>171.30304623357873</v>
      </c>
      <c r="AI64" s="15">
        <v>166.93291954302387</v>
      </c>
      <c r="AJ64" s="14">
        <v>141.09336172789116</v>
      </c>
      <c r="AK64" s="14">
        <v>144.29828130194167</v>
      </c>
      <c r="AL64" s="14">
        <v>143.86737867020284</v>
      </c>
      <c r="AM64" s="14">
        <v>150.82172114385901</v>
      </c>
      <c r="AN64" s="14">
        <v>160.76178185279269</v>
      </c>
      <c r="AO64" s="14">
        <v>173.08945714408537</v>
      </c>
      <c r="AP64" s="14">
        <v>187.47694501568631</v>
      </c>
      <c r="AQ64" s="14">
        <v>185.64423382240071</v>
      </c>
      <c r="AR64" s="14">
        <v>171.30304623357873</v>
      </c>
      <c r="AS64" s="14">
        <v>166.93291954302387</v>
      </c>
    </row>
    <row r="65" spans="1:45" x14ac:dyDescent="0.35">
      <c r="A65" s="15">
        <v>1653.8547060000001</v>
      </c>
      <c r="B65" s="14">
        <v>144.13858032656771</v>
      </c>
      <c r="C65" s="14">
        <v>143.44257607572086</v>
      </c>
      <c r="D65" s="14">
        <v>143.80587829458906</v>
      </c>
      <c r="E65" s="14">
        <v>150.75242072060621</v>
      </c>
      <c r="F65" s="14">
        <v>160.68618139106243</v>
      </c>
      <c r="G65" s="14">
        <v>173.00465662616585</v>
      </c>
      <c r="H65" s="14">
        <v>187.37854441470483</v>
      </c>
      <c r="I65" s="14">
        <v>185.5389331792766</v>
      </c>
      <c r="J65" s="14">
        <v>193.20127997706936</v>
      </c>
      <c r="K65" s="14">
        <v>190.57836395760688</v>
      </c>
      <c r="L65" s="14">
        <v>188.15304914499305</v>
      </c>
      <c r="M65" s="14">
        <v>185.64143380529953</v>
      </c>
      <c r="N65" s="14">
        <v>180.08589987486837</v>
      </c>
      <c r="O65" s="14">
        <v>176.95738076743385</v>
      </c>
      <c r="P65" s="14">
        <v>175.35997101125176</v>
      </c>
      <c r="Q65" s="14">
        <v>171.19364556541382</v>
      </c>
      <c r="R65" s="15">
        <v>166.82701889623596</v>
      </c>
      <c r="S65" s="14">
        <v>142.77677200932172</v>
      </c>
      <c r="T65" s="14">
        <v>143.44257607572086</v>
      </c>
      <c r="U65" s="14">
        <v>143.80587829458906</v>
      </c>
      <c r="V65" s="14">
        <v>150.75242072060621</v>
      </c>
      <c r="W65" s="14">
        <v>160.68618139106243</v>
      </c>
      <c r="X65" s="14">
        <v>173.00465662616585</v>
      </c>
      <c r="Y65" s="14">
        <v>187.37854441470483</v>
      </c>
      <c r="Z65" s="14">
        <v>185.5389331792766</v>
      </c>
      <c r="AA65" s="14">
        <v>193.20127997706936</v>
      </c>
      <c r="AB65" s="14">
        <v>190.57836395760688</v>
      </c>
      <c r="AC65" s="14">
        <v>188.15304914499305</v>
      </c>
      <c r="AD65" s="14">
        <v>185.64143380529953</v>
      </c>
      <c r="AE65" s="14">
        <v>180.08589987486837</v>
      </c>
      <c r="AF65" s="14">
        <v>176.95738076743385</v>
      </c>
      <c r="AG65" s="14">
        <v>175.35997101125176</v>
      </c>
      <c r="AH65" s="14">
        <v>171.19364556541382</v>
      </c>
      <c r="AI65" s="15">
        <v>166.82701889623596</v>
      </c>
      <c r="AJ65" s="14">
        <v>141.03916139686257</v>
      </c>
      <c r="AK65" s="14">
        <v>144.24128095381189</v>
      </c>
      <c r="AL65" s="14">
        <v>143.80587829458906</v>
      </c>
      <c r="AM65" s="14">
        <v>150.75242072060621</v>
      </c>
      <c r="AN65" s="14">
        <v>160.68618139106243</v>
      </c>
      <c r="AO65" s="14">
        <v>173.00465662616585</v>
      </c>
      <c r="AP65" s="14">
        <v>187.37854441470483</v>
      </c>
      <c r="AQ65" s="14">
        <v>185.5389331792766</v>
      </c>
      <c r="AR65" s="14">
        <v>171.19364556541382</v>
      </c>
      <c r="AS65" s="14">
        <v>166.82701889623596</v>
      </c>
    </row>
    <row r="66" spans="1:45" x14ac:dyDescent="0.35">
      <c r="A66" s="15">
        <v>1676.5767840000001</v>
      </c>
      <c r="B66" s="14">
        <v>144.07257992346996</v>
      </c>
      <c r="C66" s="14">
        <v>143.37207564513912</v>
      </c>
      <c r="D66" s="14">
        <v>143.735377864008</v>
      </c>
      <c r="E66" s="14">
        <v>150.67402024177548</v>
      </c>
      <c r="F66" s="14">
        <v>160.6016808749755</v>
      </c>
      <c r="G66" s="14">
        <v>172.91125605572225</v>
      </c>
      <c r="H66" s="14">
        <v>187.2715437611979</v>
      </c>
      <c r="I66" s="14">
        <v>185.42503248362769</v>
      </c>
      <c r="J66" s="14">
        <v>193.08197924844012</v>
      </c>
      <c r="K66" s="14">
        <v>190.4607632393604</v>
      </c>
      <c r="L66" s="14">
        <v>188.03724843774006</v>
      </c>
      <c r="M66" s="14">
        <v>185.5238330870524</v>
      </c>
      <c r="N66" s="14">
        <v>179.97059917066926</v>
      </c>
      <c r="O66" s="14">
        <v>176.84048005346253</v>
      </c>
      <c r="P66" s="14">
        <v>175.24207029117275</v>
      </c>
      <c r="Q66" s="14">
        <v>171.07584484594543</v>
      </c>
      <c r="R66" s="15">
        <v>166.71271819814388</v>
      </c>
      <c r="S66" s="14">
        <v>142.71327162149254</v>
      </c>
      <c r="T66" s="14">
        <v>143.37207564513912</v>
      </c>
      <c r="U66" s="14">
        <v>143.735377864008</v>
      </c>
      <c r="V66" s="14">
        <v>150.67402024177548</v>
      </c>
      <c r="W66" s="14">
        <v>160.6016808749755</v>
      </c>
      <c r="X66" s="14">
        <v>172.91125605572225</v>
      </c>
      <c r="Y66" s="14">
        <v>187.2715437611979</v>
      </c>
      <c r="Z66" s="14">
        <v>185.42503248362769</v>
      </c>
      <c r="AA66" s="14">
        <v>193.08197924844012</v>
      </c>
      <c r="AB66" s="14">
        <v>190.4607632393604</v>
      </c>
      <c r="AC66" s="14">
        <v>188.03724843774006</v>
      </c>
      <c r="AD66" s="14">
        <v>185.5238330870524</v>
      </c>
      <c r="AE66" s="14">
        <v>179.97059917066926</v>
      </c>
      <c r="AF66" s="14">
        <v>176.84048005346253</v>
      </c>
      <c r="AG66" s="14">
        <v>175.24207029117275</v>
      </c>
      <c r="AH66" s="14">
        <v>171.07584484594543</v>
      </c>
      <c r="AI66" s="15">
        <v>166.71271819814388</v>
      </c>
      <c r="AJ66" s="14">
        <v>140.9763610133092</v>
      </c>
      <c r="AK66" s="14">
        <v>144.17538055132479</v>
      </c>
      <c r="AL66" s="14">
        <v>143.735377864008</v>
      </c>
      <c r="AM66" s="14">
        <v>150.67402024177548</v>
      </c>
      <c r="AN66" s="14">
        <v>160.6016808749755</v>
      </c>
      <c r="AO66" s="14">
        <v>172.91125605572225</v>
      </c>
      <c r="AP66" s="14">
        <v>187.2715437611979</v>
      </c>
      <c r="AQ66" s="14">
        <v>185.42503248362769</v>
      </c>
      <c r="AR66" s="14">
        <v>171.07584484594543</v>
      </c>
      <c r="AS66" s="14">
        <v>166.71271819814388</v>
      </c>
    </row>
    <row r="67" spans="1:45" x14ac:dyDescent="0.35">
      <c r="A67" s="15">
        <v>1699.3026720000003</v>
      </c>
      <c r="B67" s="14">
        <v>143.99767946601551</v>
      </c>
      <c r="C67" s="14">
        <v>143.29247515897941</v>
      </c>
      <c r="D67" s="14">
        <v>143.65587737845894</v>
      </c>
      <c r="E67" s="14">
        <v>150.58661970797675</v>
      </c>
      <c r="F67" s="14">
        <v>160.5081803039206</v>
      </c>
      <c r="G67" s="14">
        <v>172.80915543214255</v>
      </c>
      <c r="H67" s="14">
        <v>187.1560430557775</v>
      </c>
      <c r="I67" s="14">
        <v>185.30273173667601</v>
      </c>
      <c r="J67" s="14">
        <v>192.9541784678967</v>
      </c>
      <c r="K67" s="14">
        <v>190.33436246736727</v>
      </c>
      <c r="L67" s="14">
        <v>187.91264767674105</v>
      </c>
      <c r="M67" s="14">
        <v>185.39753231567056</v>
      </c>
      <c r="N67" s="14">
        <v>179.84659841333473</v>
      </c>
      <c r="O67" s="14">
        <v>176.71507928757777</v>
      </c>
      <c r="P67" s="14">
        <v>175.11546951795901</v>
      </c>
      <c r="Q67" s="14">
        <v>170.94944407395295</v>
      </c>
      <c r="R67" s="15">
        <v>166.58991744813832</v>
      </c>
      <c r="S67" s="14">
        <v>142.64107118052866</v>
      </c>
      <c r="T67" s="14">
        <v>143.29247515897941</v>
      </c>
      <c r="U67" s="14">
        <v>143.65587737845894</v>
      </c>
      <c r="V67" s="14">
        <v>150.58661970797675</v>
      </c>
      <c r="W67" s="14">
        <v>160.5081803039206</v>
      </c>
      <c r="X67" s="14">
        <v>172.80915543214255</v>
      </c>
      <c r="Y67" s="14">
        <v>187.1560430557775</v>
      </c>
      <c r="Z67" s="14">
        <v>185.30273173667601</v>
      </c>
      <c r="AA67" s="14">
        <v>192.9541784678967</v>
      </c>
      <c r="AB67" s="14">
        <v>190.33436246736727</v>
      </c>
      <c r="AC67" s="14">
        <v>187.91264767674105</v>
      </c>
      <c r="AD67" s="14">
        <v>185.39753231567056</v>
      </c>
      <c r="AE67" s="14">
        <v>179.84659841333473</v>
      </c>
      <c r="AF67" s="14">
        <v>176.71507928757777</v>
      </c>
      <c r="AG67" s="14">
        <v>175.11546951795901</v>
      </c>
      <c r="AH67" s="14">
        <v>170.94944407395295</v>
      </c>
      <c r="AI67" s="15">
        <v>166.58991744813832</v>
      </c>
      <c r="AJ67" s="14">
        <v>140.90506057784168</v>
      </c>
      <c r="AK67" s="14">
        <v>144.1003800932597</v>
      </c>
      <c r="AL67" s="14">
        <v>143.65587737845894</v>
      </c>
      <c r="AM67" s="14">
        <v>150.58661970797675</v>
      </c>
      <c r="AN67" s="14">
        <v>160.5081803039206</v>
      </c>
      <c r="AO67" s="14">
        <v>172.80915543214255</v>
      </c>
      <c r="AP67" s="14">
        <v>187.1560430557775</v>
      </c>
      <c r="AQ67" s="14">
        <v>185.30273173667601</v>
      </c>
      <c r="AR67" s="14">
        <v>170.94944407395295</v>
      </c>
      <c r="AS67" s="14">
        <v>166.58991744813832</v>
      </c>
    </row>
    <row r="68" spans="1:45" x14ac:dyDescent="0.35">
      <c r="A68" s="15">
        <v>1722.0293220000001</v>
      </c>
      <c r="B68" s="14">
        <v>143.92207900428528</v>
      </c>
      <c r="C68" s="14">
        <v>143.21227466915451</v>
      </c>
      <c r="D68" s="14">
        <v>143.57577688924468</v>
      </c>
      <c r="E68" s="14">
        <v>150.49861917051285</v>
      </c>
      <c r="F68" s="14">
        <v>160.41387972797989</v>
      </c>
      <c r="G68" s="14">
        <v>172.70635480428771</v>
      </c>
      <c r="H68" s="14">
        <v>187.03984234608134</v>
      </c>
      <c r="I68" s="14">
        <v>185.1798309860591</v>
      </c>
      <c r="J68" s="14">
        <v>192.82577768368878</v>
      </c>
      <c r="K68" s="14">
        <v>190.20746169232021</v>
      </c>
      <c r="L68" s="14">
        <v>187.78754691268819</v>
      </c>
      <c r="M68" s="14">
        <v>185.27063154062421</v>
      </c>
      <c r="N68" s="14">
        <v>179.72199765233498</v>
      </c>
      <c r="O68" s="14">
        <v>176.58897851741648</v>
      </c>
      <c r="P68" s="14">
        <v>174.98826874108005</v>
      </c>
      <c r="Q68" s="14">
        <v>170.82254329890588</v>
      </c>
      <c r="R68" s="15">
        <v>166.46651669446825</v>
      </c>
      <c r="S68" s="14">
        <v>142.56837073651019</v>
      </c>
      <c r="T68" s="14">
        <v>143.21227466915451</v>
      </c>
      <c r="U68" s="14">
        <v>143.57577688924468</v>
      </c>
      <c r="V68" s="14">
        <v>150.49861917051285</v>
      </c>
      <c r="W68" s="14">
        <v>160.41387972797989</v>
      </c>
      <c r="X68" s="14">
        <v>172.70635480428771</v>
      </c>
      <c r="Y68" s="14">
        <v>187.03984234608134</v>
      </c>
      <c r="Z68" s="14">
        <v>185.1798309860591</v>
      </c>
      <c r="AA68" s="14">
        <v>192.82577768368878</v>
      </c>
      <c r="AB68" s="14">
        <v>190.20746169232021</v>
      </c>
      <c r="AC68" s="14">
        <v>187.78754691268819</v>
      </c>
      <c r="AD68" s="14">
        <v>185.27063154062421</v>
      </c>
      <c r="AE68" s="14">
        <v>179.72199765233498</v>
      </c>
      <c r="AF68" s="14">
        <v>176.58897851741648</v>
      </c>
      <c r="AG68" s="14">
        <v>174.98826874108005</v>
      </c>
      <c r="AH68" s="14">
        <v>170.82254329890588</v>
      </c>
      <c r="AI68" s="15">
        <v>166.46651669446825</v>
      </c>
      <c r="AJ68" s="14">
        <v>140.83306013809835</v>
      </c>
      <c r="AK68" s="14">
        <v>144.02477963152947</v>
      </c>
      <c r="AL68" s="14">
        <v>143.57577688924468</v>
      </c>
      <c r="AM68" s="14">
        <v>150.49861917051285</v>
      </c>
      <c r="AN68" s="14">
        <v>160.41387972797989</v>
      </c>
      <c r="AO68" s="14">
        <v>172.70635480428771</v>
      </c>
      <c r="AP68" s="14">
        <v>187.03984234608134</v>
      </c>
      <c r="AQ68" s="14">
        <v>185.1798309860591</v>
      </c>
      <c r="AR68" s="14">
        <v>170.82254329890588</v>
      </c>
      <c r="AS68" s="14">
        <v>166.46651669446825</v>
      </c>
    </row>
    <row r="69" spans="1:45" x14ac:dyDescent="0.35">
      <c r="A69" s="15">
        <v>1744.7567340000001</v>
      </c>
      <c r="B69" s="14">
        <v>143.84587853889121</v>
      </c>
      <c r="C69" s="14">
        <v>143.13127417444389</v>
      </c>
      <c r="D69" s="14">
        <v>143.49497639575532</v>
      </c>
      <c r="E69" s="14">
        <v>150.40991862877451</v>
      </c>
      <c r="F69" s="14">
        <v>160.3188791477634</v>
      </c>
      <c r="G69" s="14">
        <v>172.60295417276771</v>
      </c>
      <c r="H69" s="14">
        <v>186.92314163333128</v>
      </c>
      <c r="I69" s="14">
        <v>185.05643023238909</v>
      </c>
      <c r="J69" s="14">
        <v>192.69687689642703</v>
      </c>
      <c r="K69" s="14">
        <v>190.0799609136094</v>
      </c>
      <c r="L69" s="14">
        <v>187.66164614374884</v>
      </c>
      <c r="M69" s="14">
        <v>185.14313076191269</v>
      </c>
      <c r="N69" s="14">
        <v>179.59669688706086</v>
      </c>
      <c r="O69" s="14">
        <v>176.46227774359139</v>
      </c>
      <c r="P69" s="14">
        <v>174.86046796053662</v>
      </c>
      <c r="Q69" s="14">
        <v>170.69504252019507</v>
      </c>
      <c r="R69" s="15">
        <v>166.34261593774366</v>
      </c>
      <c r="S69" s="14">
        <v>142.49507028882797</v>
      </c>
      <c r="T69" s="14">
        <v>143.13127417444389</v>
      </c>
      <c r="U69" s="14">
        <v>143.49497639575532</v>
      </c>
      <c r="V69" s="14">
        <v>150.40991862877451</v>
      </c>
      <c r="W69" s="14">
        <v>160.3188791477634</v>
      </c>
      <c r="X69" s="14">
        <v>172.60295417276771</v>
      </c>
      <c r="Y69" s="14">
        <v>186.92314163333128</v>
      </c>
      <c r="Z69" s="14">
        <v>185.05643023238909</v>
      </c>
      <c r="AA69" s="14">
        <v>192.69687689642703</v>
      </c>
      <c r="AB69" s="14">
        <v>190.0799609136094</v>
      </c>
      <c r="AC69" s="14">
        <v>187.66164614374884</v>
      </c>
      <c r="AD69" s="14">
        <v>185.14313076191269</v>
      </c>
      <c r="AE69" s="14">
        <v>179.59669688706086</v>
      </c>
      <c r="AF69" s="14">
        <v>176.46227774359139</v>
      </c>
      <c r="AG69" s="14">
        <v>174.86046796053662</v>
      </c>
      <c r="AH69" s="14">
        <v>170.69504252019507</v>
      </c>
      <c r="AI69" s="15">
        <v>166.34261593774366</v>
      </c>
      <c r="AJ69" s="14">
        <v>140.76055969530188</v>
      </c>
      <c r="AK69" s="14">
        <v>143.94857916613543</v>
      </c>
      <c r="AL69" s="14">
        <v>143.49497639575532</v>
      </c>
      <c r="AM69" s="14">
        <v>150.40991862877451</v>
      </c>
      <c r="AN69" s="14">
        <v>160.3188791477634</v>
      </c>
      <c r="AO69" s="14">
        <v>172.60295417276771</v>
      </c>
      <c r="AP69" s="14">
        <v>186.92314163333128</v>
      </c>
      <c r="AQ69" s="14">
        <v>185.05643023238909</v>
      </c>
      <c r="AR69" s="14">
        <v>170.69504252019507</v>
      </c>
      <c r="AS69" s="14">
        <v>166.34261593774366</v>
      </c>
    </row>
    <row r="70" spans="1:45" x14ac:dyDescent="0.35">
      <c r="A70" s="15">
        <v>1767.4780500000002</v>
      </c>
      <c r="B70" s="14">
        <v>143.78297815472652</v>
      </c>
      <c r="C70" s="14">
        <v>143.06357376096329</v>
      </c>
      <c r="D70" s="14">
        <v>143.42757598410731</v>
      </c>
      <c r="E70" s="14">
        <v>150.33441816765489</v>
      </c>
      <c r="F70" s="14">
        <v>160.23677864633444</v>
      </c>
      <c r="G70" s="14">
        <v>172.51225361881393</v>
      </c>
      <c r="H70" s="14">
        <v>186.81904099753683</v>
      </c>
      <c r="I70" s="14">
        <v>184.94592955750585</v>
      </c>
      <c r="J70" s="14">
        <v>192.58077618734211</v>
      </c>
      <c r="K70" s="14">
        <v>189.9651602124641</v>
      </c>
      <c r="L70" s="14">
        <v>187.54854545298639</v>
      </c>
      <c r="M70" s="14">
        <v>185.02843006137806</v>
      </c>
      <c r="N70" s="14">
        <v>179.48409619935157</v>
      </c>
      <c r="O70" s="14">
        <v>176.34837704794319</v>
      </c>
      <c r="P70" s="14">
        <v>174.74546725816941</v>
      </c>
      <c r="Q70" s="14">
        <v>170.5802418190498</v>
      </c>
      <c r="R70" s="15">
        <v>166.23111525675341</v>
      </c>
      <c r="S70" s="14">
        <v>142.43446991871059</v>
      </c>
      <c r="T70" s="14">
        <v>143.06357376096329</v>
      </c>
      <c r="U70" s="14">
        <v>143.42757598410731</v>
      </c>
      <c r="V70" s="14">
        <v>150.33441816765489</v>
      </c>
      <c r="W70" s="14">
        <v>160.23677864633444</v>
      </c>
      <c r="X70" s="14">
        <v>172.51225361881393</v>
      </c>
      <c r="Y70" s="14">
        <v>186.81904099753683</v>
      </c>
      <c r="Z70" s="14">
        <v>184.94592955750585</v>
      </c>
      <c r="AA70" s="14">
        <v>192.58077618734211</v>
      </c>
      <c r="AB70" s="14">
        <v>189.9651602124641</v>
      </c>
      <c r="AC70" s="14">
        <v>187.54854545298639</v>
      </c>
      <c r="AD70" s="14">
        <v>185.02843006137806</v>
      </c>
      <c r="AE70" s="14">
        <v>179.48409619935157</v>
      </c>
      <c r="AF70" s="14">
        <v>176.34837704794319</v>
      </c>
      <c r="AG70" s="14">
        <v>174.74546725816941</v>
      </c>
      <c r="AH70" s="14">
        <v>170.5802418190498</v>
      </c>
      <c r="AI70" s="15">
        <v>166.23111525675341</v>
      </c>
      <c r="AJ70" s="14">
        <v>140.70065932946031</v>
      </c>
      <c r="AK70" s="14">
        <v>143.88567878197074</v>
      </c>
      <c r="AL70" s="14">
        <v>143.42757598410731</v>
      </c>
      <c r="AM70" s="14">
        <v>150.33441816765489</v>
      </c>
      <c r="AN70" s="14">
        <v>160.23677864633444</v>
      </c>
      <c r="AO70" s="14">
        <v>172.51225361881393</v>
      </c>
      <c r="AP70" s="14">
        <v>186.81904099753683</v>
      </c>
      <c r="AQ70" s="14">
        <v>184.94592955750585</v>
      </c>
      <c r="AR70" s="14">
        <v>170.5802418190498</v>
      </c>
      <c r="AS70" s="14">
        <v>166.23111525675341</v>
      </c>
    </row>
    <row r="71" spans="1:45" x14ac:dyDescent="0.35">
      <c r="A71" s="15">
        <v>1790.19327</v>
      </c>
      <c r="B71" s="14">
        <v>143.73337785179257</v>
      </c>
      <c r="C71" s="14">
        <v>143.00917342871344</v>
      </c>
      <c r="D71" s="14">
        <v>143.37347565369004</v>
      </c>
      <c r="E71" s="14">
        <v>150.27211778715537</v>
      </c>
      <c r="F71" s="14">
        <v>160.16767822430359</v>
      </c>
      <c r="G71" s="14">
        <v>172.43405314120449</v>
      </c>
      <c r="H71" s="14">
        <v>186.72774043991856</v>
      </c>
      <c r="I71" s="14">
        <v>184.84812896018889</v>
      </c>
      <c r="J71" s="14">
        <v>192.47757555704408</v>
      </c>
      <c r="K71" s="14">
        <v>189.86325959010568</v>
      </c>
      <c r="L71" s="14">
        <v>187.44824484040015</v>
      </c>
      <c r="M71" s="14">
        <v>184.92652943901959</v>
      </c>
      <c r="N71" s="14">
        <v>179.38419558920853</v>
      </c>
      <c r="O71" s="14">
        <v>176.24717642985991</v>
      </c>
      <c r="P71" s="14">
        <v>174.64316663336842</v>
      </c>
      <c r="Q71" s="14">
        <v>170.47824119608072</v>
      </c>
      <c r="R71" s="15">
        <v>166.13231465332873</v>
      </c>
      <c r="S71" s="14">
        <v>142.38676962738143</v>
      </c>
      <c r="T71" s="14">
        <v>143.00917342871344</v>
      </c>
      <c r="U71" s="14">
        <v>143.37347565369004</v>
      </c>
      <c r="V71" s="14">
        <v>150.27211778715537</v>
      </c>
      <c r="W71" s="14">
        <v>160.16767822430359</v>
      </c>
      <c r="X71" s="14">
        <v>172.43405314120449</v>
      </c>
      <c r="Y71" s="14">
        <v>186.72774043991856</v>
      </c>
      <c r="Z71" s="14">
        <v>184.84812896018889</v>
      </c>
      <c r="AA71" s="14">
        <v>192.47757555704408</v>
      </c>
      <c r="AB71" s="14">
        <v>189.86325959010568</v>
      </c>
      <c r="AC71" s="14">
        <v>187.44824484040015</v>
      </c>
      <c r="AD71" s="14">
        <v>184.92652943901959</v>
      </c>
      <c r="AE71" s="14">
        <v>179.38419558920853</v>
      </c>
      <c r="AF71" s="14">
        <v>176.24717642985991</v>
      </c>
      <c r="AG71" s="14">
        <v>174.64316663336842</v>
      </c>
      <c r="AH71" s="14">
        <v>170.47824119608072</v>
      </c>
      <c r="AI71" s="15">
        <v>166.13231465332873</v>
      </c>
      <c r="AJ71" s="14">
        <v>140.65345904118499</v>
      </c>
      <c r="AK71" s="14">
        <v>143.83607847903679</v>
      </c>
      <c r="AL71" s="14">
        <v>143.37347565369004</v>
      </c>
      <c r="AM71" s="14">
        <v>150.27211778715537</v>
      </c>
      <c r="AN71" s="14">
        <v>160.16767822430359</v>
      </c>
      <c r="AO71" s="14">
        <v>172.43405314120449</v>
      </c>
      <c r="AP71" s="14">
        <v>186.72774043991856</v>
      </c>
      <c r="AQ71" s="14">
        <v>184.84812896018889</v>
      </c>
      <c r="AR71" s="14">
        <v>170.47824119608072</v>
      </c>
      <c r="AS71" s="14">
        <v>166.13231465332873</v>
      </c>
    </row>
    <row r="72" spans="1:45" x14ac:dyDescent="0.35">
      <c r="A72" s="15">
        <v>1812.9062039999999</v>
      </c>
      <c r="B72" s="14">
        <v>143.69247760199474</v>
      </c>
      <c r="C72" s="14">
        <v>142.963473149599</v>
      </c>
      <c r="D72" s="14">
        <v>143.32797537579685</v>
      </c>
      <c r="E72" s="14">
        <v>150.21841745918064</v>
      </c>
      <c r="F72" s="14">
        <v>160.10687785296565</v>
      </c>
      <c r="G72" s="14">
        <v>172.36415271428791</v>
      </c>
      <c r="H72" s="14">
        <v>186.64473993299254</v>
      </c>
      <c r="I72" s="14">
        <v>184.75882841478605</v>
      </c>
      <c r="J72" s="14">
        <v>192.38267497743823</v>
      </c>
      <c r="K72" s="14">
        <v>189.76965901844011</v>
      </c>
      <c r="L72" s="14">
        <v>187.35614427789548</v>
      </c>
      <c r="M72" s="14">
        <v>184.83292886735404</v>
      </c>
      <c r="N72" s="14">
        <v>179.29259502975842</v>
      </c>
      <c r="O72" s="14">
        <v>176.15427586246946</v>
      </c>
      <c r="P72" s="14">
        <v>174.54916605925968</v>
      </c>
      <c r="Q72" s="14">
        <v>170.38454062380455</v>
      </c>
      <c r="R72" s="15">
        <v>166.04161409937498</v>
      </c>
      <c r="S72" s="14">
        <v>142.34736938674448</v>
      </c>
      <c r="T72" s="14">
        <v>142.963473149599</v>
      </c>
      <c r="U72" s="14">
        <v>143.32797537579685</v>
      </c>
      <c r="V72" s="14">
        <v>150.21841745918064</v>
      </c>
      <c r="W72" s="14">
        <v>160.10687785296565</v>
      </c>
      <c r="X72" s="14">
        <v>172.36415271428791</v>
      </c>
      <c r="Y72" s="14">
        <v>186.64473993299254</v>
      </c>
      <c r="Z72" s="14">
        <v>184.75882841478605</v>
      </c>
      <c r="AA72" s="14">
        <v>192.38267497743823</v>
      </c>
      <c r="AB72" s="14">
        <v>189.76965901844011</v>
      </c>
      <c r="AC72" s="14">
        <v>187.35614427789548</v>
      </c>
      <c r="AD72" s="14">
        <v>184.83292886735404</v>
      </c>
      <c r="AE72" s="14">
        <v>179.29259502975842</v>
      </c>
      <c r="AF72" s="14">
        <v>176.15427586246946</v>
      </c>
      <c r="AG72" s="14">
        <v>174.54916605925968</v>
      </c>
      <c r="AH72" s="14">
        <v>170.38454062380455</v>
      </c>
      <c r="AI72" s="15">
        <v>166.04161409937498</v>
      </c>
      <c r="AJ72" s="14">
        <v>140.61455880360117</v>
      </c>
      <c r="AK72" s="14">
        <v>143.79517822923893</v>
      </c>
      <c r="AL72" s="14">
        <v>143.32797537579685</v>
      </c>
      <c r="AM72" s="14">
        <v>150.21841745918064</v>
      </c>
      <c r="AN72" s="14">
        <v>160.10687785296565</v>
      </c>
      <c r="AO72" s="14">
        <v>172.36415271428791</v>
      </c>
      <c r="AP72" s="14">
        <v>186.64473993299254</v>
      </c>
      <c r="AQ72" s="14">
        <v>184.75882841478605</v>
      </c>
      <c r="AR72" s="14">
        <v>170.38454062380455</v>
      </c>
      <c r="AS72" s="14">
        <v>166.04161409937498</v>
      </c>
    </row>
    <row r="73" spans="1:45" x14ac:dyDescent="0.35">
      <c r="A73" s="15">
        <v>1835.6168520000001</v>
      </c>
      <c r="B73" s="14">
        <v>143.66017740472097</v>
      </c>
      <c r="C73" s="14">
        <v>142.92637292300935</v>
      </c>
      <c r="D73" s="14">
        <v>143.29127515164976</v>
      </c>
      <c r="E73" s="14">
        <v>150.17331718373069</v>
      </c>
      <c r="F73" s="14">
        <v>160.05457753354116</v>
      </c>
      <c r="G73" s="14">
        <v>172.30235233684155</v>
      </c>
      <c r="H73" s="14">
        <v>186.56993947614873</v>
      </c>
      <c r="I73" s="14">
        <v>184.67782792007543</v>
      </c>
      <c r="J73" s="14">
        <v>192.29627444974719</v>
      </c>
      <c r="K73" s="14">
        <v>189.68445849807807</v>
      </c>
      <c r="L73" s="14">
        <v>187.27244376669501</v>
      </c>
      <c r="M73" s="14">
        <v>184.74762834638136</v>
      </c>
      <c r="N73" s="14">
        <v>179.20929452100046</v>
      </c>
      <c r="O73" s="14">
        <v>176.0697753463825</v>
      </c>
      <c r="P73" s="14">
        <v>174.46346553584374</v>
      </c>
      <c r="Q73" s="14">
        <v>170.29914010222052</v>
      </c>
      <c r="R73" s="15">
        <v>165.95911359550277</v>
      </c>
      <c r="S73" s="14">
        <v>142.3163691974103</v>
      </c>
      <c r="T73" s="14">
        <v>142.92637292300935</v>
      </c>
      <c r="U73" s="14">
        <v>143.29127515164976</v>
      </c>
      <c r="V73" s="14">
        <v>150.17331718373069</v>
      </c>
      <c r="W73" s="14">
        <v>160.05457753354116</v>
      </c>
      <c r="X73" s="14">
        <v>172.30235233684155</v>
      </c>
      <c r="Y73" s="14">
        <v>186.56993947614873</v>
      </c>
      <c r="Z73" s="14">
        <v>184.67782792007543</v>
      </c>
      <c r="AA73" s="14">
        <v>192.29627444974719</v>
      </c>
      <c r="AB73" s="14">
        <v>189.68445849807807</v>
      </c>
      <c r="AC73" s="14">
        <v>187.27244376669501</v>
      </c>
      <c r="AD73" s="14">
        <v>184.74762834638136</v>
      </c>
      <c r="AE73" s="14">
        <v>179.20929452100046</v>
      </c>
      <c r="AF73" s="14">
        <v>176.0697753463825</v>
      </c>
      <c r="AG73" s="14">
        <v>174.46346553584374</v>
      </c>
      <c r="AH73" s="14">
        <v>170.29914010222052</v>
      </c>
      <c r="AI73" s="15">
        <v>165.95911359550277</v>
      </c>
      <c r="AJ73" s="14">
        <v>140.58385861610031</v>
      </c>
      <c r="AK73" s="14">
        <v>143.76287803196519</v>
      </c>
      <c r="AL73" s="14">
        <v>143.29127515164976</v>
      </c>
      <c r="AM73" s="14">
        <v>150.17331718373069</v>
      </c>
      <c r="AN73" s="14">
        <v>160.05457753354116</v>
      </c>
      <c r="AO73" s="14">
        <v>172.30235233684155</v>
      </c>
      <c r="AP73" s="14">
        <v>186.56993947614873</v>
      </c>
      <c r="AQ73" s="14">
        <v>184.67782792007543</v>
      </c>
      <c r="AR73" s="14">
        <v>170.29914010222052</v>
      </c>
      <c r="AS73" s="14">
        <v>165.95911359550277</v>
      </c>
    </row>
    <row r="74" spans="1:45" x14ac:dyDescent="0.35">
      <c r="A74" s="15">
        <v>1858.3290240000001</v>
      </c>
      <c r="B74" s="14">
        <v>143.62227717324558</v>
      </c>
      <c r="C74" s="14">
        <v>142.88357266160671</v>
      </c>
      <c r="D74" s="14">
        <v>143.24887489269031</v>
      </c>
      <c r="E74" s="14">
        <v>150.12251687346776</v>
      </c>
      <c r="F74" s="14">
        <v>159.99677718052567</v>
      </c>
      <c r="G74" s="14">
        <v>172.23505192580419</v>
      </c>
      <c r="H74" s="14">
        <v>186.48973898632451</v>
      </c>
      <c r="I74" s="14">
        <v>184.59162739360497</v>
      </c>
      <c r="J74" s="14">
        <v>192.20437388846446</v>
      </c>
      <c r="K74" s="14">
        <v>189.59365794351365</v>
      </c>
      <c r="L74" s="14">
        <v>187.18314322129149</v>
      </c>
      <c r="M74" s="14">
        <v>184.65692779242761</v>
      </c>
      <c r="N74" s="14">
        <v>179.12049397865079</v>
      </c>
      <c r="O74" s="14">
        <v>175.97977479670459</v>
      </c>
      <c r="P74" s="14">
        <v>174.37236497944679</v>
      </c>
      <c r="Q74" s="14">
        <v>170.20843954826677</v>
      </c>
      <c r="R74" s="15">
        <v>165.87121305865017</v>
      </c>
      <c r="S74" s="14">
        <v>142.27986897448514</v>
      </c>
      <c r="T74" s="14">
        <v>142.88357266160671</v>
      </c>
      <c r="U74" s="14">
        <v>143.24887489269031</v>
      </c>
      <c r="V74" s="14">
        <v>150.12251687346776</v>
      </c>
      <c r="W74" s="14">
        <v>159.99677718052567</v>
      </c>
      <c r="X74" s="14">
        <v>172.23505192580419</v>
      </c>
      <c r="Y74" s="14">
        <v>186.48973898632451</v>
      </c>
      <c r="Z74" s="14">
        <v>184.59162739360497</v>
      </c>
      <c r="AA74" s="14">
        <v>192.20437388846446</v>
      </c>
      <c r="AB74" s="14">
        <v>189.59365794351365</v>
      </c>
      <c r="AC74" s="14">
        <v>187.18314322129149</v>
      </c>
      <c r="AD74" s="14">
        <v>184.65692779242761</v>
      </c>
      <c r="AE74" s="14">
        <v>179.12049397865079</v>
      </c>
      <c r="AF74" s="14">
        <v>175.97977479670459</v>
      </c>
      <c r="AG74" s="14">
        <v>174.37236497944679</v>
      </c>
      <c r="AH74" s="14">
        <v>170.20843954826677</v>
      </c>
      <c r="AI74" s="15">
        <v>165.87121305865017</v>
      </c>
      <c r="AJ74" s="14">
        <v>140.54775839561768</v>
      </c>
      <c r="AK74" s="14">
        <v>143.72497780048974</v>
      </c>
      <c r="AL74" s="14">
        <v>143.24887489269031</v>
      </c>
      <c r="AM74" s="14">
        <v>150.12251687346776</v>
      </c>
      <c r="AN74" s="14">
        <v>159.99677718052567</v>
      </c>
      <c r="AO74" s="14">
        <v>172.23505192580419</v>
      </c>
      <c r="AP74" s="14">
        <v>186.48973898632451</v>
      </c>
      <c r="AQ74" s="14">
        <v>184.59162739360497</v>
      </c>
      <c r="AR74" s="14">
        <v>170.20843954826677</v>
      </c>
      <c r="AS74" s="14">
        <v>165.87121305865017</v>
      </c>
    </row>
    <row r="75" spans="1:45" x14ac:dyDescent="0.35">
      <c r="A75" s="15">
        <v>1881.0427199999999</v>
      </c>
      <c r="B75" s="14">
        <v>143.57867690695647</v>
      </c>
      <c r="C75" s="14">
        <v>142.83517236600173</v>
      </c>
      <c r="D75" s="14">
        <v>143.20077459891795</v>
      </c>
      <c r="E75" s="14">
        <v>150.0661165290025</v>
      </c>
      <c r="F75" s="14">
        <v>159.93327679269646</v>
      </c>
      <c r="G75" s="14">
        <v>172.16225148117579</v>
      </c>
      <c r="H75" s="14">
        <v>186.40413846351925</v>
      </c>
      <c r="I75" s="14">
        <v>184.49992683354418</v>
      </c>
      <c r="J75" s="14">
        <v>192.10707329420066</v>
      </c>
      <c r="K75" s="14">
        <v>189.49755735657882</v>
      </c>
      <c r="L75" s="14">
        <v>187.08844264290758</v>
      </c>
      <c r="M75" s="14">
        <v>184.56082720549279</v>
      </c>
      <c r="N75" s="14">
        <v>179.02619340271011</v>
      </c>
      <c r="O75" s="14">
        <v>175.88427421343422</v>
      </c>
      <c r="P75" s="14">
        <v>174.27576438945877</v>
      </c>
      <c r="Q75" s="14">
        <v>170.11233896133194</v>
      </c>
      <c r="R75" s="15">
        <v>165.77801248942782</v>
      </c>
      <c r="S75" s="14">
        <v>142.23796871857957</v>
      </c>
      <c r="T75" s="14">
        <v>142.83517236600173</v>
      </c>
      <c r="U75" s="14">
        <v>143.20077459891795</v>
      </c>
      <c r="V75" s="14">
        <v>150.0661165290025</v>
      </c>
      <c r="W75" s="14">
        <v>159.93327679269646</v>
      </c>
      <c r="X75" s="14">
        <v>172.16225148117579</v>
      </c>
      <c r="Y75" s="14">
        <v>186.40413846351925</v>
      </c>
      <c r="Z75" s="14">
        <v>184.49992683354418</v>
      </c>
      <c r="AA75" s="14">
        <v>192.10707329420066</v>
      </c>
      <c r="AB75" s="14">
        <v>189.49755735657882</v>
      </c>
      <c r="AC75" s="14">
        <v>187.08844264290758</v>
      </c>
      <c r="AD75" s="14">
        <v>184.56082720549279</v>
      </c>
      <c r="AE75" s="14">
        <v>179.02619340271011</v>
      </c>
      <c r="AF75" s="14">
        <v>175.88427421343422</v>
      </c>
      <c r="AG75" s="14">
        <v>174.27576438945877</v>
      </c>
      <c r="AH75" s="14">
        <v>170.11233896133194</v>
      </c>
      <c r="AI75" s="15">
        <v>165.77801248942782</v>
      </c>
      <c r="AJ75" s="14">
        <v>140.50625814215533</v>
      </c>
      <c r="AK75" s="14">
        <v>143.68137753420066</v>
      </c>
      <c r="AL75" s="14">
        <v>143.20077459891795</v>
      </c>
      <c r="AM75" s="14">
        <v>150.0661165290025</v>
      </c>
      <c r="AN75" s="14">
        <v>159.93327679269646</v>
      </c>
      <c r="AO75" s="14">
        <v>172.16225148117579</v>
      </c>
      <c r="AP75" s="14">
        <v>186.40413846351925</v>
      </c>
      <c r="AQ75" s="14">
        <v>184.49992683354418</v>
      </c>
      <c r="AR75" s="14">
        <v>170.11233896133194</v>
      </c>
      <c r="AS75" s="14">
        <v>165.77801248942782</v>
      </c>
    </row>
    <row r="76" spans="1:45" x14ac:dyDescent="0.35">
      <c r="A76" s="15">
        <v>1903.7579400000002</v>
      </c>
      <c r="B76" s="14">
        <v>143.52987660890898</v>
      </c>
      <c r="C76" s="14">
        <v>142.78147203802698</v>
      </c>
      <c r="D76" s="14">
        <v>143.14747427338571</v>
      </c>
      <c r="E76" s="14">
        <v>150.00441615216747</v>
      </c>
      <c r="F76" s="14">
        <v>159.8646763737195</v>
      </c>
      <c r="G76" s="14">
        <v>172.08435100539822</v>
      </c>
      <c r="H76" s="14">
        <v>186.31353791017614</v>
      </c>
      <c r="I76" s="14">
        <v>184.40332624355548</v>
      </c>
      <c r="J76" s="14">
        <v>192.0047726693997</v>
      </c>
      <c r="K76" s="14">
        <v>189.39635673849622</v>
      </c>
      <c r="L76" s="14">
        <v>186.98864203337519</v>
      </c>
      <c r="M76" s="14">
        <v>184.45962658741013</v>
      </c>
      <c r="N76" s="14">
        <v>178.92689279623156</v>
      </c>
      <c r="O76" s="14">
        <v>175.78387360023734</v>
      </c>
      <c r="P76" s="14">
        <v>174.1741637689322</v>
      </c>
      <c r="Q76" s="14">
        <v>170.01123834385996</v>
      </c>
      <c r="R76" s="15">
        <v>165.67991189027828</v>
      </c>
      <c r="S76" s="14">
        <v>142.1909684315255</v>
      </c>
      <c r="T76" s="14">
        <v>142.78147203802698</v>
      </c>
      <c r="U76" s="14">
        <v>143.14747427338571</v>
      </c>
      <c r="V76" s="14">
        <v>150.00441615216747</v>
      </c>
      <c r="W76" s="14">
        <v>159.8646763737195</v>
      </c>
      <c r="X76" s="14">
        <v>172.08435100539822</v>
      </c>
      <c r="Y76" s="14">
        <v>186.31353791017614</v>
      </c>
      <c r="Z76" s="14">
        <v>184.40332624355548</v>
      </c>
      <c r="AA76" s="14">
        <v>192.0047726693997</v>
      </c>
      <c r="AB76" s="14">
        <v>189.39635673849622</v>
      </c>
      <c r="AC76" s="14">
        <v>186.98864203337519</v>
      </c>
      <c r="AD76" s="14">
        <v>184.45962658741013</v>
      </c>
      <c r="AE76" s="14">
        <v>178.92689279623156</v>
      </c>
      <c r="AF76" s="14">
        <v>175.78387360023734</v>
      </c>
      <c r="AG76" s="14">
        <v>174.1741637689322</v>
      </c>
      <c r="AH76" s="14">
        <v>170.01123834385996</v>
      </c>
      <c r="AI76" s="15">
        <v>165.67991189027828</v>
      </c>
      <c r="AJ76" s="14">
        <v>140.45975785815446</v>
      </c>
      <c r="AK76" s="14">
        <v>143.63257723615317</v>
      </c>
      <c r="AL76" s="14">
        <v>143.14747427338571</v>
      </c>
      <c r="AM76" s="14">
        <v>150.00441615216747</v>
      </c>
      <c r="AN76" s="14">
        <v>159.8646763737195</v>
      </c>
      <c r="AO76" s="14">
        <v>172.08435100539822</v>
      </c>
      <c r="AP76" s="14">
        <v>186.31353791017614</v>
      </c>
      <c r="AQ76" s="14">
        <v>184.40332624355548</v>
      </c>
      <c r="AR76" s="14">
        <v>170.01123834385996</v>
      </c>
      <c r="AS76" s="14">
        <v>165.67991189027828</v>
      </c>
    </row>
    <row r="77" spans="1:45" x14ac:dyDescent="0.35">
      <c r="A77" s="15">
        <v>1926.474684</v>
      </c>
      <c r="B77" s="14">
        <v>143.47587627910164</v>
      </c>
      <c r="C77" s="14">
        <v>142.72267167890377</v>
      </c>
      <c r="D77" s="14">
        <v>143.08897391609509</v>
      </c>
      <c r="E77" s="14">
        <v>149.93751574357333</v>
      </c>
      <c r="F77" s="14">
        <v>159.79077592237277</v>
      </c>
      <c r="G77" s="14">
        <v>172.00125049786223</v>
      </c>
      <c r="H77" s="14">
        <v>186.21793732629516</v>
      </c>
      <c r="I77" s="14">
        <v>184.30192562425162</v>
      </c>
      <c r="J77" s="14">
        <v>191.89747201406087</v>
      </c>
      <c r="K77" s="14">
        <v>189.2900560892644</v>
      </c>
      <c r="L77" s="14">
        <v>186.88374139269428</v>
      </c>
      <c r="M77" s="14">
        <v>184.35332593817904</v>
      </c>
      <c r="N77" s="14">
        <v>178.82239215799322</v>
      </c>
      <c r="O77" s="14">
        <v>175.67837295589197</v>
      </c>
      <c r="P77" s="14">
        <v>174.06756311786921</v>
      </c>
      <c r="Q77" s="14">
        <v>169.90523769646069</v>
      </c>
      <c r="R77" s="15">
        <v>165.57681126059086</v>
      </c>
      <c r="S77" s="14">
        <v>142.13896811393363</v>
      </c>
      <c r="T77" s="14">
        <v>142.72267167890377</v>
      </c>
      <c r="U77" s="14">
        <v>143.08897391609509</v>
      </c>
      <c r="V77" s="14">
        <v>149.93751574357333</v>
      </c>
      <c r="W77" s="14">
        <v>159.79077592237277</v>
      </c>
      <c r="X77" s="14">
        <v>172.00125049786223</v>
      </c>
      <c r="Y77" s="14">
        <v>186.21793732629516</v>
      </c>
      <c r="Z77" s="14">
        <v>184.30192562425162</v>
      </c>
      <c r="AA77" s="14">
        <v>191.89747201406087</v>
      </c>
      <c r="AB77" s="14">
        <v>189.2900560892644</v>
      </c>
      <c r="AC77" s="14">
        <v>186.88374139269428</v>
      </c>
      <c r="AD77" s="14">
        <v>184.35332593817904</v>
      </c>
      <c r="AE77" s="14">
        <v>178.82239215799322</v>
      </c>
      <c r="AF77" s="14">
        <v>175.67837295589197</v>
      </c>
      <c r="AG77" s="14">
        <v>174.06756311786921</v>
      </c>
      <c r="AH77" s="14">
        <v>169.90523769646069</v>
      </c>
      <c r="AI77" s="15">
        <v>165.57681126059086</v>
      </c>
      <c r="AJ77" s="14">
        <v>140.40835754422704</v>
      </c>
      <c r="AK77" s="14">
        <v>143.57857690634583</v>
      </c>
      <c r="AL77" s="14">
        <v>143.08897391609509</v>
      </c>
      <c r="AM77" s="14">
        <v>149.93751574357333</v>
      </c>
      <c r="AN77" s="14">
        <v>159.79077592237277</v>
      </c>
      <c r="AO77" s="14">
        <v>172.00125049786223</v>
      </c>
      <c r="AP77" s="14">
        <v>186.21793732629516</v>
      </c>
      <c r="AQ77" s="14">
        <v>184.30192562425162</v>
      </c>
      <c r="AR77" s="14">
        <v>169.90523769646069</v>
      </c>
      <c r="AS77" s="14">
        <v>165.57681126059086</v>
      </c>
    </row>
    <row r="78" spans="1:45" x14ac:dyDescent="0.35">
      <c r="A78" s="15">
        <v>1949.1899040000001</v>
      </c>
      <c r="B78" s="14">
        <v>143.42697598044282</v>
      </c>
      <c r="C78" s="14">
        <v>142.66887135031774</v>
      </c>
      <c r="D78" s="14">
        <v>143.03557358995226</v>
      </c>
      <c r="E78" s="14">
        <v>149.87561536551632</v>
      </c>
      <c r="F78" s="14">
        <v>159.72167550034126</v>
      </c>
      <c r="G78" s="14">
        <v>171.92295001964143</v>
      </c>
      <c r="H78" s="14">
        <v>186.1272367723414</v>
      </c>
      <c r="I78" s="14">
        <v>184.2053250342629</v>
      </c>
      <c r="J78" s="14">
        <v>191.79517138925988</v>
      </c>
      <c r="K78" s="14">
        <v>189.18875547057115</v>
      </c>
      <c r="L78" s="14">
        <v>186.78374078194065</v>
      </c>
      <c r="M78" s="14">
        <v>184.25202531948506</v>
      </c>
      <c r="N78" s="14">
        <v>178.72289155029341</v>
      </c>
      <c r="O78" s="14">
        <v>175.57777234147383</v>
      </c>
      <c r="P78" s="14">
        <v>173.96586249673203</v>
      </c>
      <c r="Q78" s="14">
        <v>169.80403707837809</v>
      </c>
      <c r="R78" s="15">
        <v>165.47861066083067</v>
      </c>
      <c r="S78" s="14">
        <v>142.09186782626824</v>
      </c>
      <c r="T78" s="14">
        <v>142.66887135031774</v>
      </c>
      <c r="U78" s="14">
        <v>143.03557358995226</v>
      </c>
      <c r="V78" s="14">
        <v>149.87561536551632</v>
      </c>
      <c r="W78" s="14">
        <v>159.72167550034126</v>
      </c>
      <c r="X78" s="14">
        <v>171.92295001964143</v>
      </c>
      <c r="Y78" s="14">
        <v>186.1272367723414</v>
      </c>
      <c r="Z78" s="14">
        <v>184.2053250342629</v>
      </c>
      <c r="AA78" s="14">
        <v>191.79517138925988</v>
      </c>
      <c r="AB78" s="14">
        <v>189.18875547057115</v>
      </c>
      <c r="AC78" s="14">
        <v>186.78374078194065</v>
      </c>
      <c r="AD78" s="14">
        <v>184.25202531948506</v>
      </c>
      <c r="AE78" s="14">
        <v>178.72289155029341</v>
      </c>
      <c r="AF78" s="14">
        <v>175.57777234147383</v>
      </c>
      <c r="AG78" s="14">
        <v>173.96586249673203</v>
      </c>
      <c r="AH78" s="14">
        <v>169.80403707837809</v>
      </c>
      <c r="AI78" s="15">
        <v>165.47861066083067</v>
      </c>
      <c r="AJ78" s="14">
        <v>140.36175725961553</v>
      </c>
      <c r="AK78" s="14">
        <v>143.52967660768701</v>
      </c>
      <c r="AL78" s="14">
        <v>143.03557358995226</v>
      </c>
      <c r="AM78" s="14">
        <v>149.87561536551632</v>
      </c>
      <c r="AN78" s="14">
        <v>159.72167550034126</v>
      </c>
      <c r="AO78" s="14">
        <v>171.92295001964143</v>
      </c>
      <c r="AP78" s="14">
        <v>186.1272367723414</v>
      </c>
      <c r="AQ78" s="14">
        <v>184.2053250342629</v>
      </c>
      <c r="AR78" s="14">
        <v>169.80403707837809</v>
      </c>
      <c r="AS78" s="14">
        <v>165.47861066083067</v>
      </c>
    </row>
    <row r="79" spans="1:45" x14ac:dyDescent="0.35">
      <c r="A79" s="15">
        <v>1971.9036000000001</v>
      </c>
      <c r="B79" s="14">
        <v>143.38317571293317</v>
      </c>
      <c r="C79" s="14">
        <v>142.62017105288086</v>
      </c>
      <c r="D79" s="14">
        <v>142.98727329495861</v>
      </c>
      <c r="E79" s="14">
        <v>149.81881501860852</v>
      </c>
      <c r="F79" s="14">
        <v>159.65757510884828</v>
      </c>
      <c r="G79" s="14">
        <v>171.84954957134858</v>
      </c>
      <c r="H79" s="14">
        <v>186.04133624770421</v>
      </c>
      <c r="I79" s="14">
        <v>184.11382447542337</v>
      </c>
      <c r="J79" s="14">
        <v>191.69787079499605</v>
      </c>
      <c r="K79" s="14">
        <v>189.09225488119375</v>
      </c>
      <c r="L79" s="14">
        <v>186.68854020050287</v>
      </c>
      <c r="M79" s="14">
        <v>184.1556247307183</v>
      </c>
      <c r="N79" s="14">
        <v>178.6281909719095</v>
      </c>
      <c r="O79" s="14">
        <v>175.48207175698221</v>
      </c>
      <c r="P79" s="14">
        <v>173.86906190552276</v>
      </c>
      <c r="Q79" s="14">
        <v>169.70783649083262</v>
      </c>
      <c r="R79" s="15">
        <v>165.38511008977574</v>
      </c>
      <c r="S79" s="14">
        <v>142.04966756853011</v>
      </c>
      <c r="T79" s="14">
        <v>142.62017105288086</v>
      </c>
      <c r="U79" s="14">
        <v>142.98727329495861</v>
      </c>
      <c r="V79" s="14">
        <v>149.81881501860852</v>
      </c>
      <c r="W79" s="14">
        <v>159.65757510884828</v>
      </c>
      <c r="X79" s="14">
        <v>171.84954957134858</v>
      </c>
      <c r="Y79" s="14">
        <v>186.04133624770421</v>
      </c>
      <c r="Z79" s="14">
        <v>184.11382447542337</v>
      </c>
      <c r="AA79" s="14">
        <v>191.69787079499605</v>
      </c>
      <c r="AB79" s="14">
        <v>189.09225488119375</v>
      </c>
      <c r="AC79" s="14">
        <v>186.68854020050287</v>
      </c>
      <c r="AD79" s="14">
        <v>184.1556247307183</v>
      </c>
      <c r="AE79" s="14">
        <v>178.6281909719095</v>
      </c>
      <c r="AF79" s="14">
        <v>175.48207175698221</v>
      </c>
      <c r="AG79" s="14">
        <v>173.86906190552276</v>
      </c>
      <c r="AH79" s="14">
        <v>169.70783649083262</v>
      </c>
      <c r="AI79" s="15">
        <v>165.38511008977574</v>
      </c>
      <c r="AJ79" s="14">
        <v>140.32005700493124</v>
      </c>
      <c r="AK79" s="14">
        <v>143.48577633956603</v>
      </c>
      <c r="AL79" s="14">
        <v>142.98727329495861</v>
      </c>
      <c r="AM79" s="14">
        <v>149.81881501860852</v>
      </c>
      <c r="AN79" s="14">
        <v>159.65757510884828</v>
      </c>
      <c r="AO79" s="14">
        <v>171.84954957134858</v>
      </c>
      <c r="AP79" s="14">
        <v>186.04133624770421</v>
      </c>
      <c r="AQ79" s="14">
        <v>184.11382447542337</v>
      </c>
      <c r="AR79" s="14">
        <v>169.70783649083262</v>
      </c>
      <c r="AS79" s="14">
        <v>165.38511008977574</v>
      </c>
    </row>
    <row r="80" spans="1:45" x14ac:dyDescent="0.35">
      <c r="A80" s="16">
        <v>1994.61501</v>
      </c>
      <c r="B80" s="14">
        <v>143.34897550405529</v>
      </c>
      <c r="C80" s="14">
        <v>142.58117081468711</v>
      </c>
      <c r="D80" s="14">
        <v>142.94867305920741</v>
      </c>
      <c r="E80" s="14">
        <v>149.77171473094319</v>
      </c>
      <c r="F80" s="14">
        <v>159.60277477415522</v>
      </c>
      <c r="G80" s="14">
        <v>171.78524917863365</v>
      </c>
      <c r="H80" s="14">
        <v>185.96473577986626</v>
      </c>
      <c r="I80" s="14">
        <v>184.03152397277313</v>
      </c>
      <c r="J80" s="14">
        <v>191.60977025692222</v>
      </c>
      <c r="K80" s="14">
        <v>189.00515434922693</v>
      </c>
      <c r="L80" s="14">
        <v>186.6026396758657</v>
      </c>
      <c r="M80" s="14">
        <v>184.06842419814086</v>
      </c>
      <c r="N80" s="14">
        <v>178.54269044971488</v>
      </c>
      <c r="O80" s="14">
        <v>175.3956712292912</v>
      </c>
      <c r="P80" s="14">
        <v>173.78146137050206</v>
      </c>
      <c r="Q80" s="14">
        <v>169.62083595947709</v>
      </c>
      <c r="R80" s="15">
        <v>165.30080957491006</v>
      </c>
      <c r="S80" s="14">
        <v>142.01676736759185</v>
      </c>
      <c r="T80" s="14">
        <v>142.58117081468711</v>
      </c>
      <c r="U80" s="14">
        <v>142.94867305920741</v>
      </c>
      <c r="V80" s="14">
        <v>149.77171473094319</v>
      </c>
      <c r="W80" s="14">
        <v>159.60277477415522</v>
      </c>
      <c r="X80" s="14">
        <v>171.78524917863365</v>
      </c>
      <c r="Y80" s="14">
        <v>185.96473577986626</v>
      </c>
      <c r="Z80" s="14">
        <v>184.03152397277313</v>
      </c>
      <c r="AA80" s="14">
        <v>191.60977025692222</v>
      </c>
      <c r="AB80" s="14">
        <v>189.00515434922693</v>
      </c>
      <c r="AC80" s="14">
        <v>186.6026396758657</v>
      </c>
      <c r="AD80" s="14">
        <v>184.06842419814086</v>
      </c>
      <c r="AE80" s="14">
        <v>178.54269044971488</v>
      </c>
      <c r="AF80" s="14">
        <v>175.3956712292912</v>
      </c>
      <c r="AG80" s="14">
        <v>173.78146137050206</v>
      </c>
      <c r="AH80" s="14">
        <v>169.62083595947709</v>
      </c>
      <c r="AI80" s="15">
        <v>165.30080957491006</v>
      </c>
      <c r="AJ80" s="14">
        <v>140.28755680643619</v>
      </c>
      <c r="AK80" s="14">
        <v>143.45167613129951</v>
      </c>
      <c r="AL80" s="14">
        <v>142.94867305920741</v>
      </c>
      <c r="AM80" s="14">
        <v>149.77171473094319</v>
      </c>
      <c r="AN80" s="14">
        <v>159.60277477415522</v>
      </c>
      <c r="AO80" s="14">
        <v>171.78524917863365</v>
      </c>
      <c r="AP80" s="14">
        <v>185.96473577986626</v>
      </c>
      <c r="AQ80" s="14">
        <v>184.03152397277313</v>
      </c>
      <c r="AR80" s="14">
        <v>169.62083595947709</v>
      </c>
      <c r="AS80" s="14">
        <v>165.30080957491006</v>
      </c>
    </row>
    <row r="81" spans="1:45" x14ac:dyDescent="0.35">
      <c r="A81" s="16">
        <v>2017.3241340000002</v>
      </c>
      <c r="B81" s="14">
        <v>143.3244753544206</v>
      </c>
      <c r="C81" s="14">
        <v>142.55187063573578</v>
      </c>
      <c r="D81" s="14">
        <v>142.91967288208866</v>
      </c>
      <c r="E81" s="14">
        <v>149.73411450129967</v>
      </c>
      <c r="F81" s="14">
        <v>159.55747449748398</v>
      </c>
      <c r="G81" s="14">
        <v>171.73024884271931</v>
      </c>
      <c r="H81" s="14">
        <v>185.89733536821828</v>
      </c>
      <c r="I81" s="14">
        <v>183.95862352753343</v>
      </c>
      <c r="J81" s="14">
        <v>191.53106977625887</v>
      </c>
      <c r="K81" s="14">
        <v>188.92735387406069</v>
      </c>
      <c r="L81" s="14">
        <v>186.52603920802775</v>
      </c>
      <c r="M81" s="14">
        <v>183.99062372297462</v>
      </c>
      <c r="N81" s="14">
        <v>178.46648998432082</v>
      </c>
      <c r="O81" s="14">
        <v>175.31847075778873</v>
      </c>
      <c r="P81" s="14">
        <v>173.70316089228197</v>
      </c>
      <c r="Q81" s="14">
        <v>169.54313548492149</v>
      </c>
      <c r="R81" s="15">
        <v>165.22560911562303</v>
      </c>
      <c r="S81" s="14">
        <v>141.99326722406482</v>
      </c>
      <c r="T81" s="14">
        <v>142.55187063573578</v>
      </c>
      <c r="U81" s="14">
        <v>142.91967288208866</v>
      </c>
      <c r="V81" s="14">
        <v>149.73411450129967</v>
      </c>
      <c r="W81" s="14">
        <v>159.55747449748398</v>
      </c>
      <c r="X81" s="14">
        <v>171.73024884271931</v>
      </c>
      <c r="Y81" s="14">
        <v>185.89733536821828</v>
      </c>
      <c r="Z81" s="14">
        <v>183.95862352753343</v>
      </c>
      <c r="AA81" s="14">
        <v>191.53106977625887</v>
      </c>
      <c r="AB81" s="14">
        <v>188.92735387406069</v>
      </c>
      <c r="AC81" s="14">
        <v>186.52603920802775</v>
      </c>
      <c r="AD81" s="14">
        <v>183.99062372297462</v>
      </c>
      <c r="AE81" s="14">
        <v>178.46648998432082</v>
      </c>
      <c r="AF81" s="14">
        <v>175.31847075778873</v>
      </c>
      <c r="AG81" s="14">
        <v>173.70316089228197</v>
      </c>
      <c r="AH81" s="14">
        <v>169.54313548492149</v>
      </c>
      <c r="AI81" s="15">
        <v>165.22560911562303</v>
      </c>
      <c r="AJ81" s="14">
        <v>140.26425666413044</v>
      </c>
      <c r="AK81" s="14">
        <v>143.42717598166476</v>
      </c>
      <c r="AL81" s="14">
        <v>142.91967288208866</v>
      </c>
      <c r="AM81" s="14">
        <v>149.73411450129967</v>
      </c>
      <c r="AN81" s="14">
        <v>159.55747449748398</v>
      </c>
      <c r="AO81" s="14">
        <v>171.73024884271931</v>
      </c>
      <c r="AP81" s="14">
        <v>185.89733536821828</v>
      </c>
      <c r="AQ81" s="14">
        <v>183.95862352753343</v>
      </c>
      <c r="AR81" s="14">
        <v>169.54313548492149</v>
      </c>
      <c r="AS81" s="14">
        <v>165.22560911562303</v>
      </c>
    </row>
    <row r="82" spans="1:45" x14ac:dyDescent="0.35">
      <c r="A82" s="16">
        <v>2047.7286960000001</v>
      </c>
      <c r="B82" s="14">
        <v>143.31087527135796</v>
      </c>
      <c r="C82" s="14">
        <v>142.53177051297442</v>
      </c>
      <c r="D82" s="14">
        <v>142.90017276299179</v>
      </c>
      <c r="E82" s="14">
        <v>149.70291431074423</v>
      </c>
      <c r="F82" s="14">
        <v>159.51527423974585</v>
      </c>
      <c r="G82" s="14">
        <v>171.67484850436105</v>
      </c>
      <c r="H82" s="14">
        <v>185.82543492908627</v>
      </c>
      <c r="I82" s="14">
        <v>183.87952304442689</v>
      </c>
      <c r="J82" s="14">
        <v>191.44416924551334</v>
      </c>
      <c r="K82" s="14">
        <v>188.84155335003345</v>
      </c>
      <c r="L82" s="14">
        <v>186.44183869377341</v>
      </c>
      <c r="M82" s="14">
        <v>183.90472319833674</v>
      </c>
      <c r="N82" s="14">
        <v>178.38278947311966</v>
      </c>
      <c r="O82" s="14">
        <v>175.23347023864795</v>
      </c>
      <c r="P82" s="14">
        <v>173.61666036397963</v>
      </c>
      <c r="Q82" s="14">
        <v>169.4574349615049</v>
      </c>
      <c r="R82" s="15">
        <v>165.14300861114089</v>
      </c>
      <c r="S82" s="14">
        <v>141.98006714344544</v>
      </c>
      <c r="T82" s="14">
        <v>142.53177051297442</v>
      </c>
      <c r="U82" s="14">
        <v>142.90017276299179</v>
      </c>
      <c r="V82" s="14">
        <v>149.70291431074423</v>
      </c>
      <c r="W82" s="14">
        <v>159.51527423974585</v>
      </c>
      <c r="X82" s="14">
        <v>171.67484850436105</v>
      </c>
      <c r="Y82" s="14">
        <v>185.82543492908627</v>
      </c>
      <c r="Z82" s="14">
        <v>183.87952304442689</v>
      </c>
      <c r="AA82" s="14">
        <v>191.44416924551334</v>
      </c>
      <c r="AB82" s="14">
        <v>188.84155335003345</v>
      </c>
      <c r="AC82" s="14">
        <v>186.44183869377341</v>
      </c>
      <c r="AD82" s="14">
        <v>183.90472319833674</v>
      </c>
      <c r="AE82" s="14">
        <v>178.38278947311966</v>
      </c>
      <c r="AF82" s="14">
        <v>175.23347023864795</v>
      </c>
      <c r="AG82" s="14">
        <v>173.61666036397963</v>
      </c>
      <c r="AH82" s="14">
        <v>169.4574349615049</v>
      </c>
      <c r="AI82" s="15">
        <v>165.14300861114089</v>
      </c>
      <c r="AJ82" s="14">
        <v>140.251256584733</v>
      </c>
      <c r="AK82" s="14">
        <v>143.41357589860215</v>
      </c>
      <c r="AL82" s="14">
        <v>142.90017276299179</v>
      </c>
      <c r="AM82" s="14">
        <v>149.70291431074423</v>
      </c>
      <c r="AN82" s="14">
        <v>159.51527423974585</v>
      </c>
      <c r="AO82" s="14">
        <v>171.67484850436105</v>
      </c>
      <c r="AP82" s="14">
        <v>185.82543492908627</v>
      </c>
      <c r="AQ82" s="14">
        <v>183.87952304442689</v>
      </c>
      <c r="AR82" s="14">
        <v>169.4574349615049</v>
      </c>
      <c r="AS82" s="14">
        <v>165.14300861114089</v>
      </c>
    </row>
    <row r="83" spans="1:45" x14ac:dyDescent="0.35">
      <c r="A83" s="16">
        <v>2085.828696</v>
      </c>
      <c r="B83" s="14">
        <v>143.30817525486739</v>
      </c>
      <c r="C83" s="14">
        <v>142.52087044640231</v>
      </c>
      <c r="D83" s="14">
        <v>142.88997270069478</v>
      </c>
      <c r="E83" s="14">
        <v>149.67801415866697</v>
      </c>
      <c r="F83" s="14">
        <v>159.47627400155139</v>
      </c>
      <c r="G83" s="14">
        <v>171.61894816294964</v>
      </c>
      <c r="H83" s="14">
        <v>185.74903446247026</v>
      </c>
      <c r="I83" s="14">
        <v>183.79422252345424</v>
      </c>
      <c r="J83" s="14">
        <v>191.34906866468691</v>
      </c>
      <c r="K83" s="14">
        <v>188.74785277775726</v>
      </c>
      <c r="L83" s="14">
        <v>186.34993813249068</v>
      </c>
      <c r="M83" s="14">
        <v>183.81102262606055</v>
      </c>
      <c r="N83" s="14">
        <v>178.29148891550139</v>
      </c>
      <c r="O83" s="14">
        <v>175.14066967186886</v>
      </c>
      <c r="P83" s="14">
        <v>173.52195978559573</v>
      </c>
      <c r="Q83" s="14">
        <v>169.36373438922868</v>
      </c>
      <c r="R83" s="15">
        <v>165.05300806146224</v>
      </c>
      <c r="S83" s="14">
        <v>141.97746712756552</v>
      </c>
      <c r="T83" s="14">
        <v>142.52087044640231</v>
      </c>
      <c r="U83" s="14">
        <v>142.88997270069478</v>
      </c>
      <c r="V83" s="14">
        <v>149.67801415866697</v>
      </c>
      <c r="W83" s="14">
        <v>159.47627400155139</v>
      </c>
      <c r="X83" s="14">
        <v>171.61894816294964</v>
      </c>
      <c r="Y83" s="14">
        <v>185.74903446247026</v>
      </c>
      <c r="Z83" s="14">
        <v>183.79422252345424</v>
      </c>
      <c r="AA83" s="14">
        <v>191.34906866468691</v>
      </c>
      <c r="AB83" s="14">
        <v>188.74785277775726</v>
      </c>
      <c r="AC83" s="14">
        <v>186.34993813249068</v>
      </c>
      <c r="AD83" s="14">
        <v>183.81102262606055</v>
      </c>
      <c r="AE83" s="14">
        <v>178.29148891550139</v>
      </c>
      <c r="AF83" s="14">
        <v>175.14066967186886</v>
      </c>
      <c r="AG83" s="14">
        <v>173.52195978559573</v>
      </c>
      <c r="AH83" s="14">
        <v>169.36373438922868</v>
      </c>
      <c r="AI83" s="15">
        <v>165.05300806146224</v>
      </c>
      <c r="AJ83" s="14">
        <v>140.24865656885308</v>
      </c>
      <c r="AK83" s="14">
        <v>143.41087588211161</v>
      </c>
      <c r="AL83" s="14">
        <v>142.88997270069478</v>
      </c>
      <c r="AM83" s="14">
        <v>149.67801415866697</v>
      </c>
      <c r="AN83" s="14">
        <v>159.47627400155139</v>
      </c>
      <c r="AO83" s="14">
        <v>171.61894816294964</v>
      </c>
      <c r="AP83" s="14">
        <v>185.74903446247026</v>
      </c>
      <c r="AQ83" s="14">
        <v>183.79422252345424</v>
      </c>
      <c r="AR83" s="14">
        <v>169.36373438922868</v>
      </c>
      <c r="AS83" s="14">
        <v>165.05300806146224</v>
      </c>
    </row>
    <row r="84" spans="1:45" x14ac:dyDescent="0.35">
      <c r="A84" s="16">
        <v>2116.243164</v>
      </c>
      <c r="B84" s="14">
        <v>143.26777500812273</v>
      </c>
      <c r="C84" s="14">
        <v>142.47397015995892</v>
      </c>
      <c r="D84" s="14">
        <v>142.84347241669391</v>
      </c>
      <c r="E84" s="14">
        <v>149.6200138044295</v>
      </c>
      <c r="F84" s="14">
        <v>159.40747358135314</v>
      </c>
      <c r="G84" s="14">
        <v>171.5373476645745</v>
      </c>
      <c r="H84" s="14">
        <v>185.65143386637456</v>
      </c>
      <c r="I84" s="14">
        <v>183.68972188521587</v>
      </c>
      <c r="J84" s="14">
        <v>191.23646797697762</v>
      </c>
      <c r="K84" s="14">
        <v>188.63615209554504</v>
      </c>
      <c r="L84" s="14">
        <v>186.23973745943934</v>
      </c>
      <c r="M84" s="14">
        <v>183.69932194384836</v>
      </c>
      <c r="N84" s="14">
        <v>178.18178824550463</v>
      </c>
      <c r="O84" s="14">
        <v>175.02996899576434</v>
      </c>
      <c r="P84" s="14">
        <v>173.40965909971905</v>
      </c>
      <c r="Q84" s="14">
        <v>169.25253371007034</v>
      </c>
      <c r="R84" s="15">
        <v>164.94510740245894</v>
      </c>
      <c r="S84" s="14">
        <v>141.93856688998238</v>
      </c>
      <c r="T84" s="14">
        <v>142.47397015995892</v>
      </c>
      <c r="U84" s="14">
        <v>142.84347241669391</v>
      </c>
      <c r="V84" s="14">
        <v>149.6200138044295</v>
      </c>
      <c r="W84" s="14">
        <v>159.40747358135314</v>
      </c>
      <c r="X84" s="14">
        <v>171.5373476645745</v>
      </c>
      <c r="Y84" s="14">
        <v>185.65143386637456</v>
      </c>
      <c r="Z84" s="14">
        <v>183.68972188521587</v>
      </c>
      <c r="AA84" s="14">
        <v>191.23646797697762</v>
      </c>
      <c r="AB84" s="14">
        <v>188.63615209554504</v>
      </c>
      <c r="AC84" s="14">
        <v>186.23973745943934</v>
      </c>
      <c r="AD84" s="14">
        <v>183.69932194384836</v>
      </c>
      <c r="AE84" s="14">
        <v>178.18178824550463</v>
      </c>
      <c r="AF84" s="14">
        <v>175.02996899576434</v>
      </c>
      <c r="AG84" s="14">
        <v>173.40965909971905</v>
      </c>
      <c r="AH84" s="14">
        <v>169.25253371007034</v>
      </c>
      <c r="AI84" s="15">
        <v>164.94510740245894</v>
      </c>
      <c r="AJ84" s="14">
        <v>140.21015633371249</v>
      </c>
      <c r="AK84" s="14">
        <v>143.3703756347563</v>
      </c>
      <c r="AL84" s="14">
        <v>142.84347241669391</v>
      </c>
      <c r="AM84" s="14">
        <v>149.6200138044295</v>
      </c>
      <c r="AN84" s="14">
        <v>159.40747358135314</v>
      </c>
      <c r="AO84" s="14">
        <v>171.5373476645745</v>
      </c>
      <c r="AP84" s="14">
        <v>185.65143386637456</v>
      </c>
      <c r="AQ84" s="14">
        <v>183.68972188521587</v>
      </c>
      <c r="AR84" s="14">
        <v>169.25253371007034</v>
      </c>
      <c r="AS84" s="14">
        <v>164.94510740245894</v>
      </c>
    </row>
    <row r="85" spans="1:45" x14ac:dyDescent="0.35">
      <c r="A85" s="16">
        <v>2138.9721</v>
      </c>
      <c r="B85" s="14">
        <v>143.18957453051326</v>
      </c>
      <c r="C85" s="14">
        <v>142.39106965364348</v>
      </c>
      <c r="D85" s="14">
        <v>142.76067191098983</v>
      </c>
      <c r="E85" s="14">
        <v>149.52881324742188</v>
      </c>
      <c r="F85" s="14">
        <v>159.30857297731714</v>
      </c>
      <c r="G85" s="14">
        <v>171.42984700801443</v>
      </c>
      <c r="H85" s="14">
        <v>185.53263314079913</v>
      </c>
      <c r="I85" s="14">
        <v>183.56582112849196</v>
      </c>
      <c r="J85" s="14">
        <v>191.10626718177625</v>
      </c>
      <c r="K85" s="14">
        <v>188.5066513046188</v>
      </c>
      <c r="L85" s="14">
        <v>186.11123667462078</v>
      </c>
      <c r="M85" s="14">
        <v>183.56982115292212</v>
      </c>
      <c r="N85" s="14">
        <v>178.05388746434988</v>
      </c>
      <c r="O85" s="14">
        <v>174.90126820972387</v>
      </c>
      <c r="P85" s="14">
        <v>173.2798583069609</v>
      </c>
      <c r="Q85" s="14">
        <v>169.12363292280861</v>
      </c>
      <c r="R85" s="15">
        <v>164.8192066335196</v>
      </c>
      <c r="S85" s="14">
        <v>141.86336643069538</v>
      </c>
      <c r="T85" s="14">
        <v>142.39106965364348</v>
      </c>
      <c r="U85" s="14">
        <v>142.76067191098983</v>
      </c>
      <c r="V85" s="14">
        <v>149.52881324742188</v>
      </c>
      <c r="W85" s="14">
        <v>159.30857297731714</v>
      </c>
      <c r="X85" s="14">
        <v>171.42984700801443</v>
      </c>
      <c r="Y85" s="14">
        <v>185.53263314079913</v>
      </c>
      <c r="Z85" s="14">
        <v>183.56582112849196</v>
      </c>
      <c r="AA85" s="14">
        <v>191.10626718177625</v>
      </c>
      <c r="AB85" s="14">
        <v>188.5066513046188</v>
      </c>
      <c r="AC85" s="14">
        <v>186.11123667462078</v>
      </c>
      <c r="AD85" s="14">
        <v>183.56982115292212</v>
      </c>
      <c r="AE85" s="14">
        <v>178.05388746434988</v>
      </c>
      <c r="AF85" s="14">
        <v>174.90126820972387</v>
      </c>
      <c r="AG85" s="14">
        <v>173.2798583069609</v>
      </c>
      <c r="AH85" s="14">
        <v>169.12363292280861</v>
      </c>
      <c r="AI85" s="15">
        <v>164.8192066335196</v>
      </c>
      <c r="AJ85" s="14">
        <v>140.13575587931192</v>
      </c>
      <c r="AK85" s="14">
        <v>143.29227515775744</v>
      </c>
      <c r="AL85" s="14">
        <v>142.76067191098983</v>
      </c>
      <c r="AM85" s="14">
        <v>149.52881324742188</v>
      </c>
      <c r="AN85" s="14">
        <v>159.30857297731714</v>
      </c>
      <c r="AO85" s="14">
        <v>171.42984700801443</v>
      </c>
      <c r="AP85" s="14">
        <v>185.53263314079913</v>
      </c>
      <c r="AQ85" s="14">
        <v>183.56582112849196</v>
      </c>
      <c r="AR85" s="14">
        <v>169.12363292280861</v>
      </c>
      <c r="AS85" s="14">
        <v>164.8192066335196</v>
      </c>
    </row>
    <row r="86" spans="1:45" x14ac:dyDescent="0.35">
      <c r="A86" s="16">
        <v>2169.3865679999999</v>
      </c>
      <c r="B86" s="14">
        <v>143.23767482428565</v>
      </c>
      <c r="C86" s="14">
        <v>142.43276990832845</v>
      </c>
      <c r="D86" s="14">
        <v>142.80287216872799</v>
      </c>
      <c r="E86" s="14">
        <v>149.55911343248025</v>
      </c>
      <c r="F86" s="14">
        <v>159.32547308053481</v>
      </c>
      <c r="G86" s="14">
        <v>171.43324702878007</v>
      </c>
      <c r="H86" s="14">
        <v>185.51973306201162</v>
      </c>
      <c r="I86" s="14">
        <v>183.54622100878447</v>
      </c>
      <c r="J86" s="14">
        <v>191.07896701504035</v>
      </c>
      <c r="K86" s="14">
        <v>188.48025114337997</v>
      </c>
      <c r="L86" s="14">
        <v>186.08613652132158</v>
      </c>
      <c r="M86" s="14">
        <v>183.54322099046203</v>
      </c>
      <c r="N86" s="14">
        <v>178.02908731288326</v>
      </c>
      <c r="O86" s="14">
        <v>174.8754680521495</v>
      </c>
      <c r="P86" s="14">
        <v>173.25245813961436</v>
      </c>
      <c r="Q86" s="14">
        <v>169.09703276034853</v>
      </c>
      <c r="R86" s="15">
        <v>164.79480648449552</v>
      </c>
      <c r="S86" s="14">
        <v>141.90966671347499</v>
      </c>
      <c r="T86" s="14">
        <v>142.43276990832845</v>
      </c>
      <c r="U86" s="14">
        <v>142.80287216872799</v>
      </c>
      <c r="V86" s="14">
        <v>149.55911343248025</v>
      </c>
      <c r="W86" s="14">
        <v>159.32547308053481</v>
      </c>
      <c r="X86" s="14">
        <v>171.43324702878007</v>
      </c>
      <c r="Y86" s="14">
        <v>185.51973306201162</v>
      </c>
      <c r="Z86" s="14">
        <v>183.54622100878447</v>
      </c>
      <c r="AA86" s="14">
        <v>191.07896701504035</v>
      </c>
      <c r="AB86" s="14">
        <v>188.48025114337997</v>
      </c>
      <c r="AC86" s="14">
        <v>186.08613652132158</v>
      </c>
      <c r="AD86" s="14">
        <v>183.54322099046203</v>
      </c>
      <c r="AE86" s="14">
        <v>178.02908731288326</v>
      </c>
      <c r="AF86" s="14">
        <v>174.8754680521495</v>
      </c>
      <c r="AG86" s="14">
        <v>173.25245813961436</v>
      </c>
      <c r="AH86" s="14">
        <v>169.09703276034853</v>
      </c>
      <c r="AI86" s="15">
        <v>164.79480648449552</v>
      </c>
      <c r="AJ86" s="14">
        <v>140.18155615903697</v>
      </c>
      <c r="AK86" s="14">
        <v>143.34037545152984</v>
      </c>
      <c r="AL86" s="14">
        <v>142.80287216872799</v>
      </c>
      <c r="AM86" s="14">
        <v>149.55911343248025</v>
      </c>
      <c r="AN86" s="14">
        <v>159.32547308053481</v>
      </c>
      <c r="AO86" s="14">
        <v>171.43324702878007</v>
      </c>
      <c r="AP86" s="14">
        <v>185.51973306201162</v>
      </c>
      <c r="AQ86" s="14">
        <v>183.54622100878447</v>
      </c>
      <c r="AR86" s="14">
        <v>169.09703276034853</v>
      </c>
      <c r="AS86" s="14">
        <v>164.79480648449552</v>
      </c>
    </row>
    <row r="87" spans="1:45" x14ac:dyDescent="0.35">
      <c r="A87" s="16">
        <v>2207.4865680000003</v>
      </c>
      <c r="B87" s="14">
        <v>143.41217589005123</v>
      </c>
      <c r="C87" s="14">
        <v>142.59907092401176</v>
      </c>
      <c r="D87" s="14">
        <v>142.97227320334505</v>
      </c>
      <c r="E87" s="14">
        <v>149.71001435410813</v>
      </c>
      <c r="F87" s="14">
        <v>159.45887389528056</v>
      </c>
      <c r="G87" s="14">
        <v>171.54754772687147</v>
      </c>
      <c r="H87" s="14">
        <v>185.61273363001268</v>
      </c>
      <c r="I87" s="14">
        <v>183.63102152670399</v>
      </c>
      <c r="J87" s="14">
        <v>191.15426747493802</v>
      </c>
      <c r="K87" s="14">
        <v>188.55685161121727</v>
      </c>
      <c r="L87" s="14">
        <v>186.16433699893108</v>
      </c>
      <c r="M87" s="14">
        <v>183.61962145707801</v>
      </c>
      <c r="N87" s="14">
        <v>178.10748779171396</v>
      </c>
      <c r="O87" s="14">
        <v>174.95236852181935</v>
      </c>
      <c r="P87" s="14">
        <v>173.32735859706881</v>
      </c>
      <c r="Q87" s="14">
        <v>169.17253322146743</v>
      </c>
      <c r="R87" s="15">
        <v>164.87190695538663</v>
      </c>
      <c r="S87" s="14">
        <v>142.07766773954114</v>
      </c>
      <c r="T87" s="14">
        <v>142.59907092401176</v>
      </c>
      <c r="U87" s="14">
        <v>142.97227320334505</v>
      </c>
      <c r="V87" s="14">
        <v>149.71001435410813</v>
      </c>
      <c r="W87" s="14">
        <v>159.45887389528056</v>
      </c>
      <c r="X87" s="14">
        <v>171.54754772687147</v>
      </c>
      <c r="Y87" s="14">
        <v>185.61273363001268</v>
      </c>
      <c r="Z87" s="14">
        <v>183.63102152670399</v>
      </c>
      <c r="AA87" s="14">
        <v>191.15426747493802</v>
      </c>
      <c r="AB87" s="14">
        <v>188.55685161121727</v>
      </c>
      <c r="AC87" s="14">
        <v>186.16433699893108</v>
      </c>
      <c r="AD87" s="14">
        <v>183.61962145707801</v>
      </c>
      <c r="AE87" s="14">
        <v>178.10748779171396</v>
      </c>
      <c r="AF87" s="14">
        <v>174.95236852181935</v>
      </c>
      <c r="AG87" s="14">
        <v>173.32735859706881</v>
      </c>
      <c r="AH87" s="14">
        <v>169.17253322146743</v>
      </c>
      <c r="AI87" s="15">
        <v>164.87190695538663</v>
      </c>
      <c r="AJ87" s="14">
        <v>140.34765717349973</v>
      </c>
      <c r="AK87" s="14">
        <v>143.51477651668475</v>
      </c>
      <c r="AL87" s="14">
        <v>142.97227320334505</v>
      </c>
      <c r="AM87" s="14">
        <v>149.71001435410813</v>
      </c>
      <c r="AN87" s="14">
        <v>159.45887389528056</v>
      </c>
      <c r="AO87" s="14">
        <v>171.54754772687147</v>
      </c>
      <c r="AP87" s="14">
        <v>185.61273363001268</v>
      </c>
      <c r="AQ87" s="14">
        <v>183.63102152670399</v>
      </c>
      <c r="AR87" s="14">
        <v>169.17253322146743</v>
      </c>
      <c r="AS87" s="14">
        <v>164.87190695538663</v>
      </c>
    </row>
    <row r="88" spans="1:45" x14ac:dyDescent="0.35">
      <c r="A88" s="16">
        <v>2237.905608</v>
      </c>
      <c r="B88" s="14">
        <v>143.45187613252077</v>
      </c>
      <c r="C88" s="14">
        <v>142.63227112678192</v>
      </c>
      <c r="D88" s="14">
        <v>143.00777342016252</v>
      </c>
      <c r="E88" s="14">
        <v>149.73101448236656</v>
      </c>
      <c r="F88" s="14">
        <v>159.46747394780533</v>
      </c>
      <c r="G88" s="14">
        <v>171.54214769389108</v>
      </c>
      <c r="H88" s="14">
        <v>185.59153350053299</v>
      </c>
      <c r="I88" s="14">
        <v>183.60352135874612</v>
      </c>
      <c r="J88" s="14">
        <v>191.11866725750991</v>
      </c>
      <c r="K88" s="14">
        <v>188.52215139928555</v>
      </c>
      <c r="L88" s="14">
        <v>186.13083679432901</v>
      </c>
      <c r="M88" s="14">
        <v>183.58472124392435</v>
      </c>
      <c r="N88" s="14">
        <v>178.07428758894383</v>
      </c>
      <c r="O88" s="14">
        <v>174.91816831294153</v>
      </c>
      <c r="P88" s="14">
        <v>173.29155837841873</v>
      </c>
      <c r="Q88" s="14">
        <v>169.13783300953571</v>
      </c>
      <c r="R88" s="15">
        <v>164.83930675628099</v>
      </c>
      <c r="S88" s="14">
        <v>142.1157679722385</v>
      </c>
      <c r="T88" s="14">
        <v>142.63227112678192</v>
      </c>
      <c r="U88" s="14">
        <v>143.00777342016252</v>
      </c>
      <c r="V88" s="14">
        <v>149.73101448236656</v>
      </c>
      <c r="W88" s="14">
        <v>159.46747394780533</v>
      </c>
      <c r="X88" s="14">
        <v>171.54214769389108</v>
      </c>
      <c r="Y88" s="14">
        <v>185.59153350053299</v>
      </c>
      <c r="Z88" s="14">
        <v>183.60352135874612</v>
      </c>
      <c r="AA88" s="14">
        <v>191.11866725750991</v>
      </c>
      <c r="AB88" s="14">
        <v>188.52215139928555</v>
      </c>
      <c r="AC88" s="14">
        <v>186.13083679432901</v>
      </c>
      <c r="AD88" s="14">
        <v>183.58472124392435</v>
      </c>
      <c r="AE88" s="14">
        <v>178.07428758894383</v>
      </c>
      <c r="AF88" s="14">
        <v>174.91816831294153</v>
      </c>
      <c r="AG88" s="14">
        <v>173.29155837841873</v>
      </c>
      <c r="AH88" s="14">
        <v>169.13783300953571</v>
      </c>
      <c r="AI88" s="15">
        <v>164.83930675628099</v>
      </c>
      <c r="AJ88" s="14">
        <v>140.38535740375386</v>
      </c>
      <c r="AK88" s="14">
        <v>143.55447675915434</v>
      </c>
      <c r="AL88" s="14">
        <v>143.00777342016252</v>
      </c>
      <c r="AM88" s="14">
        <v>149.73101448236656</v>
      </c>
      <c r="AN88" s="14">
        <v>159.46747394780533</v>
      </c>
      <c r="AO88" s="14">
        <v>171.54214769389108</v>
      </c>
      <c r="AP88" s="14">
        <v>185.59153350053299</v>
      </c>
      <c r="AQ88" s="14">
        <v>183.60352135874612</v>
      </c>
      <c r="AR88" s="14">
        <v>169.13783300953571</v>
      </c>
      <c r="AS88" s="14">
        <v>164.83930675628099</v>
      </c>
    </row>
    <row r="89" spans="1:45" x14ac:dyDescent="0.35">
      <c r="A89" s="16">
        <v>2260.6436880000001</v>
      </c>
      <c r="B89" s="14">
        <v>143.3565755504724</v>
      </c>
      <c r="C89" s="14">
        <v>142.53227051602823</v>
      </c>
      <c r="D89" s="14">
        <v>142.90797281063081</v>
      </c>
      <c r="E89" s="14">
        <v>149.6226138203094</v>
      </c>
      <c r="F89" s="14">
        <v>159.35087323566663</v>
      </c>
      <c r="G89" s="14">
        <v>171.41714693044887</v>
      </c>
      <c r="H89" s="14">
        <v>185.45623267418313</v>
      </c>
      <c r="I89" s="14">
        <v>183.46362050430162</v>
      </c>
      <c r="J89" s="14">
        <v>190.97216636275536</v>
      </c>
      <c r="K89" s="14">
        <v>188.37605050697425</v>
      </c>
      <c r="L89" s="14">
        <v>185.98563590751405</v>
      </c>
      <c r="M89" s="14">
        <v>183.43872035222367</v>
      </c>
      <c r="N89" s="14">
        <v>177.92968670579407</v>
      </c>
      <c r="O89" s="14">
        <v>174.77306742673724</v>
      </c>
      <c r="P89" s="14">
        <v>173.14535748549679</v>
      </c>
      <c r="Q89" s="14">
        <v>168.9927321233321</v>
      </c>
      <c r="R89" s="15">
        <v>164.69730588901044</v>
      </c>
      <c r="S89" s="14">
        <v>142.02396741156639</v>
      </c>
      <c r="T89" s="14">
        <v>142.53227051602823</v>
      </c>
      <c r="U89" s="14">
        <v>142.90797281063081</v>
      </c>
      <c r="V89" s="14">
        <v>149.6226138203094</v>
      </c>
      <c r="W89" s="14">
        <v>159.35087323566663</v>
      </c>
      <c r="X89" s="14">
        <v>171.41714693044887</v>
      </c>
      <c r="Y89" s="14">
        <v>185.45623267418313</v>
      </c>
      <c r="Z89" s="14">
        <v>183.46362050430162</v>
      </c>
      <c r="AA89" s="14">
        <v>190.97216636275536</v>
      </c>
      <c r="AB89" s="14">
        <v>188.37605050697425</v>
      </c>
      <c r="AC89" s="14">
        <v>185.98563590751405</v>
      </c>
      <c r="AD89" s="14">
        <v>183.43872035222367</v>
      </c>
      <c r="AE89" s="14">
        <v>177.92968670579407</v>
      </c>
      <c r="AF89" s="14">
        <v>174.77306742673724</v>
      </c>
      <c r="AG89" s="14">
        <v>173.14535748549679</v>
      </c>
      <c r="AH89" s="14">
        <v>168.9927321233321</v>
      </c>
      <c r="AI89" s="15">
        <v>164.69730588901044</v>
      </c>
      <c r="AJ89" s="14">
        <v>140.29465684980011</v>
      </c>
      <c r="AK89" s="14">
        <v>143.45927617771656</v>
      </c>
      <c r="AL89" s="14">
        <v>142.90797281063081</v>
      </c>
      <c r="AM89" s="14">
        <v>149.6226138203094</v>
      </c>
      <c r="AN89" s="14">
        <v>159.35087323566663</v>
      </c>
      <c r="AO89" s="14">
        <v>171.41714693044887</v>
      </c>
      <c r="AP89" s="14">
        <v>185.45623267418313</v>
      </c>
      <c r="AQ89" s="14">
        <v>183.46362050430162</v>
      </c>
      <c r="AR89" s="14">
        <v>168.9927321233321</v>
      </c>
      <c r="AS89" s="14">
        <v>164.69730588901044</v>
      </c>
    </row>
    <row r="90" spans="1:45" x14ac:dyDescent="0.35">
      <c r="A90" s="16">
        <v>2287.024128</v>
      </c>
      <c r="B90" s="14">
        <v>143.3052752371556</v>
      </c>
      <c r="C90" s="14">
        <v>142.4755701697311</v>
      </c>
      <c r="D90" s="14">
        <v>142.85147246555422</v>
      </c>
      <c r="E90" s="14">
        <v>149.55581341232588</v>
      </c>
      <c r="F90" s="14">
        <v>159.2734727629429</v>
      </c>
      <c r="G90" s="14">
        <v>171.32914639298494</v>
      </c>
      <c r="H90" s="14">
        <v>185.35593206159689</v>
      </c>
      <c r="I90" s="14">
        <v>183.35791985873499</v>
      </c>
      <c r="J90" s="14">
        <v>190.85916567260358</v>
      </c>
      <c r="K90" s="14">
        <v>188.26344981926565</v>
      </c>
      <c r="L90" s="14">
        <v>185.87403522591251</v>
      </c>
      <c r="M90" s="14">
        <v>183.32611966451509</v>
      </c>
      <c r="N90" s="14">
        <v>177.81868602785701</v>
      </c>
      <c r="O90" s="14">
        <v>174.66136674452571</v>
      </c>
      <c r="P90" s="14">
        <v>173.03235679534498</v>
      </c>
      <c r="Q90" s="14">
        <v>168.88093144050927</v>
      </c>
      <c r="R90" s="15">
        <v>164.58830522328876</v>
      </c>
      <c r="S90" s="14">
        <v>141.97456710985372</v>
      </c>
      <c r="T90" s="14">
        <v>142.4755701697311</v>
      </c>
      <c r="U90" s="14">
        <v>142.85147246555422</v>
      </c>
      <c r="V90" s="14">
        <v>149.55581341232588</v>
      </c>
      <c r="W90" s="14">
        <v>159.2734727629429</v>
      </c>
      <c r="X90" s="14">
        <v>171.32914639298494</v>
      </c>
      <c r="Y90" s="14">
        <v>185.35593206159689</v>
      </c>
      <c r="Z90" s="14">
        <v>183.35791985873499</v>
      </c>
      <c r="AA90" s="14">
        <v>190.85916567260358</v>
      </c>
      <c r="AB90" s="14">
        <v>188.26344981926565</v>
      </c>
      <c r="AC90" s="14">
        <v>185.87403522591251</v>
      </c>
      <c r="AD90" s="14">
        <v>183.32611966451509</v>
      </c>
      <c r="AE90" s="14">
        <v>177.81868602785701</v>
      </c>
      <c r="AF90" s="14">
        <v>174.66136674452571</v>
      </c>
      <c r="AG90" s="14">
        <v>173.03235679534498</v>
      </c>
      <c r="AH90" s="14">
        <v>168.88093144050927</v>
      </c>
      <c r="AI90" s="15">
        <v>164.58830522328876</v>
      </c>
      <c r="AJ90" s="14">
        <v>140.24565655053064</v>
      </c>
      <c r="AK90" s="14">
        <v>143.40787586378917</v>
      </c>
      <c r="AL90" s="14">
        <v>142.85147246555422</v>
      </c>
      <c r="AM90" s="14">
        <v>149.55581341232588</v>
      </c>
      <c r="AN90" s="14">
        <v>159.2734727629429</v>
      </c>
      <c r="AO90" s="14">
        <v>171.32914639298494</v>
      </c>
      <c r="AP90" s="14">
        <v>185.35593206159689</v>
      </c>
      <c r="AQ90" s="14">
        <v>183.35791985873499</v>
      </c>
      <c r="AR90" s="14">
        <v>168.88093144050927</v>
      </c>
      <c r="AS90" s="14">
        <v>164.58830522328876</v>
      </c>
    </row>
    <row r="91" spans="1:45" x14ac:dyDescent="0.35">
      <c r="A91" s="16">
        <v>2317.0469280000002</v>
      </c>
      <c r="B91" s="14">
        <v>143.29787519195978</v>
      </c>
      <c r="C91" s="14">
        <v>142.46217008788972</v>
      </c>
      <c r="D91" s="14">
        <v>142.83807238371352</v>
      </c>
      <c r="E91" s="14">
        <v>149.53091326024796</v>
      </c>
      <c r="F91" s="14">
        <v>159.23597253391003</v>
      </c>
      <c r="G91" s="14">
        <v>171.27804608089014</v>
      </c>
      <c r="H91" s="14">
        <v>185.29053166216431</v>
      </c>
      <c r="I91" s="14">
        <v>183.28661942326747</v>
      </c>
      <c r="J91" s="14">
        <v>190.77956518644314</v>
      </c>
      <c r="K91" s="14">
        <v>188.18454933738036</v>
      </c>
      <c r="L91" s="14">
        <v>185.79613475013562</v>
      </c>
      <c r="M91" s="14">
        <v>183.24711918201987</v>
      </c>
      <c r="N91" s="14">
        <v>177.74118555452264</v>
      </c>
      <c r="O91" s="14">
        <v>174.58306626630491</v>
      </c>
      <c r="P91" s="14">
        <v>172.95265630857398</v>
      </c>
      <c r="Q91" s="14">
        <v>168.8023309604566</v>
      </c>
      <c r="R91" s="15">
        <v>164.51240475972665</v>
      </c>
      <c r="S91" s="14">
        <v>141.96746706649051</v>
      </c>
      <c r="T91" s="14">
        <v>142.46217008788972</v>
      </c>
      <c r="U91" s="14">
        <v>142.83807238371352</v>
      </c>
      <c r="V91" s="14">
        <v>149.53091326024796</v>
      </c>
      <c r="W91" s="14">
        <v>159.23597253391003</v>
      </c>
      <c r="X91" s="14">
        <v>171.27804608089014</v>
      </c>
      <c r="Y91" s="14">
        <v>185.29053166216431</v>
      </c>
      <c r="Z91" s="14">
        <v>183.28661942326747</v>
      </c>
      <c r="AA91" s="14">
        <v>190.77956518644314</v>
      </c>
      <c r="AB91" s="14">
        <v>188.18454933738036</v>
      </c>
      <c r="AC91" s="14">
        <v>185.79613475013562</v>
      </c>
      <c r="AD91" s="14">
        <v>183.24711918201987</v>
      </c>
      <c r="AE91" s="14">
        <v>177.74118555452264</v>
      </c>
      <c r="AF91" s="14">
        <v>174.58306626630491</v>
      </c>
      <c r="AG91" s="14">
        <v>172.95265630857398</v>
      </c>
      <c r="AH91" s="14">
        <v>168.8023309604566</v>
      </c>
      <c r="AI91" s="15">
        <v>164.51240475972665</v>
      </c>
      <c r="AJ91" s="14">
        <v>140.23865650777736</v>
      </c>
      <c r="AK91" s="14">
        <v>143.40047581859335</v>
      </c>
      <c r="AL91" s="14">
        <v>142.83807238371352</v>
      </c>
      <c r="AM91" s="14">
        <v>149.53091326024796</v>
      </c>
      <c r="AN91" s="14">
        <v>159.23597253391003</v>
      </c>
      <c r="AO91" s="14">
        <v>171.27804608089014</v>
      </c>
      <c r="AP91" s="14">
        <v>185.29053166216431</v>
      </c>
      <c r="AQ91" s="14">
        <v>183.28661942326747</v>
      </c>
      <c r="AR91" s="14">
        <v>168.8023309604566</v>
      </c>
      <c r="AS91" s="14">
        <v>164.51240475972665</v>
      </c>
    </row>
    <row r="92" spans="1:45" x14ac:dyDescent="0.35">
      <c r="A92" s="16">
        <v>2351.1083279999998</v>
      </c>
      <c r="B92" s="14">
        <v>143.32337534770224</v>
      </c>
      <c r="C92" s="14">
        <v>142.48097020271149</v>
      </c>
      <c r="D92" s="14">
        <v>142.85677249792468</v>
      </c>
      <c r="E92" s="14">
        <v>149.53641329383967</v>
      </c>
      <c r="F92" s="14">
        <v>159.22647247588816</v>
      </c>
      <c r="G92" s="14">
        <v>171.25254592514767</v>
      </c>
      <c r="H92" s="14">
        <v>185.24883140747932</v>
      </c>
      <c r="I92" s="14">
        <v>183.2383191282731</v>
      </c>
      <c r="J92" s="14">
        <v>190.72186483403829</v>
      </c>
      <c r="K92" s="14">
        <v>188.1275489892513</v>
      </c>
      <c r="L92" s="14">
        <v>185.74033440933485</v>
      </c>
      <c r="M92" s="14">
        <v>183.19001883327948</v>
      </c>
      <c r="N92" s="14">
        <v>177.68588521677572</v>
      </c>
      <c r="O92" s="14">
        <v>174.52686592306162</v>
      </c>
      <c r="P92" s="14">
        <v>172.89465595433717</v>
      </c>
      <c r="Q92" s="14">
        <v>168.74573061477005</v>
      </c>
      <c r="R92" s="15">
        <v>164.45830442930867</v>
      </c>
      <c r="S92" s="14">
        <v>141.99206721673585</v>
      </c>
      <c r="T92" s="14">
        <v>142.48097020271149</v>
      </c>
      <c r="U92" s="14">
        <v>142.85677249792468</v>
      </c>
      <c r="V92" s="14">
        <v>149.53641329383967</v>
      </c>
      <c r="W92" s="14">
        <v>159.22647247588816</v>
      </c>
      <c r="X92" s="14">
        <v>171.25254592514767</v>
      </c>
      <c r="Y92" s="14">
        <v>185.24883140747932</v>
      </c>
      <c r="Z92" s="14">
        <v>183.2383191282731</v>
      </c>
      <c r="AA92" s="14">
        <v>190.72186483403829</v>
      </c>
      <c r="AB92" s="14">
        <v>188.1275489892513</v>
      </c>
      <c r="AC92" s="14">
        <v>185.74033440933485</v>
      </c>
      <c r="AD92" s="14">
        <v>183.19001883327948</v>
      </c>
      <c r="AE92" s="14">
        <v>177.68588521677572</v>
      </c>
      <c r="AF92" s="14">
        <v>174.52686592306162</v>
      </c>
      <c r="AG92" s="14">
        <v>172.89465595433717</v>
      </c>
      <c r="AH92" s="14">
        <v>168.74573061477005</v>
      </c>
      <c r="AI92" s="15">
        <v>164.45830442930867</v>
      </c>
      <c r="AJ92" s="14">
        <v>140.26295665619085</v>
      </c>
      <c r="AK92" s="14">
        <v>143.42607597494646</v>
      </c>
      <c r="AL92" s="14">
        <v>142.85677249792468</v>
      </c>
      <c r="AM92" s="14">
        <v>149.53641329383967</v>
      </c>
      <c r="AN92" s="14">
        <v>159.22647247588816</v>
      </c>
      <c r="AO92" s="14">
        <v>171.25254592514767</v>
      </c>
      <c r="AP92" s="14">
        <v>185.24883140747932</v>
      </c>
      <c r="AQ92" s="14">
        <v>183.2383191282731</v>
      </c>
      <c r="AR92" s="14">
        <v>168.74573061477005</v>
      </c>
      <c r="AS92" s="14">
        <v>164.45830442930867</v>
      </c>
    </row>
    <row r="93" spans="1:45" x14ac:dyDescent="0.35">
      <c r="A93" s="16">
        <v>2389.2083280000002</v>
      </c>
      <c r="B93" s="14">
        <v>143.38187570499286</v>
      </c>
      <c r="C93" s="14">
        <v>142.53197051419568</v>
      </c>
      <c r="D93" s="14">
        <v>142.91007282345618</v>
      </c>
      <c r="E93" s="14">
        <v>149.57231351310031</v>
      </c>
      <c r="F93" s="14">
        <v>159.24487258826741</v>
      </c>
      <c r="G93" s="14">
        <v>171.25264592575829</v>
      </c>
      <c r="H93" s="14">
        <v>185.230831297544</v>
      </c>
      <c r="I93" s="14">
        <v>183.21311897436325</v>
      </c>
      <c r="J93" s="14">
        <v>190.68616461599953</v>
      </c>
      <c r="K93" s="14">
        <v>188.09254877548699</v>
      </c>
      <c r="L93" s="14">
        <v>185.70663420351084</v>
      </c>
      <c r="M93" s="14">
        <v>183.15481861829389</v>
      </c>
      <c r="N93" s="14">
        <v>177.65258501339494</v>
      </c>
      <c r="O93" s="14">
        <v>174.49256571357313</v>
      </c>
      <c r="P93" s="14">
        <v>172.85835573263327</v>
      </c>
      <c r="Q93" s="14">
        <v>168.71083040161707</v>
      </c>
      <c r="R93" s="15">
        <v>164.42600423203561</v>
      </c>
      <c r="S93" s="14">
        <v>142.04836756059049</v>
      </c>
      <c r="T93" s="14">
        <v>142.53197051419568</v>
      </c>
      <c r="U93" s="14">
        <v>142.91007282345618</v>
      </c>
      <c r="V93" s="14">
        <v>149.57231351310031</v>
      </c>
      <c r="W93" s="14">
        <v>159.24487258826741</v>
      </c>
      <c r="X93" s="14">
        <v>171.25264592575829</v>
      </c>
      <c r="Y93" s="14">
        <v>185.230831297544</v>
      </c>
      <c r="Z93" s="14">
        <v>183.21311897436325</v>
      </c>
      <c r="AA93" s="14">
        <v>190.68616461599953</v>
      </c>
      <c r="AB93" s="14">
        <v>188.09254877548699</v>
      </c>
      <c r="AC93" s="14">
        <v>185.70663420351084</v>
      </c>
      <c r="AD93" s="14">
        <v>183.15481861829389</v>
      </c>
      <c r="AE93" s="14">
        <v>177.65258501339494</v>
      </c>
      <c r="AF93" s="14">
        <v>174.49256571357313</v>
      </c>
      <c r="AG93" s="14">
        <v>172.85835573263327</v>
      </c>
      <c r="AH93" s="14">
        <v>168.71083040161707</v>
      </c>
      <c r="AI93" s="15">
        <v>164.42600423203561</v>
      </c>
      <c r="AJ93" s="14">
        <v>140.31865699638098</v>
      </c>
      <c r="AK93" s="14">
        <v>143.48447633162644</v>
      </c>
      <c r="AL93" s="14">
        <v>142.91007282345618</v>
      </c>
      <c r="AM93" s="14">
        <v>149.57231351310031</v>
      </c>
      <c r="AN93" s="14">
        <v>159.24487258826741</v>
      </c>
      <c r="AO93" s="14">
        <v>171.25264592575829</v>
      </c>
      <c r="AP93" s="14">
        <v>185.230831297544</v>
      </c>
      <c r="AQ93" s="14">
        <v>183.21311897436325</v>
      </c>
      <c r="AR93" s="14">
        <v>168.71083040161707</v>
      </c>
      <c r="AS93" s="14">
        <v>164.42600423203561</v>
      </c>
    </row>
    <row r="94" spans="1:45" x14ac:dyDescent="0.35">
      <c r="A94" s="16">
        <v>2427.3083280000001</v>
      </c>
      <c r="B94" s="14">
        <v>143.41357589860215</v>
      </c>
      <c r="C94" s="14">
        <v>142.55627066260914</v>
      </c>
      <c r="D94" s="14">
        <v>142.93657298530633</v>
      </c>
      <c r="E94" s="14">
        <v>149.58141356867898</v>
      </c>
      <c r="F94" s="14">
        <v>159.23627253574261</v>
      </c>
      <c r="G94" s="14">
        <v>171.22614576390885</v>
      </c>
      <c r="H94" s="14">
        <v>185.18703103003364</v>
      </c>
      <c r="I94" s="14">
        <v>183.16241866471097</v>
      </c>
      <c r="J94" s="14">
        <v>190.62476424099643</v>
      </c>
      <c r="K94" s="14">
        <v>188.03184840475967</v>
      </c>
      <c r="L94" s="14">
        <v>185.64703383950118</v>
      </c>
      <c r="M94" s="14">
        <v>183.09391824634466</v>
      </c>
      <c r="N94" s="14">
        <v>177.59348465243914</v>
      </c>
      <c r="O94" s="14">
        <v>174.43266534773156</v>
      </c>
      <c r="P94" s="14">
        <v>172.7964553545763</v>
      </c>
      <c r="Q94" s="14">
        <v>168.6505300333323</v>
      </c>
      <c r="R94" s="15">
        <v>164.36840388024135</v>
      </c>
      <c r="S94" s="14">
        <v>142.07886774687012</v>
      </c>
      <c r="T94" s="14">
        <v>142.55627066260914</v>
      </c>
      <c r="U94" s="14">
        <v>142.93657298530633</v>
      </c>
      <c r="V94" s="14">
        <v>149.58141356867898</v>
      </c>
      <c r="W94" s="14">
        <v>159.23627253574261</v>
      </c>
      <c r="X94" s="14">
        <v>171.22614576390885</v>
      </c>
      <c r="Y94" s="14">
        <v>185.18703103003364</v>
      </c>
      <c r="Z94" s="14">
        <v>183.16241866471097</v>
      </c>
      <c r="AA94" s="14">
        <v>190.62476424099643</v>
      </c>
      <c r="AB94" s="14">
        <v>188.03184840475967</v>
      </c>
      <c r="AC94" s="14">
        <v>185.64703383950118</v>
      </c>
      <c r="AD94" s="14">
        <v>183.09391824634466</v>
      </c>
      <c r="AE94" s="14">
        <v>177.59348465243914</v>
      </c>
      <c r="AF94" s="14">
        <v>174.43266534773156</v>
      </c>
      <c r="AG94" s="14">
        <v>172.7964553545763</v>
      </c>
      <c r="AH94" s="14">
        <v>168.6505300333323</v>
      </c>
      <c r="AI94" s="15">
        <v>164.36840388024135</v>
      </c>
      <c r="AJ94" s="14">
        <v>140.3488571808287</v>
      </c>
      <c r="AK94" s="14">
        <v>143.51617652523569</v>
      </c>
      <c r="AL94" s="14">
        <v>142.93657298530633</v>
      </c>
      <c r="AM94" s="14">
        <v>149.58141356867898</v>
      </c>
      <c r="AN94" s="14">
        <v>159.23627253574261</v>
      </c>
      <c r="AO94" s="14">
        <v>171.22614576390885</v>
      </c>
      <c r="AP94" s="14">
        <v>185.18703103003364</v>
      </c>
      <c r="AQ94" s="14">
        <v>183.16241866471097</v>
      </c>
      <c r="AR94" s="14">
        <v>168.6505300333323</v>
      </c>
      <c r="AS94" s="14">
        <v>164.36840388024135</v>
      </c>
    </row>
    <row r="95" spans="1:45" x14ac:dyDescent="0.35">
      <c r="A95" s="16">
        <v>2465.408328</v>
      </c>
      <c r="B95" s="14">
        <v>143.41847592852866</v>
      </c>
      <c r="C95" s="14">
        <v>142.55367064672924</v>
      </c>
      <c r="D95" s="14">
        <v>142.93627298347374</v>
      </c>
      <c r="E95" s="14">
        <v>149.56371346057486</v>
      </c>
      <c r="F95" s="14">
        <v>159.20077231892446</v>
      </c>
      <c r="G95" s="14">
        <v>171.17294543898797</v>
      </c>
      <c r="H95" s="14">
        <v>185.11753060555964</v>
      </c>
      <c r="I95" s="14">
        <v>183.08621819931693</v>
      </c>
      <c r="J95" s="14">
        <v>190.53776370964025</v>
      </c>
      <c r="K95" s="14">
        <v>187.94534787645733</v>
      </c>
      <c r="L95" s="14">
        <v>185.56163331791788</v>
      </c>
      <c r="M95" s="14">
        <v>183.007217716821</v>
      </c>
      <c r="N95" s="14">
        <v>177.50858413390898</v>
      </c>
      <c r="O95" s="14">
        <v>174.34696482431499</v>
      </c>
      <c r="P95" s="14">
        <v>172.70885481955631</v>
      </c>
      <c r="Q95" s="14">
        <v>168.56472950930575</v>
      </c>
      <c r="R95" s="15">
        <v>164.28560337453726</v>
      </c>
      <c r="S95" s="14">
        <v>142.0836677761867</v>
      </c>
      <c r="T95" s="14">
        <v>142.55367064672924</v>
      </c>
      <c r="U95" s="14">
        <v>142.93627298347374</v>
      </c>
      <c r="V95" s="14">
        <v>149.56371346057486</v>
      </c>
      <c r="W95" s="14">
        <v>159.20077231892446</v>
      </c>
      <c r="X95" s="14">
        <v>171.17294543898797</v>
      </c>
      <c r="Y95" s="14">
        <v>185.11753060555964</v>
      </c>
      <c r="Z95" s="14">
        <v>183.08621819931693</v>
      </c>
      <c r="AA95" s="14">
        <v>190.53776370964025</v>
      </c>
      <c r="AB95" s="14">
        <v>187.94534787645733</v>
      </c>
      <c r="AC95" s="14">
        <v>185.56163331791788</v>
      </c>
      <c r="AD95" s="14">
        <v>183.007217716821</v>
      </c>
      <c r="AE95" s="14">
        <v>177.50858413390898</v>
      </c>
      <c r="AF95" s="14">
        <v>174.34696482431499</v>
      </c>
      <c r="AG95" s="14">
        <v>172.70885481955631</v>
      </c>
      <c r="AH95" s="14">
        <v>168.56472950930575</v>
      </c>
      <c r="AI95" s="15">
        <v>164.28560337453726</v>
      </c>
      <c r="AJ95" s="14">
        <v>140.35355720953396</v>
      </c>
      <c r="AK95" s="14">
        <v>143.52117655577288</v>
      </c>
      <c r="AL95" s="14">
        <v>142.93627298347374</v>
      </c>
      <c r="AM95" s="14">
        <v>149.56371346057486</v>
      </c>
      <c r="AN95" s="14">
        <v>159.20077231892446</v>
      </c>
      <c r="AO95" s="14">
        <v>171.17294543898797</v>
      </c>
      <c r="AP95" s="14">
        <v>185.11753060555964</v>
      </c>
      <c r="AQ95" s="14">
        <v>183.08621819931693</v>
      </c>
      <c r="AR95" s="14">
        <v>168.56472950930575</v>
      </c>
      <c r="AS95" s="14">
        <v>164.28560337453726</v>
      </c>
    </row>
    <row r="96" spans="1:45" x14ac:dyDescent="0.35">
      <c r="A96" s="16">
        <v>2503.5083280000003</v>
      </c>
      <c r="B96" s="14">
        <v>143.43487602869249</v>
      </c>
      <c r="C96" s="14">
        <v>142.56247070047596</v>
      </c>
      <c r="D96" s="14">
        <v>142.94737305126779</v>
      </c>
      <c r="E96" s="14">
        <v>149.55751342270872</v>
      </c>
      <c r="F96" s="14">
        <v>159.17637216990104</v>
      </c>
      <c r="G96" s="14">
        <v>171.13024517819596</v>
      </c>
      <c r="H96" s="14">
        <v>185.05903024826898</v>
      </c>
      <c r="I96" s="14">
        <v>183.02121780232687</v>
      </c>
      <c r="J96" s="14">
        <v>190.46176324546744</v>
      </c>
      <c r="K96" s="14">
        <v>187.86974741472778</v>
      </c>
      <c r="L96" s="14">
        <v>185.48713286290595</v>
      </c>
      <c r="M96" s="14">
        <v>182.93161725509145</v>
      </c>
      <c r="N96" s="14">
        <v>177.43468368256225</v>
      </c>
      <c r="O96" s="14">
        <v>174.27226436808181</v>
      </c>
      <c r="P96" s="14">
        <v>172.63225435171904</v>
      </c>
      <c r="Q96" s="14">
        <v>168.48982905185062</v>
      </c>
      <c r="R96" s="15">
        <v>164.21360293479393</v>
      </c>
      <c r="S96" s="14">
        <v>142.09946787268535</v>
      </c>
      <c r="T96" s="14">
        <v>142.56247070047596</v>
      </c>
      <c r="U96" s="14">
        <v>142.94737305126779</v>
      </c>
      <c r="V96" s="14">
        <v>149.55751342270872</v>
      </c>
      <c r="W96" s="14">
        <v>159.17637216990104</v>
      </c>
      <c r="X96" s="14">
        <v>171.13024517819596</v>
      </c>
      <c r="Y96" s="14">
        <v>185.05903024826898</v>
      </c>
      <c r="Z96" s="14">
        <v>183.02121780232687</v>
      </c>
      <c r="AA96" s="14">
        <v>190.46176324546744</v>
      </c>
      <c r="AB96" s="14">
        <v>187.86974741472778</v>
      </c>
      <c r="AC96" s="14">
        <v>185.48713286290595</v>
      </c>
      <c r="AD96" s="14">
        <v>182.93161725509145</v>
      </c>
      <c r="AE96" s="14">
        <v>177.43468368256225</v>
      </c>
      <c r="AF96" s="14">
        <v>174.27226436808181</v>
      </c>
      <c r="AG96" s="14">
        <v>172.63225435171904</v>
      </c>
      <c r="AH96" s="14">
        <v>168.48982905185062</v>
      </c>
      <c r="AI96" s="15">
        <v>164.21360293479393</v>
      </c>
      <c r="AJ96" s="14">
        <v>140.36915730481132</v>
      </c>
      <c r="AK96" s="14">
        <v>143.53747665532606</v>
      </c>
      <c r="AL96" s="14">
        <v>142.94737305126779</v>
      </c>
      <c r="AM96" s="14">
        <v>149.55751342270872</v>
      </c>
      <c r="AN96" s="14">
        <v>159.17637216990104</v>
      </c>
      <c r="AO96" s="14">
        <v>171.13024517819596</v>
      </c>
      <c r="AP96" s="14">
        <v>185.05903024826898</v>
      </c>
      <c r="AQ96" s="14">
        <v>183.02121780232687</v>
      </c>
      <c r="AR96" s="14">
        <v>168.48982905185062</v>
      </c>
      <c r="AS96" s="14">
        <v>164.21360293479393</v>
      </c>
    </row>
    <row r="97" spans="1:45" x14ac:dyDescent="0.35">
      <c r="A97" s="16">
        <v>2541.6083280000003</v>
      </c>
      <c r="B97" s="14">
        <v>143.46267619848223</v>
      </c>
      <c r="C97" s="14">
        <v>142.58267082384799</v>
      </c>
      <c r="D97" s="14">
        <v>142.96997318929775</v>
      </c>
      <c r="E97" s="14">
        <v>149.56271345446783</v>
      </c>
      <c r="F97" s="14">
        <v>159.16287208744905</v>
      </c>
      <c r="G97" s="14">
        <v>171.09804498153284</v>
      </c>
      <c r="H97" s="14">
        <v>185.01142995754975</v>
      </c>
      <c r="I97" s="14">
        <v>182.96731747313021</v>
      </c>
      <c r="J97" s="14">
        <v>190.39676284847738</v>
      </c>
      <c r="K97" s="14">
        <v>187.8052470207916</v>
      </c>
      <c r="L97" s="14">
        <v>185.42353247446684</v>
      </c>
      <c r="M97" s="14">
        <v>182.86691685993333</v>
      </c>
      <c r="N97" s="14">
        <v>177.37158329717633</v>
      </c>
      <c r="O97" s="14">
        <v>174.20856397903205</v>
      </c>
      <c r="P97" s="14">
        <v>172.56655395045314</v>
      </c>
      <c r="Q97" s="14">
        <v>168.42592866157892</v>
      </c>
      <c r="R97" s="15">
        <v>164.15230256040212</v>
      </c>
      <c r="S97" s="14">
        <v>142.12626803636738</v>
      </c>
      <c r="T97" s="14">
        <v>142.58267082384799</v>
      </c>
      <c r="U97" s="14">
        <v>142.96997318929775</v>
      </c>
      <c r="V97" s="14">
        <v>149.56271345446783</v>
      </c>
      <c r="W97" s="14">
        <v>159.16287208744905</v>
      </c>
      <c r="X97" s="14">
        <v>171.09804498153284</v>
      </c>
      <c r="Y97" s="14">
        <v>185.01142995754975</v>
      </c>
      <c r="Z97" s="14">
        <v>182.96731747313021</v>
      </c>
      <c r="AA97" s="14">
        <v>190.39676284847738</v>
      </c>
      <c r="AB97" s="14">
        <v>187.8052470207916</v>
      </c>
      <c r="AC97" s="14">
        <v>185.42353247446684</v>
      </c>
      <c r="AD97" s="14">
        <v>182.86691685993333</v>
      </c>
      <c r="AE97" s="14">
        <v>177.37158329717633</v>
      </c>
      <c r="AF97" s="14">
        <v>174.20856397903205</v>
      </c>
      <c r="AG97" s="14">
        <v>172.56655395045314</v>
      </c>
      <c r="AH97" s="14">
        <v>168.42592866157892</v>
      </c>
      <c r="AI97" s="15">
        <v>164.15230256040212</v>
      </c>
      <c r="AJ97" s="14">
        <v>140.39565746666148</v>
      </c>
      <c r="AK97" s="14">
        <v>143.56537682572645</v>
      </c>
      <c r="AL97" s="14">
        <v>142.96997318929775</v>
      </c>
      <c r="AM97" s="14">
        <v>149.56271345446783</v>
      </c>
      <c r="AN97" s="14">
        <v>159.16287208744905</v>
      </c>
      <c r="AO97" s="14">
        <v>171.09804498153284</v>
      </c>
      <c r="AP97" s="14">
        <v>185.01142995754975</v>
      </c>
      <c r="AQ97" s="14">
        <v>182.96731747313021</v>
      </c>
      <c r="AR97" s="14">
        <v>168.42592866157892</v>
      </c>
      <c r="AS97" s="14">
        <v>164.15230256040212</v>
      </c>
    </row>
    <row r="98" spans="1:45" x14ac:dyDescent="0.35">
      <c r="A98" s="16">
        <v>2572.015938</v>
      </c>
      <c r="B98" s="14">
        <v>143.45177613191015</v>
      </c>
      <c r="C98" s="14">
        <v>142.56567072001965</v>
      </c>
      <c r="D98" s="14">
        <v>142.95367308974525</v>
      </c>
      <c r="E98" s="14">
        <v>149.53361327673849</v>
      </c>
      <c r="F98" s="14">
        <v>159.11907181993871</v>
      </c>
      <c r="G98" s="14">
        <v>171.03974462546347</v>
      </c>
      <c r="H98" s="14">
        <v>184.94152953063318</v>
      </c>
      <c r="I98" s="14">
        <v>182.89261701689702</v>
      </c>
      <c r="J98" s="14">
        <v>190.31316233788755</v>
      </c>
      <c r="K98" s="14">
        <v>187.72184651142231</v>
      </c>
      <c r="L98" s="14">
        <v>185.34093196998401</v>
      </c>
      <c r="M98" s="14">
        <v>182.78331634934347</v>
      </c>
      <c r="N98" s="14">
        <v>177.28948279574735</v>
      </c>
      <c r="O98" s="14">
        <v>174.12586347393858</v>
      </c>
      <c r="P98" s="14">
        <v>172.48235343619882</v>
      </c>
      <c r="Q98" s="14">
        <v>168.34332815709678</v>
      </c>
      <c r="R98" s="15">
        <v>164.0722020711886</v>
      </c>
      <c r="S98" s="14">
        <v>142.11566797162786</v>
      </c>
      <c r="T98" s="14">
        <v>142.56567072001965</v>
      </c>
      <c r="U98" s="14">
        <v>142.95367308974525</v>
      </c>
      <c r="V98" s="14">
        <v>149.53361327673849</v>
      </c>
      <c r="W98" s="14">
        <v>159.11907181993871</v>
      </c>
      <c r="X98" s="14">
        <v>171.03974462546347</v>
      </c>
      <c r="Y98" s="14">
        <v>184.94152953063318</v>
      </c>
      <c r="Z98" s="14">
        <v>182.89261701689702</v>
      </c>
      <c r="AA98" s="14">
        <v>190.31316233788755</v>
      </c>
      <c r="AB98" s="14">
        <v>187.72184651142231</v>
      </c>
      <c r="AC98" s="14">
        <v>185.34093196998401</v>
      </c>
      <c r="AD98" s="14">
        <v>182.78331634934347</v>
      </c>
      <c r="AE98" s="14">
        <v>177.28948279574735</v>
      </c>
      <c r="AF98" s="14">
        <v>174.12586347393858</v>
      </c>
      <c r="AG98" s="14">
        <v>172.48235343619882</v>
      </c>
      <c r="AH98" s="14">
        <v>168.34332815709678</v>
      </c>
      <c r="AI98" s="15">
        <v>164.0722020711886</v>
      </c>
      <c r="AJ98" s="14">
        <v>140.38525740314256</v>
      </c>
      <c r="AK98" s="14">
        <v>143.5543767585437</v>
      </c>
      <c r="AL98" s="14">
        <v>142.95367308974525</v>
      </c>
      <c r="AM98" s="14">
        <v>149.53361327673849</v>
      </c>
      <c r="AN98" s="14">
        <v>159.11907181993871</v>
      </c>
      <c r="AO98" s="14">
        <v>171.03974462546347</v>
      </c>
      <c r="AP98" s="14">
        <v>184.94152953063318</v>
      </c>
      <c r="AQ98" s="14">
        <v>182.89261701689702</v>
      </c>
      <c r="AR98" s="14">
        <v>168.34332815709678</v>
      </c>
      <c r="AS98" s="14">
        <v>164.0722020711886</v>
      </c>
    </row>
    <row r="99" spans="1:45" x14ac:dyDescent="0.35">
      <c r="A99" s="16">
        <v>2594.7311580000001</v>
      </c>
      <c r="B99" s="14">
        <v>143.40207582836555</v>
      </c>
      <c r="C99" s="14">
        <v>142.51137038838044</v>
      </c>
      <c r="D99" s="14">
        <v>142.89907275627345</v>
      </c>
      <c r="E99" s="14">
        <v>149.47021288952064</v>
      </c>
      <c r="F99" s="14">
        <v>159.04507136798065</v>
      </c>
      <c r="G99" s="14">
        <v>170.95514410876592</v>
      </c>
      <c r="H99" s="14">
        <v>184.84932896751786</v>
      </c>
      <c r="I99" s="14">
        <v>182.79711643362734</v>
      </c>
      <c r="J99" s="14">
        <v>190.21076171247526</v>
      </c>
      <c r="K99" s="14">
        <v>187.61954588662132</v>
      </c>
      <c r="L99" s="14">
        <v>185.23913134823621</v>
      </c>
      <c r="M99" s="14">
        <v>182.68101572454179</v>
      </c>
      <c r="N99" s="14">
        <v>177.18818217705407</v>
      </c>
      <c r="O99" s="14">
        <v>174.02426285341272</v>
      </c>
      <c r="P99" s="14">
        <v>172.37965280895463</v>
      </c>
      <c r="Q99" s="14">
        <v>168.24202753840282</v>
      </c>
      <c r="R99" s="15">
        <v>163.97310146593128</v>
      </c>
      <c r="S99" s="14">
        <v>142.06776767907675</v>
      </c>
      <c r="T99" s="14">
        <v>142.51137038838044</v>
      </c>
      <c r="U99" s="14">
        <v>142.89907275627345</v>
      </c>
      <c r="V99" s="14">
        <v>149.47021288952064</v>
      </c>
      <c r="W99" s="14">
        <v>159.04507136798065</v>
      </c>
      <c r="X99" s="14">
        <v>170.95514410876592</v>
      </c>
      <c r="Y99" s="14">
        <v>184.84932896751786</v>
      </c>
      <c r="Z99" s="14">
        <v>182.79711643362734</v>
      </c>
      <c r="AA99" s="14">
        <v>190.21076171247526</v>
      </c>
      <c r="AB99" s="14">
        <v>187.61954588662132</v>
      </c>
      <c r="AC99" s="14">
        <v>185.23913134823621</v>
      </c>
      <c r="AD99" s="14">
        <v>182.68101572454179</v>
      </c>
      <c r="AE99" s="14">
        <v>177.18818217705407</v>
      </c>
      <c r="AF99" s="14">
        <v>174.02426285341272</v>
      </c>
      <c r="AG99" s="14">
        <v>172.37965280895463</v>
      </c>
      <c r="AH99" s="14">
        <v>168.24202753840282</v>
      </c>
      <c r="AI99" s="15">
        <v>163.97310146593128</v>
      </c>
      <c r="AJ99" s="14">
        <v>140.33785711364527</v>
      </c>
      <c r="AK99" s="14">
        <v>143.50467645499842</v>
      </c>
      <c r="AL99" s="14">
        <v>142.89907275627345</v>
      </c>
      <c r="AM99" s="14">
        <v>149.47021288952064</v>
      </c>
      <c r="AN99" s="14">
        <v>159.04507136798065</v>
      </c>
      <c r="AO99" s="14">
        <v>170.95514410876592</v>
      </c>
      <c r="AP99" s="14">
        <v>184.84932896751786</v>
      </c>
      <c r="AQ99" s="14">
        <v>182.79711643362734</v>
      </c>
      <c r="AR99" s="14">
        <v>168.24202753840282</v>
      </c>
      <c r="AS99" s="14">
        <v>163.97310146593128</v>
      </c>
    </row>
    <row r="100" spans="1:45" x14ac:dyDescent="0.35">
      <c r="A100" s="16">
        <v>2617.4509499999999</v>
      </c>
      <c r="B100" s="14">
        <v>143.34217546252398</v>
      </c>
      <c r="C100" s="14">
        <v>142.4470699956662</v>
      </c>
      <c r="D100" s="14">
        <v>142.83437236111527</v>
      </c>
      <c r="E100" s="14">
        <v>149.39681244122704</v>
      </c>
      <c r="F100" s="14">
        <v>158.96077085311566</v>
      </c>
      <c r="G100" s="14">
        <v>170.86054353099266</v>
      </c>
      <c r="H100" s="14">
        <v>184.7474283451601</v>
      </c>
      <c r="I100" s="14">
        <v>182.69201579172523</v>
      </c>
      <c r="J100" s="14">
        <v>190.0986610278205</v>
      </c>
      <c r="K100" s="14">
        <v>187.50754520257723</v>
      </c>
      <c r="L100" s="14">
        <v>185.12763066724597</v>
      </c>
      <c r="M100" s="14">
        <v>182.56891503988709</v>
      </c>
      <c r="N100" s="14">
        <v>177.07718149911699</v>
      </c>
      <c r="O100" s="14">
        <v>173.91296217364376</v>
      </c>
      <c r="P100" s="14">
        <v>172.26735212307793</v>
      </c>
      <c r="Q100" s="14">
        <v>168.13102686046577</v>
      </c>
      <c r="R100" s="15">
        <v>163.86440080204153</v>
      </c>
      <c r="S100" s="14">
        <v>142.01016732728249</v>
      </c>
      <c r="T100" s="14">
        <v>142.4470699956662</v>
      </c>
      <c r="U100" s="14">
        <v>142.83437236111527</v>
      </c>
      <c r="V100" s="14">
        <v>149.39681244122704</v>
      </c>
      <c r="W100" s="14">
        <v>158.96077085311566</v>
      </c>
      <c r="X100" s="14">
        <v>170.86054353099266</v>
      </c>
      <c r="Y100" s="14">
        <v>184.7474283451601</v>
      </c>
      <c r="Z100" s="14">
        <v>182.69201579172523</v>
      </c>
      <c r="AA100" s="14">
        <v>190.0986610278205</v>
      </c>
      <c r="AB100" s="14">
        <v>187.50754520257723</v>
      </c>
      <c r="AC100" s="14">
        <v>185.12763066724597</v>
      </c>
      <c r="AD100" s="14">
        <v>182.56891503988709</v>
      </c>
      <c r="AE100" s="14">
        <v>177.07718149911699</v>
      </c>
      <c r="AF100" s="14">
        <v>173.91296217364376</v>
      </c>
      <c r="AG100" s="14">
        <v>172.26735212307793</v>
      </c>
      <c r="AH100" s="14">
        <v>168.13102686046577</v>
      </c>
      <c r="AI100" s="15">
        <v>163.86440080204153</v>
      </c>
      <c r="AJ100" s="14">
        <v>140.28085676551552</v>
      </c>
      <c r="AK100" s="14">
        <v>143.44487608976817</v>
      </c>
      <c r="AL100" s="14">
        <v>142.83437236111527</v>
      </c>
      <c r="AM100" s="14">
        <v>149.39681244122704</v>
      </c>
      <c r="AN100" s="14">
        <v>158.96077085311566</v>
      </c>
      <c r="AO100" s="14">
        <v>170.86054353099266</v>
      </c>
      <c r="AP100" s="14">
        <v>184.7474283451601</v>
      </c>
      <c r="AQ100" s="14">
        <v>182.69201579172523</v>
      </c>
      <c r="AR100" s="14">
        <v>168.13102686046577</v>
      </c>
      <c r="AS100" s="14">
        <v>163.86440080204153</v>
      </c>
    </row>
    <row r="101" spans="1:45" x14ac:dyDescent="0.35">
      <c r="A101" s="16">
        <v>2640.1753140000001</v>
      </c>
      <c r="B101" s="14">
        <v>143.27227503560673</v>
      </c>
      <c r="C101" s="14">
        <v>142.37276954187558</v>
      </c>
      <c r="D101" s="14">
        <v>142.7595719042715</v>
      </c>
      <c r="E101" s="14">
        <v>149.3132119306365</v>
      </c>
      <c r="F101" s="14">
        <v>158.86627027595304</v>
      </c>
      <c r="G101" s="14">
        <v>170.75574289092239</v>
      </c>
      <c r="H101" s="14">
        <v>184.6358276635585</v>
      </c>
      <c r="I101" s="14">
        <v>182.5773150911906</v>
      </c>
      <c r="J101" s="14">
        <v>189.97696028453262</v>
      </c>
      <c r="K101" s="14">
        <v>187.38584445928933</v>
      </c>
      <c r="L101" s="14">
        <v>185.00642992701259</v>
      </c>
      <c r="M101" s="14">
        <v>182.44711429598851</v>
      </c>
      <c r="N101" s="14">
        <v>176.95638076132613</v>
      </c>
      <c r="O101" s="14">
        <v>173.79196143463165</v>
      </c>
      <c r="P101" s="14">
        <v>172.14525137734751</v>
      </c>
      <c r="Q101" s="14">
        <v>168.01042612389688</v>
      </c>
      <c r="R101" s="15">
        <v>163.74630008074126</v>
      </c>
      <c r="S101" s="14">
        <v>141.94286691624512</v>
      </c>
      <c r="T101" s="14">
        <v>142.37276954187558</v>
      </c>
      <c r="U101" s="14">
        <v>142.7595719042715</v>
      </c>
      <c r="V101" s="14">
        <v>149.3132119306365</v>
      </c>
      <c r="W101" s="14">
        <v>158.86627027595304</v>
      </c>
      <c r="X101" s="14">
        <v>170.75574289092239</v>
      </c>
      <c r="Y101" s="14">
        <v>184.6358276635585</v>
      </c>
      <c r="Z101" s="14">
        <v>182.5773150911906</v>
      </c>
      <c r="AA101" s="14">
        <v>189.97696028453262</v>
      </c>
      <c r="AB101" s="14">
        <v>187.38584445928933</v>
      </c>
      <c r="AC101" s="14">
        <v>185.00642992701259</v>
      </c>
      <c r="AD101" s="14">
        <v>182.44711429598851</v>
      </c>
      <c r="AE101" s="14">
        <v>176.95638076132613</v>
      </c>
      <c r="AF101" s="14">
        <v>173.79196143463165</v>
      </c>
      <c r="AG101" s="14">
        <v>172.14525137734751</v>
      </c>
      <c r="AH101" s="14">
        <v>168.01042612389688</v>
      </c>
      <c r="AI101" s="15">
        <v>163.74630008074126</v>
      </c>
      <c r="AJ101" s="14">
        <v>140.21425635875397</v>
      </c>
      <c r="AK101" s="14">
        <v>143.37497566285091</v>
      </c>
      <c r="AL101" s="14">
        <v>142.7595719042715</v>
      </c>
      <c r="AM101" s="14">
        <v>149.3132119306365</v>
      </c>
      <c r="AN101" s="14">
        <v>158.86627027595304</v>
      </c>
      <c r="AO101" s="14">
        <v>170.75574289092239</v>
      </c>
      <c r="AP101" s="14">
        <v>184.6358276635585</v>
      </c>
      <c r="AQ101" s="14">
        <v>182.5773150911906</v>
      </c>
      <c r="AR101" s="14">
        <v>168.01042612389688</v>
      </c>
      <c r="AS101" s="14">
        <v>163.74630008074126</v>
      </c>
    </row>
    <row r="102" spans="1:45" x14ac:dyDescent="0.35">
      <c r="A102" s="16">
        <v>2670.5874960000001</v>
      </c>
      <c r="B102" s="14">
        <v>143.25917495559796</v>
      </c>
      <c r="C102" s="14">
        <v>142.35376942583255</v>
      </c>
      <c r="D102" s="14">
        <v>142.73997178456398</v>
      </c>
      <c r="E102" s="14">
        <v>149.28181173885986</v>
      </c>
      <c r="F102" s="14">
        <v>158.81946999012027</v>
      </c>
      <c r="G102" s="14">
        <v>170.69364251164416</v>
      </c>
      <c r="H102" s="14">
        <v>184.56352722198332</v>
      </c>
      <c r="I102" s="14">
        <v>182.50091462457459</v>
      </c>
      <c r="J102" s="14">
        <v>189.89135976172733</v>
      </c>
      <c r="K102" s="14">
        <v>187.30034393709539</v>
      </c>
      <c r="L102" s="14">
        <v>184.92152940848246</v>
      </c>
      <c r="M102" s="14">
        <v>182.36151377318328</v>
      </c>
      <c r="N102" s="14">
        <v>176.87208024646119</v>
      </c>
      <c r="O102" s="14">
        <v>173.70726091732277</v>
      </c>
      <c r="P102" s="14">
        <v>172.05895085026711</v>
      </c>
      <c r="Q102" s="14">
        <v>167.9258256071993</v>
      </c>
      <c r="R102" s="15">
        <v>163.66409957870164</v>
      </c>
      <c r="S102" s="14">
        <v>141.9302668392902</v>
      </c>
      <c r="T102" s="14">
        <v>142.35376942583255</v>
      </c>
      <c r="U102" s="14">
        <v>142.73997178456398</v>
      </c>
      <c r="V102" s="14">
        <v>149.28181173885986</v>
      </c>
      <c r="W102" s="14">
        <v>158.81946999012027</v>
      </c>
      <c r="X102" s="14">
        <v>170.69364251164416</v>
      </c>
      <c r="Y102" s="14">
        <v>184.56352722198332</v>
      </c>
      <c r="Z102" s="14">
        <v>182.50091462457459</v>
      </c>
      <c r="AA102" s="14">
        <v>189.89135976172733</v>
      </c>
      <c r="AB102" s="14">
        <v>187.30034393709539</v>
      </c>
      <c r="AC102" s="14">
        <v>184.92152940848246</v>
      </c>
      <c r="AD102" s="14">
        <v>182.36151377318328</v>
      </c>
      <c r="AE102" s="14">
        <v>176.87208024646119</v>
      </c>
      <c r="AF102" s="14">
        <v>173.70726091732277</v>
      </c>
      <c r="AG102" s="14">
        <v>172.05895085026711</v>
      </c>
      <c r="AH102" s="14">
        <v>167.9258256071993</v>
      </c>
      <c r="AI102" s="15">
        <v>163.66409957870164</v>
      </c>
      <c r="AJ102" s="14">
        <v>140.20175628240966</v>
      </c>
      <c r="AK102" s="14">
        <v>143.36187558284212</v>
      </c>
      <c r="AL102" s="14">
        <v>142.73997178456398</v>
      </c>
      <c r="AM102" s="14">
        <v>149.28181173885986</v>
      </c>
      <c r="AN102" s="14">
        <v>158.81946999012027</v>
      </c>
      <c r="AO102" s="14">
        <v>170.69364251164416</v>
      </c>
      <c r="AP102" s="14">
        <v>184.56352722198332</v>
      </c>
      <c r="AQ102" s="14">
        <v>182.50091462457459</v>
      </c>
      <c r="AR102" s="14">
        <v>167.9258256071993</v>
      </c>
      <c r="AS102" s="14">
        <v>163.66409957870164</v>
      </c>
    </row>
    <row r="103" spans="1:45" x14ac:dyDescent="0.35">
      <c r="A103" s="16">
        <v>2708.6874960000005</v>
      </c>
      <c r="B103" s="14">
        <v>143.30287522249765</v>
      </c>
      <c r="C103" s="14">
        <v>142.39016964814707</v>
      </c>
      <c r="D103" s="14">
        <v>142.77567200260339</v>
      </c>
      <c r="E103" s="14">
        <v>149.30261186589703</v>
      </c>
      <c r="F103" s="14">
        <v>158.82036999561734</v>
      </c>
      <c r="G103" s="14">
        <v>170.67414239254728</v>
      </c>
      <c r="H103" s="14">
        <v>184.530827022267</v>
      </c>
      <c r="I103" s="14">
        <v>182.4628143918772</v>
      </c>
      <c r="J103" s="14">
        <v>189.8418594594047</v>
      </c>
      <c r="K103" s="14">
        <v>187.25104363599331</v>
      </c>
      <c r="L103" s="14">
        <v>184.87292911165619</v>
      </c>
      <c r="M103" s="14">
        <v>182.31191347024929</v>
      </c>
      <c r="N103" s="14">
        <v>176.82397995268809</v>
      </c>
      <c r="O103" s="14">
        <v>173.65866062049651</v>
      </c>
      <c r="P103" s="14">
        <v>172.00835054122544</v>
      </c>
      <c r="Q103" s="14">
        <v>167.87722531037235</v>
      </c>
      <c r="R103" s="15">
        <v>163.61779929592271</v>
      </c>
      <c r="S103" s="14">
        <v>141.97236709641703</v>
      </c>
      <c r="T103" s="14">
        <v>142.39016964814707</v>
      </c>
      <c r="U103" s="14">
        <v>142.77567200260339</v>
      </c>
      <c r="V103" s="14">
        <v>149.30261186589703</v>
      </c>
      <c r="W103" s="14">
        <v>158.82036999561734</v>
      </c>
      <c r="X103" s="14">
        <v>170.67414239254728</v>
      </c>
      <c r="Y103" s="14">
        <v>184.530827022267</v>
      </c>
      <c r="Z103" s="14">
        <v>182.4628143918772</v>
      </c>
      <c r="AA103" s="14">
        <v>189.8418594594047</v>
      </c>
      <c r="AB103" s="14">
        <v>187.25104363599331</v>
      </c>
      <c r="AC103" s="14">
        <v>184.87292911165619</v>
      </c>
      <c r="AD103" s="14">
        <v>182.31191347024929</v>
      </c>
      <c r="AE103" s="14">
        <v>176.82397995268809</v>
      </c>
      <c r="AF103" s="14">
        <v>173.65866062049651</v>
      </c>
      <c r="AG103" s="14">
        <v>172.00835054122544</v>
      </c>
      <c r="AH103" s="14">
        <v>167.87722531037235</v>
      </c>
      <c r="AI103" s="15">
        <v>163.61779929592271</v>
      </c>
      <c r="AJ103" s="14">
        <v>140.24345653709398</v>
      </c>
      <c r="AK103" s="14">
        <v>143.40557584974184</v>
      </c>
      <c r="AL103" s="14">
        <v>142.77567200260339</v>
      </c>
      <c r="AM103" s="14">
        <v>149.30261186589703</v>
      </c>
      <c r="AN103" s="14">
        <v>158.82036999561734</v>
      </c>
      <c r="AO103" s="14">
        <v>170.67414239254728</v>
      </c>
      <c r="AP103" s="14">
        <v>184.530827022267</v>
      </c>
      <c r="AQ103" s="14">
        <v>182.4628143918772</v>
      </c>
      <c r="AR103" s="14">
        <v>167.87722531037235</v>
      </c>
      <c r="AS103" s="14">
        <v>163.61779929592271</v>
      </c>
    </row>
    <row r="104" spans="1:45" x14ac:dyDescent="0.35">
      <c r="A104" s="16">
        <v>2746.7874960000004</v>
      </c>
      <c r="B104" s="14">
        <v>143.37377565552194</v>
      </c>
      <c r="C104" s="14">
        <v>142.45367003597556</v>
      </c>
      <c r="D104" s="14">
        <v>142.83847238615675</v>
      </c>
      <c r="E104" s="14">
        <v>149.3504121578375</v>
      </c>
      <c r="F104" s="14">
        <v>158.8478701635745</v>
      </c>
      <c r="G104" s="14">
        <v>170.68064243224669</v>
      </c>
      <c r="H104" s="14">
        <v>184.5240269807357</v>
      </c>
      <c r="I104" s="14">
        <v>182.45091431919741</v>
      </c>
      <c r="J104" s="14">
        <v>189.81845931648832</v>
      </c>
      <c r="K104" s="14">
        <v>187.22794349490954</v>
      </c>
      <c r="L104" s="14">
        <v>184.85042897423619</v>
      </c>
      <c r="M104" s="14">
        <v>182.28851332733291</v>
      </c>
      <c r="N104" s="14">
        <v>176.80187981771201</v>
      </c>
      <c r="O104" s="14">
        <v>173.63606048246589</v>
      </c>
      <c r="P104" s="14">
        <v>171.98385039159072</v>
      </c>
      <c r="Q104" s="14">
        <v>167.85452517173178</v>
      </c>
      <c r="R104" s="15">
        <v>163.59719917010747</v>
      </c>
      <c r="S104" s="14">
        <v>142.04056751295147</v>
      </c>
      <c r="T104" s="14">
        <v>142.45367003597556</v>
      </c>
      <c r="U104" s="14">
        <v>142.83847238615675</v>
      </c>
      <c r="V104" s="14">
        <v>149.3504121578375</v>
      </c>
      <c r="W104" s="14">
        <v>158.8478701635745</v>
      </c>
      <c r="X104" s="14">
        <v>170.68064243224669</v>
      </c>
      <c r="Y104" s="14">
        <v>184.5240269807357</v>
      </c>
      <c r="Z104" s="14">
        <v>182.45091431919741</v>
      </c>
      <c r="AA104" s="14">
        <v>189.81845931648832</v>
      </c>
      <c r="AB104" s="14">
        <v>187.22794349490954</v>
      </c>
      <c r="AC104" s="14">
        <v>184.85042897423619</v>
      </c>
      <c r="AD104" s="14">
        <v>182.28851332733291</v>
      </c>
      <c r="AE104" s="14">
        <v>176.80187981771201</v>
      </c>
      <c r="AF104" s="14">
        <v>173.63606048246589</v>
      </c>
      <c r="AG104" s="14">
        <v>171.98385039159072</v>
      </c>
      <c r="AH104" s="14">
        <v>167.85452517173178</v>
      </c>
      <c r="AI104" s="15">
        <v>163.59719917010747</v>
      </c>
      <c r="AJ104" s="14">
        <v>140.3109569493526</v>
      </c>
      <c r="AK104" s="14">
        <v>143.47637628215551</v>
      </c>
      <c r="AL104" s="14">
        <v>142.83847238615675</v>
      </c>
      <c r="AM104" s="14">
        <v>149.3504121578375</v>
      </c>
      <c r="AN104" s="14">
        <v>158.8478701635745</v>
      </c>
      <c r="AO104" s="14">
        <v>170.68064243224669</v>
      </c>
      <c r="AP104" s="14">
        <v>184.5240269807357</v>
      </c>
      <c r="AQ104" s="14">
        <v>182.45091431919741</v>
      </c>
      <c r="AR104" s="14">
        <v>167.85452517173178</v>
      </c>
      <c r="AS104" s="14">
        <v>163.59719917010747</v>
      </c>
    </row>
    <row r="105" spans="1:45" x14ac:dyDescent="0.35">
      <c r="A105" s="16">
        <v>2784.8874960000003</v>
      </c>
      <c r="B105" s="14">
        <v>143.47177625406087</v>
      </c>
      <c r="C105" s="14">
        <v>142.54437058992934</v>
      </c>
      <c r="D105" s="14">
        <v>142.92847293583469</v>
      </c>
      <c r="E105" s="14">
        <v>149.42521261468133</v>
      </c>
      <c r="F105" s="14">
        <v>158.90207049460309</v>
      </c>
      <c r="G105" s="14">
        <v>170.71314263074171</v>
      </c>
      <c r="H105" s="14">
        <v>184.54322709800067</v>
      </c>
      <c r="I105" s="14">
        <v>182.46511440592454</v>
      </c>
      <c r="J105" s="14">
        <v>189.82115933297817</v>
      </c>
      <c r="K105" s="14">
        <v>187.23084351262133</v>
      </c>
      <c r="L105" s="14">
        <v>184.85402899622312</v>
      </c>
      <c r="M105" s="14">
        <v>182.29111334321283</v>
      </c>
      <c r="N105" s="14">
        <v>176.80577984153084</v>
      </c>
      <c r="O105" s="14">
        <v>173.63946050323153</v>
      </c>
      <c r="P105" s="14">
        <v>171.98525040014167</v>
      </c>
      <c r="Q105" s="14">
        <v>167.85782519188612</v>
      </c>
      <c r="R105" s="15">
        <v>163.60209920003473</v>
      </c>
      <c r="S105" s="14">
        <v>142.13496808950279</v>
      </c>
      <c r="T105" s="14">
        <v>142.54437058992934</v>
      </c>
      <c r="U105" s="14">
        <v>142.92847293583469</v>
      </c>
      <c r="V105" s="14">
        <v>149.42521261468133</v>
      </c>
      <c r="W105" s="14">
        <v>158.90207049460309</v>
      </c>
      <c r="X105" s="14">
        <v>170.71314263074171</v>
      </c>
      <c r="Y105" s="14">
        <v>184.54322709800067</v>
      </c>
      <c r="Z105" s="14">
        <v>182.46511440592454</v>
      </c>
      <c r="AA105" s="14">
        <v>189.82115933297817</v>
      </c>
      <c r="AB105" s="14">
        <v>187.23084351262133</v>
      </c>
      <c r="AC105" s="14">
        <v>184.85402899622312</v>
      </c>
      <c r="AD105" s="14">
        <v>182.29111334321283</v>
      </c>
      <c r="AE105" s="14">
        <v>176.80577984153084</v>
      </c>
      <c r="AF105" s="14">
        <v>173.63946050323153</v>
      </c>
      <c r="AG105" s="14">
        <v>171.98525040014167</v>
      </c>
      <c r="AH105" s="14">
        <v>167.85782519188612</v>
      </c>
      <c r="AI105" s="15">
        <v>163.60209920003473</v>
      </c>
      <c r="AJ105" s="14">
        <v>140.40435751979689</v>
      </c>
      <c r="AK105" s="14">
        <v>143.57437688069444</v>
      </c>
      <c r="AL105" s="14">
        <v>142.92847293583469</v>
      </c>
      <c r="AM105" s="14">
        <v>149.42521261468133</v>
      </c>
      <c r="AN105" s="14">
        <v>158.90207049460309</v>
      </c>
      <c r="AO105" s="14">
        <v>170.71314263074171</v>
      </c>
      <c r="AP105" s="14">
        <v>184.54322709800067</v>
      </c>
      <c r="AQ105" s="14">
        <v>182.46511440592454</v>
      </c>
      <c r="AR105" s="14">
        <v>167.85782519188612</v>
      </c>
      <c r="AS105" s="14">
        <v>163.60209920003473</v>
      </c>
    </row>
    <row r="106" spans="1:45" x14ac:dyDescent="0.35">
      <c r="A106" s="16">
        <v>2815.2912960000003</v>
      </c>
      <c r="B106" s="14">
        <v>143.51447651485287</v>
      </c>
      <c r="C106" s="14">
        <v>142.58097081346511</v>
      </c>
      <c r="D106" s="14">
        <v>142.96467315692797</v>
      </c>
      <c r="E106" s="14">
        <v>149.44921276126217</v>
      </c>
      <c r="F106" s="14">
        <v>158.90957054040953</v>
      </c>
      <c r="G106" s="14">
        <v>170.70374257333049</v>
      </c>
      <c r="H106" s="14">
        <v>184.52412698134631</v>
      </c>
      <c r="I106" s="14">
        <v>182.44231426667264</v>
      </c>
      <c r="J106" s="14">
        <v>189.78905913692637</v>
      </c>
      <c r="K106" s="14">
        <v>187.19894331779079</v>
      </c>
      <c r="L106" s="14">
        <v>184.82242880322519</v>
      </c>
      <c r="M106" s="14">
        <v>182.25881314593906</v>
      </c>
      <c r="N106" s="14">
        <v>176.77457965097611</v>
      </c>
      <c r="O106" s="14">
        <v>173.60806031145486</v>
      </c>
      <c r="P106" s="14">
        <v>171.95215019798212</v>
      </c>
      <c r="Q106" s="14">
        <v>167.82642500010945</v>
      </c>
      <c r="R106" s="15">
        <v>163.57239901864088</v>
      </c>
      <c r="S106" s="14">
        <v>142.1760683405233</v>
      </c>
      <c r="T106" s="14">
        <v>142.58097081346511</v>
      </c>
      <c r="U106" s="14">
        <v>142.96467315692797</v>
      </c>
      <c r="V106" s="14">
        <v>149.44921276126217</v>
      </c>
      <c r="W106" s="14">
        <v>158.90957054040953</v>
      </c>
      <c r="X106" s="14">
        <v>170.70374257333049</v>
      </c>
      <c r="Y106" s="14">
        <v>184.52412698134631</v>
      </c>
      <c r="Z106" s="14">
        <v>182.44231426667264</v>
      </c>
      <c r="AA106" s="14">
        <v>189.78905913692637</v>
      </c>
      <c r="AB106" s="14">
        <v>187.19894331779079</v>
      </c>
      <c r="AC106" s="14">
        <v>184.82242880322519</v>
      </c>
      <c r="AD106" s="14">
        <v>182.25881314593906</v>
      </c>
      <c r="AE106" s="14">
        <v>176.77457965097611</v>
      </c>
      <c r="AF106" s="14">
        <v>173.60806031145486</v>
      </c>
      <c r="AG106" s="14">
        <v>171.95215019798212</v>
      </c>
      <c r="AH106" s="14">
        <v>167.82642500010945</v>
      </c>
      <c r="AI106" s="15">
        <v>163.57239901864088</v>
      </c>
      <c r="AJ106" s="14">
        <v>140.44495776776284</v>
      </c>
      <c r="AK106" s="14">
        <v>143.61707714148645</v>
      </c>
      <c r="AL106" s="14">
        <v>142.96467315692797</v>
      </c>
      <c r="AM106" s="14">
        <v>149.44921276126217</v>
      </c>
      <c r="AN106" s="14">
        <v>158.90957054040953</v>
      </c>
      <c r="AO106" s="14">
        <v>170.70374257333049</v>
      </c>
      <c r="AP106" s="14">
        <v>184.52412698134631</v>
      </c>
      <c r="AQ106" s="14">
        <v>182.44231426667264</v>
      </c>
      <c r="AR106" s="14">
        <v>167.82642500010945</v>
      </c>
      <c r="AS106" s="14">
        <v>163.57239901864088</v>
      </c>
    </row>
    <row r="107" spans="1:45" x14ac:dyDescent="0.35">
      <c r="A107" s="16">
        <v>2837.9988960000001</v>
      </c>
      <c r="B107" s="14">
        <v>143.50147643545472</v>
      </c>
      <c r="C107" s="14">
        <v>142.56357070719432</v>
      </c>
      <c r="D107" s="14">
        <v>142.94697304882456</v>
      </c>
      <c r="E107" s="14">
        <v>149.42241259758015</v>
      </c>
      <c r="F107" s="14">
        <v>158.87057030221578</v>
      </c>
      <c r="G107" s="14">
        <v>170.65244226001371</v>
      </c>
      <c r="H107" s="14">
        <v>184.46672663077337</v>
      </c>
      <c r="I107" s="14">
        <v>182.38261390205233</v>
      </c>
      <c r="J107" s="14">
        <v>189.72225872894285</v>
      </c>
      <c r="K107" s="14">
        <v>187.13204290919666</v>
      </c>
      <c r="L107" s="14">
        <v>184.75592839707357</v>
      </c>
      <c r="M107" s="14">
        <v>182.19181273673428</v>
      </c>
      <c r="N107" s="14">
        <v>176.70837924665707</v>
      </c>
      <c r="O107" s="14">
        <v>173.54165990591457</v>
      </c>
      <c r="P107" s="14">
        <v>171.88464978572279</v>
      </c>
      <c r="Q107" s="14">
        <v>167.76032459640172</v>
      </c>
      <c r="R107" s="15">
        <v>163.50799862531528</v>
      </c>
      <c r="S107" s="14">
        <v>142.16366826478964</v>
      </c>
      <c r="T107" s="14">
        <v>142.56357070719432</v>
      </c>
      <c r="U107" s="14">
        <v>142.94697304882456</v>
      </c>
      <c r="V107" s="14">
        <v>149.42241259758015</v>
      </c>
      <c r="W107" s="14">
        <v>158.87057030221578</v>
      </c>
      <c r="X107" s="14">
        <v>170.65244226001371</v>
      </c>
      <c r="Y107" s="14">
        <v>184.46672663077337</v>
      </c>
      <c r="Z107" s="14">
        <v>182.38261390205233</v>
      </c>
      <c r="AA107" s="14">
        <v>189.72225872894285</v>
      </c>
      <c r="AB107" s="14">
        <v>187.13204290919666</v>
      </c>
      <c r="AC107" s="14">
        <v>184.75592839707357</v>
      </c>
      <c r="AD107" s="14">
        <v>182.19181273673428</v>
      </c>
      <c r="AE107" s="14">
        <v>176.70837924665707</v>
      </c>
      <c r="AF107" s="14">
        <v>173.54165990591457</v>
      </c>
      <c r="AG107" s="14">
        <v>171.88464978572279</v>
      </c>
      <c r="AH107" s="14">
        <v>167.76032459640172</v>
      </c>
      <c r="AI107" s="15">
        <v>163.50799862531528</v>
      </c>
      <c r="AJ107" s="14">
        <v>140.4326576926405</v>
      </c>
      <c r="AK107" s="14">
        <v>143.60407706208827</v>
      </c>
      <c r="AL107" s="14">
        <v>142.94697304882456</v>
      </c>
      <c r="AM107" s="14">
        <v>149.42241259758015</v>
      </c>
      <c r="AN107" s="14">
        <v>158.87057030221578</v>
      </c>
      <c r="AO107" s="14">
        <v>170.65244226001371</v>
      </c>
      <c r="AP107" s="14">
        <v>184.46672663077337</v>
      </c>
      <c r="AQ107" s="14">
        <v>182.38261390205233</v>
      </c>
      <c r="AR107" s="14">
        <v>167.76032459640172</v>
      </c>
      <c r="AS107" s="14">
        <v>163.50799862531528</v>
      </c>
    </row>
    <row r="108" spans="1:45" x14ac:dyDescent="0.35">
      <c r="A108" s="16">
        <v>2860.7209739999998</v>
      </c>
      <c r="B108" s="14">
        <v>143.44857611236574</v>
      </c>
      <c r="C108" s="14">
        <v>142.50617035662134</v>
      </c>
      <c r="D108" s="14">
        <v>142.88927269641968</v>
      </c>
      <c r="E108" s="14">
        <v>149.35561218959663</v>
      </c>
      <c r="F108" s="14">
        <v>158.79136981849862</v>
      </c>
      <c r="G108" s="14">
        <v>170.56154170483867</v>
      </c>
      <c r="H108" s="14">
        <v>184.3706260438392</v>
      </c>
      <c r="I108" s="14">
        <v>182.2846133035134</v>
      </c>
      <c r="J108" s="14">
        <v>189.61695808581874</v>
      </c>
      <c r="K108" s="14">
        <v>187.0266422654619</v>
      </c>
      <c r="L108" s="14">
        <v>184.65072775456076</v>
      </c>
      <c r="M108" s="14">
        <v>182.08621209177829</v>
      </c>
      <c r="N108" s="14">
        <v>176.6037786078081</v>
      </c>
      <c r="O108" s="14">
        <v>173.43685926584433</v>
      </c>
      <c r="P108" s="14">
        <v>171.7787491389349</v>
      </c>
      <c r="Q108" s="14">
        <v>167.65602395938532</v>
      </c>
      <c r="R108" s="15">
        <v>163.40589800173558</v>
      </c>
      <c r="S108" s="14">
        <v>142.11266795330474</v>
      </c>
      <c r="T108" s="14">
        <v>142.50617035662134</v>
      </c>
      <c r="U108" s="14">
        <v>142.88927269641968</v>
      </c>
      <c r="V108" s="14">
        <v>149.35561218959663</v>
      </c>
      <c r="W108" s="14">
        <v>158.79136981849862</v>
      </c>
      <c r="X108" s="14">
        <v>170.56154170483867</v>
      </c>
      <c r="Y108" s="14">
        <v>184.3706260438392</v>
      </c>
      <c r="Z108" s="14">
        <v>182.2846133035134</v>
      </c>
      <c r="AA108" s="14">
        <v>189.61695808581874</v>
      </c>
      <c r="AB108" s="14">
        <v>187.0266422654619</v>
      </c>
      <c r="AC108" s="14">
        <v>184.65072775456076</v>
      </c>
      <c r="AD108" s="14">
        <v>182.08621209177829</v>
      </c>
      <c r="AE108" s="14">
        <v>176.6037786078081</v>
      </c>
      <c r="AF108" s="14">
        <v>173.43685926584433</v>
      </c>
      <c r="AG108" s="14">
        <v>171.7787491389349</v>
      </c>
      <c r="AH108" s="14">
        <v>167.65602395938532</v>
      </c>
      <c r="AI108" s="15">
        <v>163.40589800173558</v>
      </c>
      <c r="AJ108" s="14">
        <v>140.38215738420948</v>
      </c>
      <c r="AK108" s="14">
        <v>143.55117673899929</v>
      </c>
      <c r="AL108" s="14">
        <v>142.88927269641968</v>
      </c>
      <c r="AM108" s="14">
        <v>149.35561218959663</v>
      </c>
      <c r="AN108" s="14">
        <v>158.79136981849862</v>
      </c>
      <c r="AO108" s="14">
        <v>170.56154170483867</v>
      </c>
      <c r="AP108" s="14">
        <v>184.3706260438392</v>
      </c>
      <c r="AQ108" s="14">
        <v>182.2846133035134</v>
      </c>
      <c r="AR108" s="14">
        <v>167.65602395938532</v>
      </c>
      <c r="AS108" s="14">
        <v>163.40589800173558</v>
      </c>
    </row>
    <row r="109" spans="1:45" x14ac:dyDescent="0.35">
      <c r="A109" s="16">
        <v>2883.4575300000001</v>
      </c>
      <c r="B109" s="14">
        <v>143.3556755449753</v>
      </c>
      <c r="C109" s="14">
        <v>142.4087697617469</v>
      </c>
      <c r="D109" s="14">
        <v>142.79167210032398</v>
      </c>
      <c r="E109" s="14">
        <v>149.24871153670031</v>
      </c>
      <c r="F109" s="14">
        <v>158.67206908986932</v>
      </c>
      <c r="G109" s="14">
        <v>170.43104090780471</v>
      </c>
      <c r="H109" s="14">
        <v>184.23592522115382</v>
      </c>
      <c r="I109" s="14">
        <v>182.14831247105582</v>
      </c>
      <c r="J109" s="14">
        <v>189.47315720755475</v>
      </c>
      <c r="K109" s="14">
        <v>186.88264138597594</v>
      </c>
      <c r="L109" s="14">
        <v>184.50702687690742</v>
      </c>
      <c r="M109" s="14">
        <v>181.94221121229231</v>
      </c>
      <c r="N109" s="14">
        <v>176.46057773320857</v>
      </c>
      <c r="O109" s="14">
        <v>173.2936583912448</v>
      </c>
      <c r="P109" s="14">
        <v>171.63454825822768</v>
      </c>
      <c r="Q109" s="14">
        <v>167.51352308906095</v>
      </c>
      <c r="R109" s="15">
        <v>163.26589714667978</v>
      </c>
      <c r="S109" s="14">
        <v>142.02316740668064</v>
      </c>
      <c r="T109" s="14">
        <v>142.4087697617469</v>
      </c>
      <c r="U109" s="14">
        <v>142.79167210032398</v>
      </c>
      <c r="V109" s="14">
        <v>149.24871153670031</v>
      </c>
      <c r="W109" s="14">
        <v>158.67206908986932</v>
      </c>
      <c r="X109" s="14">
        <v>170.43104090780471</v>
      </c>
      <c r="Y109" s="14">
        <v>184.23592522115382</v>
      </c>
      <c r="Z109" s="14">
        <v>182.14831247105582</v>
      </c>
      <c r="AA109" s="14">
        <v>189.47315720755475</v>
      </c>
      <c r="AB109" s="14">
        <v>186.88264138597594</v>
      </c>
      <c r="AC109" s="14">
        <v>184.50702687690742</v>
      </c>
      <c r="AD109" s="14">
        <v>181.94221121229231</v>
      </c>
      <c r="AE109" s="14">
        <v>176.46057773320857</v>
      </c>
      <c r="AF109" s="14">
        <v>173.2936583912448</v>
      </c>
      <c r="AG109" s="14">
        <v>171.63454825822768</v>
      </c>
      <c r="AH109" s="14">
        <v>167.51352308906095</v>
      </c>
      <c r="AI109" s="15">
        <v>163.26589714667978</v>
      </c>
      <c r="AJ109" s="14">
        <v>140.29365684369239</v>
      </c>
      <c r="AK109" s="14">
        <v>143.45827617160887</v>
      </c>
      <c r="AL109" s="14">
        <v>142.79167210032398</v>
      </c>
      <c r="AM109" s="14">
        <v>149.24871153670031</v>
      </c>
      <c r="AN109" s="14">
        <v>158.67206908986932</v>
      </c>
      <c r="AO109" s="14">
        <v>170.43104090780471</v>
      </c>
      <c r="AP109" s="14">
        <v>184.23592522115382</v>
      </c>
      <c r="AQ109" s="14">
        <v>182.14831247105582</v>
      </c>
      <c r="AR109" s="14">
        <v>167.51352308906095</v>
      </c>
      <c r="AS109" s="14">
        <v>163.26589714667978</v>
      </c>
    </row>
    <row r="110" spans="1:45" x14ac:dyDescent="0.35">
      <c r="A110" s="16">
        <v>2906.1834180000001</v>
      </c>
      <c r="B110" s="14">
        <v>143.28507511378359</v>
      </c>
      <c r="C110" s="14">
        <v>142.33366930307119</v>
      </c>
      <c r="D110" s="14">
        <v>142.71627163981501</v>
      </c>
      <c r="E110" s="14">
        <v>149.16421102061338</v>
      </c>
      <c r="F110" s="14">
        <v>158.57476849560553</v>
      </c>
      <c r="G110" s="14">
        <v>170.32224024330432</v>
      </c>
      <c r="H110" s="14">
        <v>184.12272452978007</v>
      </c>
      <c r="I110" s="14">
        <v>182.03351176991058</v>
      </c>
      <c r="J110" s="14">
        <v>189.35095646121366</v>
      </c>
      <c r="K110" s="14">
        <v>186.76024063841362</v>
      </c>
      <c r="L110" s="14">
        <v>184.38482613056632</v>
      </c>
      <c r="M110" s="14">
        <v>181.81961046350801</v>
      </c>
      <c r="N110" s="14">
        <v>176.33897699053199</v>
      </c>
      <c r="O110" s="14">
        <v>173.17195764795756</v>
      </c>
      <c r="P110" s="14">
        <v>171.5116475076108</v>
      </c>
      <c r="Q110" s="14">
        <v>167.39232234882758</v>
      </c>
      <c r="R110" s="15">
        <v>163.14709642110435</v>
      </c>
      <c r="S110" s="14">
        <v>141.95506699075685</v>
      </c>
      <c r="T110" s="14">
        <v>142.33366930307119</v>
      </c>
      <c r="U110" s="14">
        <v>142.71627163981501</v>
      </c>
      <c r="V110" s="14">
        <v>149.16421102061338</v>
      </c>
      <c r="W110" s="14">
        <v>158.57476849560553</v>
      </c>
      <c r="X110" s="14">
        <v>170.32224024330432</v>
      </c>
      <c r="Y110" s="14">
        <v>184.12272452978007</v>
      </c>
      <c r="Z110" s="14">
        <v>182.03351176991058</v>
      </c>
      <c r="AA110" s="14">
        <v>189.35095646121366</v>
      </c>
      <c r="AB110" s="14">
        <v>186.76024063841362</v>
      </c>
      <c r="AC110" s="14">
        <v>184.38482613056632</v>
      </c>
      <c r="AD110" s="14">
        <v>181.81961046350801</v>
      </c>
      <c r="AE110" s="14">
        <v>176.33897699053199</v>
      </c>
      <c r="AF110" s="14">
        <v>173.17195764795756</v>
      </c>
      <c r="AG110" s="14">
        <v>171.5116475076108</v>
      </c>
      <c r="AH110" s="14">
        <v>167.39232234882758</v>
      </c>
      <c r="AI110" s="15">
        <v>163.14709642110435</v>
      </c>
      <c r="AJ110" s="14">
        <v>140.22635643265505</v>
      </c>
      <c r="AK110" s="14">
        <v>143.38767574041648</v>
      </c>
      <c r="AL110" s="14">
        <v>142.71627163981501</v>
      </c>
      <c r="AM110" s="14">
        <v>149.16421102061338</v>
      </c>
      <c r="AN110" s="14">
        <v>158.57476849560553</v>
      </c>
      <c r="AO110" s="14">
        <v>170.32224024330432</v>
      </c>
      <c r="AP110" s="14">
        <v>184.12272452978007</v>
      </c>
      <c r="AQ110" s="14">
        <v>182.03351176991058</v>
      </c>
      <c r="AR110" s="14">
        <v>167.39232234882758</v>
      </c>
      <c r="AS110" s="14">
        <v>163.14709642110435</v>
      </c>
    </row>
    <row r="111" spans="1:45" x14ac:dyDescent="0.35">
      <c r="A111" s="16">
        <v>2928.8986380000001</v>
      </c>
      <c r="B111" s="14">
        <v>143.23677481878926</v>
      </c>
      <c r="C111" s="14">
        <v>142.2810689818148</v>
      </c>
      <c r="D111" s="14">
        <v>142.66337131672671</v>
      </c>
      <c r="E111" s="14">
        <v>149.1020106407245</v>
      </c>
      <c r="F111" s="14">
        <v>158.49976803754043</v>
      </c>
      <c r="G111" s="14">
        <v>170.23523971194882</v>
      </c>
      <c r="H111" s="14">
        <v>184.03082396849734</v>
      </c>
      <c r="I111" s="14">
        <v>181.94011119946697</v>
      </c>
      <c r="J111" s="14">
        <v>189.25015584557357</v>
      </c>
      <c r="K111" s="14">
        <v>186.65924002155222</v>
      </c>
      <c r="L111" s="14">
        <v>184.28412551553686</v>
      </c>
      <c r="M111" s="14">
        <v>181.71850984603603</v>
      </c>
      <c r="N111" s="14">
        <v>176.23877637855708</v>
      </c>
      <c r="O111" s="14">
        <v>173.07165703537132</v>
      </c>
      <c r="P111" s="14">
        <v>171.41024688830692</v>
      </c>
      <c r="Q111" s="14">
        <v>167.29252173929518</v>
      </c>
      <c r="R111" s="15">
        <v>163.04929582378739</v>
      </c>
      <c r="S111" s="14">
        <v>141.90866670736725</v>
      </c>
      <c r="T111" s="14">
        <v>142.2810689818148</v>
      </c>
      <c r="U111" s="14">
        <v>142.66337131672671</v>
      </c>
      <c r="V111" s="14">
        <v>149.1020106407245</v>
      </c>
      <c r="W111" s="14">
        <v>158.49976803754043</v>
      </c>
      <c r="X111" s="14">
        <v>170.23523971194882</v>
      </c>
      <c r="Y111" s="14">
        <v>184.03082396849734</v>
      </c>
      <c r="Z111" s="14">
        <v>181.94011119946697</v>
      </c>
      <c r="AA111" s="14">
        <v>189.25015584557357</v>
      </c>
      <c r="AB111" s="14">
        <v>186.65924002155222</v>
      </c>
      <c r="AC111" s="14">
        <v>184.28412551553686</v>
      </c>
      <c r="AD111" s="14">
        <v>181.71850984603603</v>
      </c>
      <c r="AE111" s="14">
        <v>176.23877637855708</v>
      </c>
      <c r="AF111" s="14">
        <v>173.07165703537132</v>
      </c>
      <c r="AG111" s="14">
        <v>171.41024688830692</v>
      </c>
      <c r="AH111" s="14">
        <v>167.29252173929518</v>
      </c>
      <c r="AI111" s="15">
        <v>163.04929582378739</v>
      </c>
      <c r="AJ111" s="14">
        <v>140.180356151708</v>
      </c>
      <c r="AK111" s="14">
        <v>143.3393754454228</v>
      </c>
      <c r="AL111" s="14">
        <v>142.66337131672671</v>
      </c>
      <c r="AM111" s="14">
        <v>149.1020106407245</v>
      </c>
      <c r="AN111" s="14">
        <v>158.49976803754043</v>
      </c>
      <c r="AO111" s="14">
        <v>170.23523971194882</v>
      </c>
      <c r="AP111" s="14">
        <v>184.03082396849734</v>
      </c>
      <c r="AQ111" s="14">
        <v>181.94011119946697</v>
      </c>
      <c r="AR111" s="14">
        <v>167.29252173929518</v>
      </c>
      <c r="AS111" s="14">
        <v>163.04929582378739</v>
      </c>
    </row>
    <row r="112" spans="1:45" x14ac:dyDescent="0.35">
      <c r="A112" s="16">
        <v>2959.3062480000003</v>
      </c>
      <c r="B112" s="14">
        <v>143.24527487070341</v>
      </c>
      <c r="C112" s="14">
        <v>142.28366899769401</v>
      </c>
      <c r="D112" s="14">
        <v>142.66557133016337</v>
      </c>
      <c r="E112" s="14">
        <v>149.09181057842753</v>
      </c>
      <c r="F112" s="14">
        <v>158.47196786775069</v>
      </c>
      <c r="G112" s="14">
        <v>170.19023943710951</v>
      </c>
      <c r="H112" s="14">
        <v>183.97822364724095</v>
      </c>
      <c r="I112" s="14">
        <v>181.88511086355192</v>
      </c>
      <c r="J112" s="14">
        <v>189.18555545102672</v>
      </c>
      <c r="K112" s="14">
        <v>186.59453962639409</v>
      </c>
      <c r="L112" s="14">
        <v>184.219725122212</v>
      </c>
      <c r="M112" s="14">
        <v>181.65350944904597</v>
      </c>
      <c r="N112" s="14">
        <v>176.17477598767405</v>
      </c>
      <c r="O112" s="14">
        <v>173.00745664326703</v>
      </c>
      <c r="P112" s="14">
        <v>171.34454648704101</v>
      </c>
      <c r="Q112" s="14">
        <v>167.22862134902348</v>
      </c>
      <c r="R112" s="15">
        <v>162.98749544634103</v>
      </c>
      <c r="S112" s="14">
        <v>141.91686675744882</v>
      </c>
      <c r="T112" s="14">
        <v>142.28366899769401</v>
      </c>
      <c r="U112" s="14">
        <v>142.66557133016337</v>
      </c>
      <c r="V112" s="14">
        <v>149.09181057842753</v>
      </c>
      <c r="W112" s="14">
        <v>158.47196786775069</v>
      </c>
      <c r="X112" s="14">
        <v>170.19023943710951</v>
      </c>
      <c r="Y112" s="14">
        <v>183.97822364724095</v>
      </c>
      <c r="Z112" s="14">
        <v>181.88511086355192</v>
      </c>
      <c r="AA112" s="14">
        <v>189.18555545102672</v>
      </c>
      <c r="AB112" s="14">
        <v>186.59453962639409</v>
      </c>
      <c r="AC112" s="14">
        <v>184.219725122212</v>
      </c>
      <c r="AD112" s="14">
        <v>181.65350944904597</v>
      </c>
      <c r="AE112" s="14">
        <v>176.17477598767405</v>
      </c>
      <c r="AF112" s="14">
        <v>173.00745664326703</v>
      </c>
      <c r="AG112" s="14">
        <v>171.34454648704101</v>
      </c>
      <c r="AH112" s="14">
        <v>167.22862134902348</v>
      </c>
      <c r="AI112" s="15">
        <v>162.98749544634103</v>
      </c>
      <c r="AJ112" s="14">
        <v>140.18845620117892</v>
      </c>
      <c r="AK112" s="14">
        <v>143.34787549733696</v>
      </c>
      <c r="AL112" s="14">
        <v>142.66557133016337</v>
      </c>
      <c r="AM112" s="14">
        <v>149.09181057842753</v>
      </c>
      <c r="AN112" s="14">
        <v>158.47196786775069</v>
      </c>
      <c r="AO112" s="14">
        <v>170.19023943710951</v>
      </c>
      <c r="AP112" s="14">
        <v>183.97822364724095</v>
      </c>
      <c r="AQ112" s="14">
        <v>181.88511086355192</v>
      </c>
      <c r="AR112" s="14">
        <v>167.22862134902348</v>
      </c>
      <c r="AS112" s="14">
        <v>162.98749544634103</v>
      </c>
    </row>
    <row r="113" spans="1:45" x14ac:dyDescent="0.35">
      <c r="A113" s="16">
        <v>2997.4062480000002</v>
      </c>
      <c r="B113" s="14">
        <v>143.31057526952537</v>
      </c>
      <c r="C113" s="14">
        <v>142.3416693519315</v>
      </c>
      <c r="D113" s="14">
        <v>142.72297168073567</v>
      </c>
      <c r="E113" s="14">
        <v>149.13351083311184</v>
      </c>
      <c r="F113" s="14">
        <v>158.49176798868015</v>
      </c>
      <c r="G113" s="14">
        <v>170.18723941878707</v>
      </c>
      <c r="H113" s="14">
        <v>183.96472356478893</v>
      </c>
      <c r="I113" s="14">
        <v>181.86871076338809</v>
      </c>
      <c r="J113" s="14">
        <v>189.15705527696187</v>
      </c>
      <c r="K113" s="14">
        <v>186.56593945171858</v>
      </c>
      <c r="L113" s="14">
        <v>184.19142494936835</v>
      </c>
      <c r="M113" s="14">
        <v>181.62460927253787</v>
      </c>
      <c r="N113" s="14">
        <v>176.14687581727364</v>
      </c>
      <c r="O113" s="14">
        <v>172.97935647164539</v>
      </c>
      <c r="P113" s="14">
        <v>171.31454630381529</v>
      </c>
      <c r="Q113" s="14">
        <v>167.20082117923371</v>
      </c>
      <c r="R113" s="15">
        <v>162.96149528754543</v>
      </c>
      <c r="S113" s="14">
        <v>141.97966714100218</v>
      </c>
      <c r="T113" s="14">
        <v>142.3416693519315</v>
      </c>
      <c r="U113" s="14">
        <v>142.72297168073567</v>
      </c>
      <c r="V113" s="14">
        <v>149.13351083311184</v>
      </c>
      <c r="W113" s="14">
        <v>158.49176798868015</v>
      </c>
      <c r="X113" s="14">
        <v>170.18723941878707</v>
      </c>
      <c r="Y113" s="14">
        <v>183.96472356478893</v>
      </c>
      <c r="Z113" s="14">
        <v>181.86871076338809</v>
      </c>
      <c r="AA113" s="14">
        <v>189.15705527696187</v>
      </c>
      <c r="AB113" s="14">
        <v>186.56593945171858</v>
      </c>
      <c r="AC113" s="14">
        <v>184.19142494936835</v>
      </c>
      <c r="AD113" s="14">
        <v>181.62460927253787</v>
      </c>
      <c r="AE113" s="14">
        <v>176.14687581727364</v>
      </c>
      <c r="AF113" s="14">
        <v>172.97935647164539</v>
      </c>
      <c r="AG113" s="14">
        <v>171.31454630381529</v>
      </c>
      <c r="AH113" s="14">
        <v>167.20082117923371</v>
      </c>
      <c r="AI113" s="15">
        <v>162.96149528754543</v>
      </c>
      <c r="AJ113" s="14">
        <v>140.2506565810678</v>
      </c>
      <c r="AK113" s="14">
        <v>143.41317589615892</v>
      </c>
      <c r="AL113" s="14">
        <v>142.72297168073567</v>
      </c>
      <c r="AM113" s="14">
        <v>149.13351083311184</v>
      </c>
      <c r="AN113" s="14">
        <v>158.49176798868015</v>
      </c>
      <c r="AO113" s="14">
        <v>170.18723941878707</v>
      </c>
      <c r="AP113" s="14">
        <v>183.96472356478893</v>
      </c>
      <c r="AQ113" s="14">
        <v>181.86871076338809</v>
      </c>
      <c r="AR113" s="14">
        <v>167.20082117923371</v>
      </c>
      <c r="AS113" s="14">
        <v>162.96149528754543</v>
      </c>
    </row>
    <row r="114" spans="1:45" x14ac:dyDescent="0.35">
      <c r="A114" s="16">
        <v>3035.5062480000001</v>
      </c>
      <c r="B114" s="14">
        <v>143.47687628520936</v>
      </c>
      <c r="C114" s="14">
        <v>142.50067032303033</v>
      </c>
      <c r="D114" s="14">
        <v>142.88157264939127</v>
      </c>
      <c r="E114" s="14">
        <v>149.27651170649008</v>
      </c>
      <c r="F114" s="14">
        <v>158.6122687246384</v>
      </c>
      <c r="G114" s="14">
        <v>170.28354000694316</v>
      </c>
      <c r="H114" s="14">
        <v>184.04852407660078</v>
      </c>
      <c r="I114" s="14">
        <v>181.94941125626684</v>
      </c>
      <c r="J114" s="14">
        <v>189.22565569593883</v>
      </c>
      <c r="K114" s="14">
        <v>186.63473987191753</v>
      </c>
      <c r="L114" s="14">
        <v>184.26052537139921</v>
      </c>
      <c r="M114" s="14">
        <v>181.69280968907231</v>
      </c>
      <c r="N114" s="14">
        <v>176.21617624052641</v>
      </c>
      <c r="O114" s="14">
        <v>173.04835689306557</v>
      </c>
      <c r="P114" s="14">
        <v>171.38134671179881</v>
      </c>
      <c r="Q114" s="14">
        <v>167.26962159943199</v>
      </c>
      <c r="R114" s="15">
        <v>163.03109571263013</v>
      </c>
      <c r="S114" s="14">
        <v>142.14006812065128</v>
      </c>
      <c r="T114" s="14">
        <v>142.50067032303033</v>
      </c>
      <c r="U114" s="14">
        <v>142.88157264939127</v>
      </c>
      <c r="V114" s="14">
        <v>149.27651170649008</v>
      </c>
      <c r="W114" s="14">
        <v>158.6122687246384</v>
      </c>
      <c r="X114" s="14">
        <v>170.28354000694316</v>
      </c>
      <c r="Y114" s="14">
        <v>184.04852407660078</v>
      </c>
      <c r="Z114" s="14">
        <v>181.94941125626684</v>
      </c>
      <c r="AA114" s="14">
        <v>189.22565569593883</v>
      </c>
      <c r="AB114" s="14">
        <v>186.63473987191753</v>
      </c>
      <c r="AC114" s="14">
        <v>184.26052537139921</v>
      </c>
      <c r="AD114" s="14">
        <v>181.69280968907231</v>
      </c>
      <c r="AE114" s="14">
        <v>176.21617624052641</v>
      </c>
      <c r="AF114" s="14">
        <v>173.04835689306557</v>
      </c>
      <c r="AG114" s="14">
        <v>171.38134671179881</v>
      </c>
      <c r="AH114" s="14">
        <v>167.26962159943199</v>
      </c>
      <c r="AI114" s="15">
        <v>163.03109571263013</v>
      </c>
      <c r="AJ114" s="14">
        <v>140.40925754972343</v>
      </c>
      <c r="AK114" s="14">
        <v>143.57947691184293</v>
      </c>
      <c r="AL114" s="14">
        <v>142.88157264939127</v>
      </c>
      <c r="AM114" s="14">
        <v>149.27651170649008</v>
      </c>
      <c r="AN114" s="14">
        <v>158.6122687246384</v>
      </c>
      <c r="AO114" s="14">
        <v>170.28354000694316</v>
      </c>
      <c r="AP114" s="14">
        <v>184.04852407660078</v>
      </c>
      <c r="AQ114" s="14">
        <v>181.94941125626684</v>
      </c>
      <c r="AR114" s="14">
        <v>167.26962159943199</v>
      </c>
      <c r="AS114" s="14">
        <v>163.03109571263013</v>
      </c>
    </row>
    <row r="115" spans="1:45" x14ac:dyDescent="0.35">
      <c r="A115" s="16">
        <v>3073.6062480000001</v>
      </c>
      <c r="B115" s="14">
        <v>143.744377918976</v>
      </c>
      <c r="C115" s="14">
        <v>142.76077191160047</v>
      </c>
      <c r="D115" s="14">
        <v>143.14127423551892</v>
      </c>
      <c r="E115" s="14">
        <v>149.52061319734034</v>
      </c>
      <c r="F115" s="14">
        <v>158.83237006890778</v>
      </c>
      <c r="G115" s="14">
        <v>170.47934120279908</v>
      </c>
      <c r="H115" s="14">
        <v>184.22952518206574</v>
      </c>
      <c r="I115" s="14">
        <v>182.12721234218677</v>
      </c>
      <c r="J115" s="14">
        <v>189.39135670795835</v>
      </c>
      <c r="K115" s="14">
        <v>186.80084088637955</v>
      </c>
      <c r="L115" s="14">
        <v>184.4268263870832</v>
      </c>
      <c r="M115" s="14">
        <v>181.85831069986989</v>
      </c>
      <c r="N115" s="14">
        <v>176.38237725559912</v>
      </c>
      <c r="O115" s="14">
        <v>173.21425790630636</v>
      </c>
      <c r="P115" s="14">
        <v>171.54504771160288</v>
      </c>
      <c r="Q115" s="14">
        <v>167.43492260900828</v>
      </c>
      <c r="R115" s="15">
        <v>163.1959967197632</v>
      </c>
      <c r="S115" s="14">
        <v>142.39776969456418</v>
      </c>
      <c r="T115" s="14">
        <v>142.76077191160047</v>
      </c>
      <c r="U115" s="14">
        <v>143.14127423551892</v>
      </c>
      <c r="V115" s="14">
        <v>149.52061319734034</v>
      </c>
      <c r="W115" s="14">
        <v>158.83237006890778</v>
      </c>
      <c r="X115" s="14">
        <v>170.47934120279908</v>
      </c>
      <c r="Y115" s="14">
        <v>184.22952518206574</v>
      </c>
      <c r="Z115" s="14">
        <v>182.12721234218677</v>
      </c>
      <c r="AA115" s="14">
        <v>189.39135670795835</v>
      </c>
      <c r="AB115" s="14">
        <v>186.80084088637955</v>
      </c>
      <c r="AC115" s="14">
        <v>184.4268263870832</v>
      </c>
      <c r="AD115" s="14">
        <v>181.85831069986989</v>
      </c>
      <c r="AE115" s="14">
        <v>176.38237725559912</v>
      </c>
      <c r="AF115" s="14">
        <v>173.21425790630636</v>
      </c>
      <c r="AG115" s="14">
        <v>171.54504771160288</v>
      </c>
      <c r="AH115" s="14">
        <v>167.43492260900828</v>
      </c>
      <c r="AI115" s="15">
        <v>163.1959967197632</v>
      </c>
      <c r="AJ115" s="14">
        <v>140.66425910714577</v>
      </c>
      <c r="AK115" s="14">
        <v>143.84697854560957</v>
      </c>
      <c r="AL115" s="14">
        <v>143.14127423551892</v>
      </c>
      <c r="AM115" s="14">
        <v>149.52061319734034</v>
      </c>
      <c r="AN115" s="14">
        <v>158.83237006890778</v>
      </c>
      <c r="AO115" s="14">
        <v>170.47934120279908</v>
      </c>
      <c r="AP115" s="14">
        <v>184.22952518206574</v>
      </c>
      <c r="AQ115" s="14">
        <v>182.12721234218677</v>
      </c>
      <c r="AR115" s="14">
        <v>167.43492260900828</v>
      </c>
      <c r="AS115" s="14">
        <v>163.1959967197632</v>
      </c>
    </row>
    <row r="116" spans="1:45" x14ac:dyDescent="0.35">
      <c r="A116" s="16">
        <v>3111.7062480000004</v>
      </c>
      <c r="B116" s="14">
        <v>144.10468011952176</v>
      </c>
      <c r="C116" s="14">
        <v>143.11357406634048</v>
      </c>
      <c r="D116" s="14">
        <v>143.49397638964828</v>
      </c>
      <c r="E116" s="14">
        <v>149.85771525619165</v>
      </c>
      <c r="F116" s="14">
        <v>159.14517197934563</v>
      </c>
      <c r="G116" s="14">
        <v>170.76664295749447</v>
      </c>
      <c r="H116" s="14">
        <v>184.50012683476547</v>
      </c>
      <c r="I116" s="14">
        <v>182.39421397290025</v>
      </c>
      <c r="J116" s="14">
        <v>189.64635826538068</v>
      </c>
      <c r="K116" s="14">
        <v>187.05634244685575</v>
      </c>
      <c r="L116" s="14">
        <v>184.6826279493913</v>
      </c>
      <c r="M116" s="14">
        <v>182.11321225668158</v>
      </c>
      <c r="N116" s="14">
        <v>176.63777881546466</v>
      </c>
      <c r="O116" s="14">
        <v>173.46935946433933</v>
      </c>
      <c r="P116" s="14">
        <v>171.79774925497793</v>
      </c>
      <c r="Q116" s="14">
        <v>167.68902416093422</v>
      </c>
      <c r="R116" s="15">
        <v>163.44869826313823</v>
      </c>
      <c r="S116" s="14">
        <v>142.74507181571246</v>
      </c>
      <c r="T116" s="14">
        <v>143.11357406634048</v>
      </c>
      <c r="U116" s="14">
        <v>143.49397638964828</v>
      </c>
      <c r="V116" s="14">
        <v>149.85771525619165</v>
      </c>
      <c r="W116" s="14">
        <v>159.14517197934563</v>
      </c>
      <c r="X116" s="14">
        <v>170.76664295749447</v>
      </c>
      <c r="Y116" s="14">
        <v>184.50012683476547</v>
      </c>
      <c r="Z116" s="14">
        <v>182.39421397290025</v>
      </c>
      <c r="AA116" s="14">
        <v>189.64635826538068</v>
      </c>
      <c r="AB116" s="14">
        <v>187.05634244685575</v>
      </c>
      <c r="AC116" s="14">
        <v>184.6826279493913</v>
      </c>
      <c r="AD116" s="14">
        <v>182.11321225668158</v>
      </c>
      <c r="AE116" s="14">
        <v>176.63777881546466</v>
      </c>
      <c r="AF116" s="14">
        <v>173.46935946433933</v>
      </c>
      <c r="AG116" s="14">
        <v>171.79774925497793</v>
      </c>
      <c r="AH116" s="14">
        <v>167.68902416093422</v>
      </c>
      <c r="AI116" s="15">
        <v>163.44869826313823</v>
      </c>
      <c r="AJ116" s="14">
        <v>141.00776120508587</v>
      </c>
      <c r="AK116" s="14">
        <v>144.20738074676595</v>
      </c>
      <c r="AL116" s="14">
        <v>143.49397638964828</v>
      </c>
      <c r="AM116" s="14">
        <v>149.85771525619165</v>
      </c>
      <c r="AN116" s="14">
        <v>159.14517197934563</v>
      </c>
      <c r="AO116" s="14">
        <v>170.76664295749447</v>
      </c>
      <c r="AP116" s="14">
        <v>184.50012683476547</v>
      </c>
      <c r="AQ116" s="14">
        <v>182.39421397290025</v>
      </c>
      <c r="AR116" s="14">
        <v>167.68902416093422</v>
      </c>
      <c r="AS116" s="14">
        <v>163.44869826313823</v>
      </c>
    </row>
    <row r="117" spans="1:45" x14ac:dyDescent="0.35">
      <c r="A117" s="16">
        <v>3149.8062480000003</v>
      </c>
      <c r="B117" s="14">
        <v>144.55788288745867</v>
      </c>
      <c r="C117" s="14">
        <v>143.55897678663834</v>
      </c>
      <c r="D117" s="14">
        <v>143.93937910994546</v>
      </c>
      <c r="E117" s="14">
        <v>150.28771788243341</v>
      </c>
      <c r="F117" s="14">
        <v>159.55067445595267</v>
      </c>
      <c r="G117" s="14">
        <v>171.1454452710301</v>
      </c>
      <c r="H117" s="14">
        <v>184.86012903347932</v>
      </c>
      <c r="I117" s="14">
        <v>182.75041614840521</v>
      </c>
      <c r="J117" s="14">
        <v>189.99046036698459</v>
      </c>
      <c r="K117" s="14">
        <v>187.40104455212415</v>
      </c>
      <c r="L117" s="14">
        <v>185.02753005588167</v>
      </c>
      <c r="M117" s="14">
        <v>182.45721435767487</v>
      </c>
      <c r="N117" s="14">
        <v>176.98228091951182</v>
      </c>
      <c r="O117" s="14">
        <v>173.8133615653326</v>
      </c>
      <c r="P117" s="14">
        <v>172.13945134192392</v>
      </c>
      <c r="Q117" s="14">
        <v>168.03172625398719</v>
      </c>
      <c r="R117" s="15">
        <v>163.78900034153324</v>
      </c>
      <c r="S117" s="14">
        <v>143.18167448226359</v>
      </c>
      <c r="T117" s="14">
        <v>143.55897678663834</v>
      </c>
      <c r="U117" s="14">
        <v>143.93937910994546</v>
      </c>
      <c r="V117" s="14">
        <v>150.28771788243341</v>
      </c>
      <c r="W117" s="14">
        <v>159.55067445595267</v>
      </c>
      <c r="X117" s="14">
        <v>171.1454452710301</v>
      </c>
      <c r="Y117" s="14">
        <v>184.86012903347932</v>
      </c>
      <c r="Z117" s="14">
        <v>182.75041614840521</v>
      </c>
      <c r="AA117" s="14">
        <v>189.99046036698459</v>
      </c>
      <c r="AB117" s="14">
        <v>187.40104455212415</v>
      </c>
      <c r="AC117" s="14">
        <v>185.02753005588167</v>
      </c>
      <c r="AD117" s="14">
        <v>182.45721435767487</v>
      </c>
      <c r="AE117" s="14">
        <v>176.98228091951182</v>
      </c>
      <c r="AF117" s="14">
        <v>173.8133615653326</v>
      </c>
      <c r="AG117" s="14">
        <v>172.13945134192392</v>
      </c>
      <c r="AH117" s="14">
        <v>168.03172625398719</v>
      </c>
      <c r="AI117" s="15">
        <v>163.78900034153324</v>
      </c>
      <c r="AJ117" s="14">
        <v>141.43976384354241</v>
      </c>
      <c r="AK117" s="14">
        <v>144.66048351409219</v>
      </c>
      <c r="AL117" s="14">
        <v>143.93937910994546</v>
      </c>
      <c r="AM117" s="14">
        <v>150.28771788243341</v>
      </c>
      <c r="AN117" s="14">
        <v>159.55067445595267</v>
      </c>
      <c r="AO117" s="14">
        <v>171.1454452710301</v>
      </c>
      <c r="AP117" s="14">
        <v>184.86012903347932</v>
      </c>
      <c r="AQ117" s="14">
        <v>182.75041614840521</v>
      </c>
      <c r="AR117" s="14">
        <v>168.03172625398719</v>
      </c>
      <c r="AS117" s="14">
        <v>163.78900034153324</v>
      </c>
    </row>
    <row r="118" spans="1:45" x14ac:dyDescent="0.35">
      <c r="A118" s="16">
        <v>3187.9062480000002</v>
      </c>
      <c r="B118" s="14">
        <v>144.8625847484256</v>
      </c>
      <c r="C118" s="14">
        <v>143.8557785993556</v>
      </c>
      <c r="D118" s="14">
        <v>144.2363809238847</v>
      </c>
      <c r="E118" s="14">
        <v>150.56901960048395</v>
      </c>
      <c r="F118" s="14">
        <v>159.80777602620037</v>
      </c>
      <c r="G118" s="14">
        <v>171.37684668431481</v>
      </c>
      <c r="H118" s="14">
        <v>185.07623035331855</v>
      </c>
      <c r="I118" s="14">
        <v>182.96431745480777</v>
      </c>
      <c r="J118" s="14">
        <v>190.1920615982641</v>
      </c>
      <c r="K118" s="14">
        <v>187.60294578523624</v>
      </c>
      <c r="L118" s="14">
        <v>185.22963129021502</v>
      </c>
      <c r="M118" s="14">
        <v>182.65851558712248</v>
      </c>
      <c r="N118" s="14">
        <v>177.18408215201327</v>
      </c>
      <c r="O118" s="14">
        <v>174.01496279661214</v>
      </c>
      <c r="P118" s="14">
        <v>172.33875255915609</v>
      </c>
      <c r="Q118" s="14">
        <v>168.2326274809916</v>
      </c>
      <c r="R118" s="15">
        <v>163.98900156304126</v>
      </c>
      <c r="S118" s="14">
        <v>143.4753762760478</v>
      </c>
      <c r="T118" s="14">
        <v>143.8557785993556</v>
      </c>
      <c r="U118" s="14">
        <v>144.2363809238847</v>
      </c>
      <c r="V118" s="14">
        <v>150.56901960048395</v>
      </c>
      <c r="W118" s="14">
        <v>159.80777602620037</v>
      </c>
      <c r="X118" s="14">
        <v>171.37684668431481</v>
      </c>
      <c r="Y118" s="14">
        <v>185.07623035331855</v>
      </c>
      <c r="Z118" s="14">
        <v>182.96431745480777</v>
      </c>
      <c r="AA118" s="14">
        <v>190.1920615982641</v>
      </c>
      <c r="AB118" s="14">
        <v>187.60294578523624</v>
      </c>
      <c r="AC118" s="14">
        <v>185.22963129021502</v>
      </c>
      <c r="AD118" s="14">
        <v>182.65851558712248</v>
      </c>
      <c r="AE118" s="14">
        <v>177.18408215201327</v>
      </c>
      <c r="AF118" s="14">
        <v>174.01496279661214</v>
      </c>
      <c r="AG118" s="14">
        <v>172.33875255915609</v>
      </c>
      <c r="AH118" s="14">
        <v>168.2326274809916</v>
      </c>
      <c r="AI118" s="15">
        <v>163.98900156304126</v>
      </c>
      <c r="AJ118" s="14">
        <v>141.73026561778218</v>
      </c>
      <c r="AK118" s="14">
        <v>144.96518537505915</v>
      </c>
      <c r="AL118" s="14">
        <v>144.2363809238847</v>
      </c>
      <c r="AM118" s="14">
        <v>150.56901960048395</v>
      </c>
      <c r="AN118" s="14">
        <v>159.80777602620037</v>
      </c>
      <c r="AO118" s="14">
        <v>171.37684668431481</v>
      </c>
      <c r="AP118" s="14">
        <v>185.07623035331855</v>
      </c>
      <c r="AQ118" s="14">
        <v>182.96431745480777</v>
      </c>
      <c r="AR118" s="14">
        <v>168.2326274809916</v>
      </c>
      <c r="AS118" s="14">
        <v>163.98900156304126</v>
      </c>
    </row>
    <row r="119" spans="1:45" x14ac:dyDescent="0.35">
      <c r="A119" s="16">
        <v>3226.0062480000001</v>
      </c>
      <c r="B119" s="14">
        <v>145.01878570242326</v>
      </c>
      <c r="C119" s="14">
        <v>144.00397950449297</v>
      </c>
      <c r="D119" s="14">
        <v>144.38488183085394</v>
      </c>
      <c r="E119" s="14">
        <v>150.70192041217587</v>
      </c>
      <c r="F119" s="14">
        <v>159.91647669009015</v>
      </c>
      <c r="G119" s="14">
        <v>171.46104719856982</v>
      </c>
      <c r="H119" s="14">
        <v>185.14823079306117</v>
      </c>
      <c r="I119" s="14">
        <v>183.03581789149655</v>
      </c>
      <c r="J119" s="14">
        <v>190.25096195799867</v>
      </c>
      <c r="K119" s="14">
        <v>187.66194614558077</v>
      </c>
      <c r="L119" s="14">
        <v>185.28863165055949</v>
      </c>
      <c r="M119" s="14">
        <v>182.71691594380249</v>
      </c>
      <c r="N119" s="14">
        <v>177.24338251419033</v>
      </c>
      <c r="O119" s="14">
        <v>174.07406315756793</v>
      </c>
      <c r="P119" s="14">
        <v>172.39575290728587</v>
      </c>
      <c r="Q119" s="14">
        <v>168.29182784255804</v>
      </c>
      <c r="R119" s="15">
        <v>164.04900192949344</v>
      </c>
      <c r="S119" s="14">
        <v>143.62597719584312</v>
      </c>
      <c r="T119" s="14">
        <v>144.00397950449297</v>
      </c>
      <c r="U119" s="14">
        <v>144.38488183085394</v>
      </c>
      <c r="V119" s="14">
        <v>150.70192041217587</v>
      </c>
      <c r="W119" s="14">
        <v>159.91647669009015</v>
      </c>
      <c r="X119" s="14">
        <v>171.46104719856982</v>
      </c>
      <c r="Y119" s="14">
        <v>185.14823079306117</v>
      </c>
      <c r="Z119" s="14">
        <v>183.03581789149655</v>
      </c>
      <c r="AA119" s="14">
        <v>190.25096195799867</v>
      </c>
      <c r="AB119" s="14">
        <v>187.66194614558077</v>
      </c>
      <c r="AC119" s="14">
        <v>185.28863165055949</v>
      </c>
      <c r="AD119" s="14">
        <v>182.71691594380249</v>
      </c>
      <c r="AE119" s="14">
        <v>177.24338251419033</v>
      </c>
      <c r="AF119" s="14">
        <v>174.07406315756793</v>
      </c>
      <c r="AG119" s="14">
        <v>172.39575290728587</v>
      </c>
      <c r="AH119" s="14">
        <v>168.29182784255804</v>
      </c>
      <c r="AI119" s="15">
        <v>164.04900192949344</v>
      </c>
      <c r="AJ119" s="14">
        <v>141.8792665278053</v>
      </c>
      <c r="AK119" s="14">
        <v>145.12148632966745</v>
      </c>
      <c r="AL119" s="14">
        <v>144.38488183085394</v>
      </c>
      <c r="AM119" s="14">
        <v>150.70192041217587</v>
      </c>
      <c r="AN119" s="14">
        <v>159.91647669009015</v>
      </c>
      <c r="AO119" s="14">
        <v>171.46104719856982</v>
      </c>
      <c r="AP119" s="14">
        <v>185.14823079306117</v>
      </c>
      <c r="AQ119" s="14">
        <v>183.03581789149655</v>
      </c>
      <c r="AR119" s="14">
        <v>168.29182784255804</v>
      </c>
      <c r="AS119" s="14">
        <v>164.04900192949344</v>
      </c>
    </row>
    <row r="120" spans="1:45" x14ac:dyDescent="0.35">
      <c r="A120" s="16">
        <v>3256.4100480000002</v>
      </c>
      <c r="B120" s="14">
        <v>145.09058614094391</v>
      </c>
      <c r="C120" s="14">
        <v>144.06907990209368</v>
      </c>
      <c r="D120" s="14">
        <v>144.45008222906597</v>
      </c>
      <c r="E120" s="14">
        <v>150.75472073465355</v>
      </c>
      <c r="F120" s="14">
        <v>159.95007689530351</v>
      </c>
      <c r="G120" s="14">
        <v>171.47534728590756</v>
      </c>
      <c r="H120" s="14">
        <v>185.15403082848479</v>
      </c>
      <c r="I120" s="14">
        <v>183.04201792936337</v>
      </c>
      <c r="J120" s="14">
        <v>190.24696193356851</v>
      </c>
      <c r="K120" s="14">
        <v>187.65774611992936</v>
      </c>
      <c r="L120" s="14">
        <v>185.28443162490808</v>
      </c>
      <c r="M120" s="14">
        <v>182.71231591570788</v>
      </c>
      <c r="N120" s="14">
        <v>177.23948249037085</v>
      </c>
      <c r="O120" s="14">
        <v>174.07016313374842</v>
      </c>
      <c r="P120" s="14">
        <v>172.39025287369415</v>
      </c>
      <c r="Q120" s="14">
        <v>168.28822782057114</v>
      </c>
      <c r="R120" s="15">
        <v>164.04660191483549</v>
      </c>
      <c r="S120" s="14">
        <v>143.69507761787395</v>
      </c>
      <c r="T120" s="14">
        <v>144.06907990209368</v>
      </c>
      <c r="U120" s="14">
        <v>144.45008222906597</v>
      </c>
      <c r="V120" s="14">
        <v>150.75472073465355</v>
      </c>
      <c r="W120" s="14">
        <v>159.95007689530351</v>
      </c>
      <c r="X120" s="14">
        <v>171.47534728590756</v>
      </c>
      <c r="Y120" s="14">
        <v>185.15403082848479</v>
      </c>
      <c r="Z120" s="14">
        <v>183.04201792936337</v>
      </c>
      <c r="AA120" s="14">
        <v>190.24696193356851</v>
      </c>
      <c r="AB120" s="14">
        <v>187.65774611992936</v>
      </c>
      <c r="AC120" s="14">
        <v>185.28443162490808</v>
      </c>
      <c r="AD120" s="14">
        <v>182.71231591570788</v>
      </c>
      <c r="AE120" s="14">
        <v>177.23948249037085</v>
      </c>
      <c r="AF120" s="14">
        <v>174.07016313374842</v>
      </c>
      <c r="AG120" s="14">
        <v>172.39025287369415</v>
      </c>
      <c r="AH120" s="14">
        <v>168.28822782057114</v>
      </c>
      <c r="AI120" s="15">
        <v>164.04660191483549</v>
      </c>
      <c r="AJ120" s="14">
        <v>141.94766694556102</v>
      </c>
      <c r="AK120" s="14">
        <v>145.19318676757749</v>
      </c>
      <c r="AL120" s="14">
        <v>144.45008222906597</v>
      </c>
      <c r="AM120" s="14">
        <v>150.75472073465355</v>
      </c>
      <c r="AN120" s="14">
        <v>159.95007689530351</v>
      </c>
      <c r="AO120" s="14">
        <v>171.47534728590756</v>
      </c>
      <c r="AP120" s="14">
        <v>185.15403082848479</v>
      </c>
      <c r="AQ120" s="14">
        <v>183.04201792936337</v>
      </c>
      <c r="AR120" s="14">
        <v>168.28822782057114</v>
      </c>
      <c r="AS120" s="14">
        <v>164.04660191483549</v>
      </c>
    </row>
    <row r="121" spans="1:45" x14ac:dyDescent="0.35">
      <c r="A121" s="16">
        <v>3279.1176480000004</v>
      </c>
      <c r="B121" s="14">
        <v>145.07728605971388</v>
      </c>
      <c r="C121" s="14">
        <v>144.05117979276829</v>
      </c>
      <c r="D121" s="14">
        <v>144.43218211974059</v>
      </c>
      <c r="E121" s="14">
        <v>150.72742056791762</v>
      </c>
      <c r="F121" s="14">
        <v>159.90897664428371</v>
      </c>
      <c r="G121" s="14">
        <v>171.41974694632805</v>
      </c>
      <c r="H121" s="14">
        <v>185.09353045897873</v>
      </c>
      <c r="I121" s="14">
        <v>182.98251756596503</v>
      </c>
      <c r="J121" s="14">
        <v>190.17986152375244</v>
      </c>
      <c r="K121" s="14">
        <v>187.59044570889196</v>
      </c>
      <c r="L121" s="14">
        <v>185.21713121387074</v>
      </c>
      <c r="M121" s="14">
        <v>182.64471550283858</v>
      </c>
      <c r="N121" s="14">
        <v>177.17258208177603</v>
      </c>
      <c r="O121" s="14">
        <v>174.00326272515429</v>
      </c>
      <c r="P121" s="14">
        <v>172.32225245838166</v>
      </c>
      <c r="Q121" s="14">
        <v>168.22182741503082</v>
      </c>
      <c r="R121" s="15">
        <v>163.98180151906672</v>
      </c>
      <c r="S121" s="14">
        <v>143.68227753969776</v>
      </c>
      <c r="T121" s="14">
        <v>144.05117979276829</v>
      </c>
      <c r="U121" s="14">
        <v>144.43218211974059</v>
      </c>
      <c r="V121" s="14">
        <v>150.72742056791762</v>
      </c>
      <c r="W121" s="14">
        <v>159.90897664428371</v>
      </c>
      <c r="X121" s="14">
        <v>171.41974694632805</v>
      </c>
      <c r="Y121" s="14">
        <v>185.09353045897873</v>
      </c>
      <c r="Z121" s="14">
        <v>182.98251756596503</v>
      </c>
      <c r="AA121" s="14">
        <v>190.17986152375244</v>
      </c>
      <c r="AB121" s="14">
        <v>187.59044570889196</v>
      </c>
      <c r="AC121" s="14">
        <v>185.21713121387074</v>
      </c>
      <c r="AD121" s="14">
        <v>182.64471550283858</v>
      </c>
      <c r="AE121" s="14">
        <v>177.17258208177603</v>
      </c>
      <c r="AF121" s="14">
        <v>174.00326272515429</v>
      </c>
      <c r="AG121" s="14">
        <v>172.32225245838166</v>
      </c>
      <c r="AH121" s="14">
        <v>168.22182741503082</v>
      </c>
      <c r="AI121" s="15">
        <v>163.98180151906672</v>
      </c>
      <c r="AJ121" s="14">
        <v>141.93496686799546</v>
      </c>
      <c r="AK121" s="14">
        <v>145.17988668634746</v>
      </c>
      <c r="AL121" s="14">
        <v>144.43218211974059</v>
      </c>
      <c r="AM121" s="14">
        <v>150.72742056791762</v>
      </c>
      <c r="AN121" s="14">
        <v>159.90897664428371</v>
      </c>
      <c r="AO121" s="14">
        <v>171.41974694632805</v>
      </c>
      <c r="AP121" s="14">
        <v>185.09353045897873</v>
      </c>
      <c r="AQ121" s="14">
        <v>182.98251756596503</v>
      </c>
      <c r="AR121" s="14">
        <v>168.22182741503082</v>
      </c>
      <c r="AS121" s="14">
        <v>163.98180151906672</v>
      </c>
    </row>
    <row r="122" spans="1:45" x14ac:dyDescent="0.35">
      <c r="A122" s="16">
        <v>3307.5455820000002</v>
      </c>
      <c r="B122" s="14">
        <v>145.07168602551155</v>
      </c>
      <c r="C122" s="14">
        <v>144.03987972375367</v>
      </c>
      <c r="D122" s="14">
        <v>144.42078205011464</v>
      </c>
      <c r="E122" s="14">
        <v>150.70432042683385</v>
      </c>
      <c r="F122" s="14">
        <v>159.86857639753902</v>
      </c>
      <c r="G122" s="14">
        <v>171.36084658659422</v>
      </c>
      <c r="H122" s="14">
        <v>185.02813005954613</v>
      </c>
      <c r="I122" s="14">
        <v>182.91881717691459</v>
      </c>
      <c r="J122" s="14">
        <v>190.10656107607016</v>
      </c>
      <c r="K122" s="14">
        <v>187.51684525937713</v>
      </c>
      <c r="L122" s="14">
        <v>185.14353076435589</v>
      </c>
      <c r="M122" s="14">
        <v>182.57071505088052</v>
      </c>
      <c r="N122" s="14">
        <v>177.0993816347044</v>
      </c>
      <c r="O122" s="14">
        <v>173.9301622786933</v>
      </c>
      <c r="P122" s="14">
        <v>172.24765200275911</v>
      </c>
      <c r="Q122" s="14">
        <v>168.14932697223364</v>
      </c>
      <c r="R122" s="15">
        <v>163.91120108787433</v>
      </c>
      <c r="S122" s="14">
        <v>143.67687750671669</v>
      </c>
      <c r="T122" s="14">
        <v>144.03987972375367</v>
      </c>
      <c r="U122" s="14">
        <v>144.42078205011464</v>
      </c>
      <c r="V122" s="14">
        <v>150.70432042683385</v>
      </c>
      <c r="W122" s="14">
        <v>159.86857639753902</v>
      </c>
      <c r="X122" s="14">
        <v>171.36084658659422</v>
      </c>
      <c r="Y122" s="14">
        <v>185.02813005954613</v>
      </c>
      <c r="Z122" s="14">
        <v>182.91881717691459</v>
      </c>
      <c r="AA122" s="14">
        <v>190.10656107607016</v>
      </c>
      <c r="AB122" s="14">
        <v>187.51684525937713</v>
      </c>
      <c r="AC122" s="14">
        <v>185.14353076435589</v>
      </c>
      <c r="AD122" s="14">
        <v>182.57071505088052</v>
      </c>
      <c r="AE122" s="14">
        <v>177.0993816347044</v>
      </c>
      <c r="AF122" s="14">
        <v>173.9301622786933</v>
      </c>
      <c r="AG122" s="14">
        <v>172.24765200275911</v>
      </c>
      <c r="AH122" s="14">
        <v>168.14932697223364</v>
      </c>
      <c r="AI122" s="15">
        <v>163.91120108787433</v>
      </c>
      <c r="AJ122" s="14">
        <v>141.92956683501438</v>
      </c>
      <c r="AK122" s="14">
        <v>145.17428665214513</v>
      </c>
      <c r="AL122" s="14">
        <v>144.42078205011464</v>
      </c>
      <c r="AM122" s="14">
        <v>150.70432042683385</v>
      </c>
      <c r="AN122" s="14">
        <v>159.86857639753902</v>
      </c>
      <c r="AO122" s="14">
        <v>171.36084658659422</v>
      </c>
      <c r="AP122" s="14">
        <v>185.02813005954613</v>
      </c>
      <c r="AQ122" s="14">
        <v>182.91881717691459</v>
      </c>
      <c r="AR122" s="14">
        <v>168.14932697223364</v>
      </c>
      <c r="AS122" s="14">
        <v>163.91120108787433</v>
      </c>
    </row>
    <row r="123" spans="1:45" x14ac:dyDescent="0.35">
      <c r="A123" s="16">
        <v>3341.6938500000001</v>
      </c>
      <c r="B123" s="14">
        <v>145.07378603833757</v>
      </c>
      <c r="C123" s="14">
        <v>144.0351796950477</v>
      </c>
      <c r="D123" s="14">
        <v>144.41598202079877</v>
      </c>
      <c r="E123" s="14">
        <v>150.68542031140143</v>
      </c>
      <c r="F123" s="14">
        <v>159.82907615629139</v>
      </c>
      <c r="G123" s="14">
        <v>171.2985462060947</v>
      </c>
      <c r="H123" s="14">
        <v>184.95772962957503</v>
      </c>
      <c r="I123" s="14">
        <v>182.85071676099147</v>
      </c>
      <c r="J123" s="14">
        <v>190.02696058990978</v>
      </c>
      <c r="K123" s="14">
        <v>187.4368447707742</v>
      </c>
      <c r="L123" s="14">
        <v>185.06353027575298</v>
      </c>
      <c r="M123" s="14">
        <v>182.49031455983439</v>
      </c>
      <c r="N123" s="14">
        <v>177.01988114915534</v>
      </c>
      <c r="O123" s="14">
        <v>173.85066179314353</v>
      </c>
      <c r="P123" s="14">
        <v>172.1664515068272</v>
      </c>
      <c r="Q123" s="14">
        <v>168.07062649157032</v>
      </c>
      <c r="R123" s="15">
        <v>163.83460062003707</v>
      </c>
      <c r="S123" s="14">
        <v>143.6788775189321</v>
      </c>
      <c r="T123" s="14">
        <v>144.0351796950477</v>
      </c>
      <c r="U123" s="14">
        <v>144.41598202079877</v>
      </c>
      <c r="V123" s="14">
        <v>150.68542031140143</v>
      </c>
      <c r="W123" s="14">
        <v>159.82907615629139</v>
      </c>
      <c r="X123" s="14">
        <v>171.2985462060947</v>
      </c>
      <c r="Y123" s="14">
        <v>184.95772962957503</v>
      </c>
      <c r="Z123" s="14">
        <v>182.85071676099147</v>
      </c>
      <c r="AA123" s="14">
        <v>190.02696058990978</v>
      </c>
      <c r="AB123" s="14">
        <v>187.4368447707742</v>
      </c>
      <c r="AC123" s="14">
        <v>185.06353027575298</v>
      </c>
      <c r="AD123" s="14">
        <v>182.49031455983439</v>
      </c>
      <c r="AE123" s="14">
        <v>177.01988114915534</v>
      </c>
      <c r="AF123" s="14">
        <v>173.85066179314353</v>
      </c>
      <c r="AG123" s="14">
        <v>172.1664515068272</v>
      </c>
      <c r="AH123" s="14">
        <v>168.07062649157032</v>
      </c>
      <c r="AI123" s="15">
        <v>163.83460062003707</v>
      </c>
      <c r="AJ123" s="14">
        <v>141.93156684722982</v>
      </c>
      <c r="AK123" s="14">
        <v>145.17638666497115</v>
      </c>
      <c r="AL123" s="14">
        <v>144.41598202079877</v>
      </c>
      <c r="AM123" s="14">
        <v>150.68542031140143</v>
      </c>
      <c r="AN123" s="14">
        <v>159.82907615629139</v>
      </c>
      <c r="AO123" s="14">
        <v>171.2985462060947</v>
      </c>
      <c r="AP123" s="14">
        <v>184.95772962957503</v>
      </c>
      <c r="AQ123" s="14">
        <v>182.85071676099147</v>
      </c>
      <c r="AR123" s="14">
        <v>168.07062649157032</v>
      </c>
      <c r="AS123" s="14">
        <v>163.83460062003707</v>
      </c>
    </row>
    <row r="124" spans="1:45" x14ac:dyDescent="0.35">
      <c r="A124" s="16">
        <v>3377.8179840000003</v>
      </c>
      <c r="B124" s="14">
        <v>145.0859861128493</v>
      </c>
      <c r="C124" s="14">
        <v>144.04037972680752</v>
      </c>
      <c r="D124" s="14">
        <v>144.42088205072596</v>
      </c>
      <c r="E124" s="14">
        <v>150.67552025093636</v>
      </c>
      <c r="F124" s="14">
        <v>159.7972759620715</v>
      </c>
      <c r="G124" s="14">
        <v>171.2423458628507</v>
      </c>
      <c r="H124" s="14">
        <v>184.89232923014245</v>
      </c>
      <c r="I124" s="14">
        <v>182.78831637988063</v>
      </c>
      <c r="J124" s="14">
        <v>189.95236013428723</v>
      </c>
      <c r="K124" s="14">
        <v>187.36194431331975</v>
      </c>
      <c r="L124" s="14">
        <v>184.98842981707659</v>
      </c>
      <c r="M124" s="14">
        <v>182.41481409871545</v>
      </c>
      <c r="N124" s="14">
        <v>176.94528069353277</v>
      </c>
      <c r="O124" s="14">
        <v>173.77626133874293</v>
      </c>
      <c r="P124" s="14">
        <v>172.09025104143316</v>
      </c>
      <c r="Q124" s="14">
        <v>167.99692604144485</v>
      </c>
      <c r="R124" s="15">
        <v>163.76310018334829</v>
      </c>
      <c r="S124" s="14">
        <v>143.69067759100128</v>
      </c>
      <c r="T124" s="14">
        <v>144.04037972680752</v>
      </c>
      <c r="U124" s="14">
        <v>144.42088205072596</v>
      </c>
      <c r="V124" s="14">
        <v>150.67552025093636</v>
      </c>
      <c r="W124" s="14">
        <v>159.7972759620715</v>
      </c>
      <c r="X124" s="14">
        <v>171.2423458628507</v>
      </c>
      <c r="Y124" s="14">
        <v>184.89232923014245</v>
      </c>
      <c r="Z124" s="14">
        <v>182.78831637988063</v>
      </c>
      <c r="AA124" s="14">
        <v>189.95236013428723</v>
      </c>
      <c r="AB124" s="14">
        <v>187.36194431331975</v>
      </c>
      <c r="AC124" s="14">
        <v>184.98842981707659</v>
      </c>
      <c r="AD124" s="14">
        <v>182.41481409871545</v>
      </c>
      <c r="AE124" s="14">
        <v>176.94528069353277</v>
      </c>
      <c r="AF124" s="14">
        <v>173.77626133874293</v>
      </c>
      <c r="AG124" s="14">
        <v>172.09025104143316</v>
      </c>
      <c r="AH124" s="14">
        <v>167.99692604144485</v>
      </c>
      <c r="AI124" s="15">
        <v>163.76310018334829</v>
      </c>
      <c r="AJ124" s="14">
        <v>141.94326691868764</v>
      </c>
      <c r="AK124" s="14">
        <v>145.18858673948287</v>
      </c>
      <c r="AL124" s="14">
        <v>144.42088205072596</v>
      </c>
      <c r="AM124" s="14">
        <v>150.67552025093636</v>
      </c>
      <c r="AN124" s="14">
        <v>159.7972759620715</v>
      </c>
      <c r="AO124" s="14">
        <v>171.2423458628507</v>
      </c>
      <c r="AP124" s="14">
        <v>184.89232923014245</v>
      </c>
      <c r="AQ124" s="14">
        <v>182.78831637988063</v>
      </c>
      <c r="AR124" s="14">
        <v>167.99692604144485</v>
      </c>
      <c r="AS124" s="14">
        <v>163.76310018334829</v>
      </c>
    </row>
    <row r="125" spans="1:45" x14ac:dyDescent="0.35">
      <c r="A125" s="16">
        <v>3415.9179840000002</v>
      </c>
      <c r="B125" s="14">
        <v>145.10818624843671</v>
      </c>
      <c r="C125" s="14">
        <v>144.05527981780978</v>
      </c>
      <c r="D125" s="14">
        <v>144.43548213989564</v>
      </c>
      <c r="E125" s="14">
        <v>150.674420244218</v>
      </c>
      <c r="F125" s="14">
        <v>159.77307581426936</v>
      </c>
      <c r="G125" s="14">
        <v>171.19204555564164</v>
      </c>
      <c r="H125" s="14">
        <v>184.83192886124701</v>
      </c>
      <c r="I125" s="14">
        <v>182.73161603358344</v>
      </c>
      <c r="J125" s="14">
        <v>189.88275970920256</v>
      </c>
      <c r="K125" s="14">
        <v>187.29194388579188</v>
      </c>
      <c r="L125" s="14">
        <v>184.9182293883274</v>
      </c>
      <c r="M125" s="14">
        <v>182.34431366813368</v>
      </c>
      <c r="N125" s="14">
        <v>176.87568026844809</v>
      </c>
      <c r="O125" s="14">
        <v>173.70676091426893</v>
      </c>
      <c r="P125" s="14">
        <v>172.0187506047437</v>
      </c>
      <c r="Q125" s="14">
        <v>167.92822562185725</v>
      </c>
      <c r="R125" s="15">
        <v>163.69649977658605</v>
      </c>
      <c r="S125" s="14">
        <v>143.71217772231287</v>
      </c>
      <c r="T125" s="14">
        <v>144.05527981780978</v>
      </c>
      <c r="U125" s="14">
        <v>144.43548213989564</v>
      </c>
      <c r="V125" s="14">
        <v>150.674420244218</v>
      </c>
      <c r="W125" s="14">
        <v>159.77307581426936</v>
      </c>
      <c r="X125" s="14">
        <v>171.19204555564164</v>
      </c>
      <c r="Y125" s="14">
        <v>184.83192886124701</v>
      </c>
      <c r="Z125" s="14">
        <v>182.73161603358344</v>
      </c>
      <c r="AA125" s="14">
        <v>189.88275970920256</v>
      </c>
      <c r="AB125" s="14">
        <v>187.29194388579188</v>
      </c>
      <c r="AC125" s="14">
        <v>184.9182293883274</v>
      </c>
      <c r="AD125" s="14">
        <v>182.34431366813368</v>
      </c>
      <c r="AE125" s="14">
        <v>176.87568026844809</v>
      </c>
      <c r="AF125" s="14">
        <v>173.70676091426893</v>
      </c>
      <c r="AG125" s="14">
        <v>172.0187506047437</v>
      </c>
      <c r="AH125" s="14">
        <v>167.92822562185725</v>
      </c>
      <c r="AI125" s="15">
        <v>163.69649977658605</v>
      </c>
      <c r="AJ125" s="14">
        <v>141.96446704816807</v>
      </c>
      <c r="AK125" s="14">
        <v>145.2108868756809</v>
      </c>
      <c r="AL125" s="14">
        <v>144.43548213989564</v>
      </c>
      <c r="AM125" s="14">
        <v>150.674420244218</v>
      </c>
      <c r="AN125" s="14">
        <v>159.77307581426936</v>
      </c>
      <c r="AO125" s="14">
        <v>171.19204555564164</v>
      </c>
      <c r="AP125" s="14">
        <v>184.83192886124701</v>
      </c>
      <c r="AQ125" s="14">
        <v>182.73161603358344</v>
      </c>
      <c r="AR125" s="14">
        <v>167.92822562185725</v>
      </c>
      <c r="AS125" s="14">
        <v>163.69649977658605</v>
      </c>
    </row>
    <row r="126" spans="1:45" x14ac:dyDescent="0.35">
      <c r="A126" s="16">
        <v>3454.0179840000001</v>
      </c>
      <c r="B126" s="14">
        <v>145.16008656541797</v>
      </c>
      <c r="C126" s="14">
        <v>144.0999800908165</v>
      </c>
      <c r="D126" s="14">
        <v>144.4796824098492</v>
      </c>
      <c r="E126" s="14">
        <v>150.70312041950484</v>
      </c>
      <c r="F126" s="14">
        <v>159.77867584847101</v>
      </c>
      <c r="G126" s="14">
        <v>171.17084542616192</v>
      </c>
      <c r="H126" s="14">
        <v>184.79972866458388</v>
      </c>
      <c r="I126" s="14">
        <v>182.70351586196179</v>
      </c>
      <c r="J126" s="14">
        <v>189.84155945757212</v>
      </c>
      <c r="K126" s="14">
        <v>187.25044363232882</v>
      </c>
      <c r="L126" s="14">
        <v>184.87662913425373</v>
      </c>
      <c r="M126" s="14">
        <v>182.30221341100619</v>
      </c>
      <c r="N126" s="14">
        <v>176.83448001681768</v>
      </c>
      <c r="O126" s="14">
        <v>173.6656606632491</v>
      </c>
      <c r="P126" s="14">
        <v>171.97565034150915</v>
      </c>
      <c r="Q126" s="14">
        <v>167.88772537450194</v>
      </c>
      <c r="R126" s="15">
        <v>163.65789954083482</v>
      </c>
      <c r="S126" s="14">
        <v>143.76217802769006</v>
      </c>
      <c r="T126" s="14">
        <v>144.0999800908165</v>
      </c>
      <c r="U126" s="14">
        <v>144.4796824098492</v>
      </c>
      <c r="V126" s="14">
        <v>150.70312041950484</v>
      </c>
      <c r="W126" s="14">
        <v>159.77867584847101</v>
      </c>
      <c r="X126" s="14">
        <v>171.17084542616192</v>
      </c>
      <c r="Y126" s="14">
        <v>184.79972866458388</v>
      </c>
      <c r="Z126" s="14">
        <v>182.70351586196179</v>
      </c>
      <c r="AA126" s="14">
        <v>189.84155945757212</v>
      </c>
      <c r="AB126" s="14">
        <v>187.25044363232882</v>
      </c>
      <c r="AC126" s="14">
        <v>184.87662913425373</v>
      </c>
      <c r="AD126" s="14">
        <v>182.30221341100619</v>
      </c>
      <c r="AE126" s="14">
        <v>176.83448001681768</v>
      </c>
      <c r="AF126" s="14">
        <v>173.6656606632491</v>
      </c>
      <c r="AG126" s="14">
        <v>171.97565034150915</v>
      </c>
      <c r="AH126" s="14">
        <v>167.88772537450194</v>
      </c>
      <c r="AI126" s="15">
        <v>163.65789954083482</v>
      </c>
      <c r="AJ126" s="14">
        <v>142.014067351102</v>
      </c>
      <c r="AK126" s="14">
        <v>145.26278719266216</v>
      </c>
      <c r="AL126" s="14">
        <v>144.4796824098492</v>
      </c>
      <c r="AM126" s="14">
        <v>150.70312041950484</v>
      </c>
      <c r="AN126" s="14">
        <v>159.77867584847101</v>
      </c>
      <c r="AO126" s="14">
        <v>171.17084542616192</v>
      </c>
      <c r="AP126" s="14">
        <v>184.79972866458388</v>
      </c>
      <c r="AQ126" s="14">
        <v>182.70351586196179</v>
      </c>
      <c r="AR126" s="14">
        <v>167.88772537450194</v>
      </c>
      <c r="AS126" s="14">
        <v>163.65789954083482</v>
      </c>
    </row>
    <row r="127" spans="1:45" x14ac:dyDescent="0.35">
      <c r="A127" s="16">
        <v>3492.117984</v>
      </c>
      <c r="B127" s="14">
        <v>145.24168706379311</v>
      </c>
      <c r="C127" s="14">
        <v>144.17418054399582</v>
      </c>
      <c r="D127" s="14">
        <v>144.55348286058529</v>
      </c>
      <c r="E127" s="14">
        <v>150.76132077496359</v>
      </c>
      <c r="F127" s="14">
        <v>159.81387606345658</v>
      </c>
      <c r="G127" s="14">
        <v>171.1788454750222</v>
      </c>
      <c r="H127" s="14">
        <v>184.79562863954311</v>
      </c>
      <c r="I127" s="14">
        <v>182.70381586379369</v>
      </c>
      <c r="J127" s="14">
        <v>189.82885938000655</v>
      </c>
      <c r="K127" s="14">
        <v>187.2374435529307</v>
      </c>
      <c r="L127" s="14">
        <v>184.8633290530237</v>
      </c>
      <c r="M127" s="14">
        <v>182.28861332794355</v>
      </c>
      <c r="N127" s="14">
        <v>176.82167993864076</v>
      </c>
      <c r="O127" s="14">
        <v>173.65296058568353</v>
      </c>
      <c r="P127" s="14">
        <v>171.96095025172818</v>
      </c>
      <c r="Q127" s="14">
        <v>167.87562530060086</v>
      </c>
      <c r="R127" s="15">
        <v>163.6472994760953</v>
      </c>
      <c r="S127" s="14">
        <v>143.84077850774275</v>
      </c>
      <c r="T127" s="14">
        <v>144.17418054399582</v>
      </c>
      <c r="U127" s="14">
        <v>144.55348286058529</v>
      </c>
      <c r="V127" s="14">
        <v>150.76132077496359</v>
      </c>
      <c r="W127" s="14">
        <v>159.81387606345658</v>
      </c>
      <c r="X127" s="14">
        <v>171.1788454750222</v>
      </c>
      <c r="Y127" s="14">
        <v>184.79562863954311</v>
      </c>
      <c r="Z127" s="14">
        <v>182.70381586379369</v>
      </c>
      <c r="AA127" s="14">
        <v>189.82885938000655</v>
      </c>
      <c r="AB127" s="14">
        <v>187.2374435529307</v>
      </c>
      <c r="AC127" s="14">
        <v>184.8633290530237</v>
      </c>
      <c r="AD127" s="14">
        <v>182.28861332794355</v>
      </c>
      <c r="AE127" s="14">
        <v>176.82167993864076</v>
      </c>
      <c r="AF127" s="14">
        <v>173.65296058568353</v>
      </c>
      <c r="AG127" s="14">
        <v>171.96095025172818</v>
      </c>
      <c r="AH127" s="14">
        <v>167.87562530060086</v>
      </c>
      <c r="AI127" s="15">
        <v>163.6472994760953</v>
      </c>
      <c r="AJ127" s="14">
        <v>142.09176782565763</v>
      </c>
      <c r="AK127" s="14">
        <v>145.34428769042668</v>
      </c>
      <c r="AL127" s="14">
        <v>144.55348286058529</v>
      </c>
      <c r="AM127" s="14">
        <v>150.76132077496359</v>
      </c>
      <c r="AN127" s="14">
        <v>159.81387606345658</v>
      </c>
      <c r="AO127" s="14">
        <v>171.1788454750222</v>
      </c>
      <c r="AP127" s="14">
        <v>184.79562863954311</v>
      </c>
      <c r="AQ127" s="14">
        <v>182.70381586379369</v>
      </c>
      <c r="AR127" s="14">
        <v>167.87562530060086</v>
      </c>
      <c r="AS127" s="14">
        <v>163.6472994760953</v>
      </c>
    </row>
    <row r="128" spans="1:45" x14ac:dyDescent="0.35">
      <c r="A128" s="16">
        <v>3522.521784</v>
      </c>
      <c r="B128" s="14">
        <v>145.27698727938929</v>
      </c>
      <c r="C128" s="14">
        <v>144.20368072416838</v>
      </c>
      <c r="D128" s="14">
        <v>144.58258303831462</v>
      </c>
      <c r="E128" s="14">
        <v>150.77802087695929</v>
      </c>
      <c r="F128" s="14">
        <v>159.81227605368437</v>
      </c>
      <c r="G128" s="14">
        <v>171.15544533210584</v>
      </c>
      <c r="H128" s="14">
        <v>184.76292843982682</v>
      </c>
      <c r="I128" s="14">
        <v>182.67551569095076</v>
      </c>
      <c r="J128" s="14">
        <v>189.79005914303409</v>
      </c>
      <c r="K128" s="14">
        <v>187.19844331473695</v>
      </c>
      <c r="L128" s="14">
        <v>184.82412881360801</v>
      </c>
      <c r="M128" s="14">
        <v>182.24901308608531</v>
      </c>
      <c r="N128" s="14">
        <v>176.78277970105768</v>
      </c>
      <c r="O128" s="14">
        <v>173.61416034871104</v>
      </c>
      <c r="P128" s="14">
        <v>171.92065000559413</v>
      </c>
      <c r="Q128" s="14">
        <v>167.83742506729288</v>
      </c>
      <c r="R128" s="15">
        <v>163.6106992525595</v>
      </c>
      <c r="S128" s="14">
        <v>143.87487871600928</v>
      </c>
      <c r="T128" s="14">
        <v>144.20368072416838</v>
      </c>
      <c r="U128" s="14">
        <v>144.58258303831462</v>
      </c>
      <c r="V128" s="14">
        <v>150.77802087695929</v>
      </c>
      <c r="W128" s="14">
        <v>159.81227605368437</v>
      </c>
      <c r="X128" s="14">
        <v>171.15544533210584</v>
      </c>
      <c r="Y128" s="14">
        <v>184.76292843982682</v>
      </c>
      <c r="Z128" s="14">
        <v>182.67551569095076</v>
      </c>
      <c r="AA128" s="14">
        <v>189.79005914303409</v>
      </c>
      <c r="AB128" s="14">
        <v>187.19844331473695</v>
      </c>
      <c r="AC128" s="14">
        <v>184.82412881360801</v>
      </c>
      <c r="AD128" s="14">
        <v>182.24901308608531</v>
      </c>
      <c r="AE128" s="14">
        <v>176.78277970105768</v>
      </c>
      <c r="AF128" s="14">
        <v>173.61416034871104</v>
      </c>
      <c r="AG128" s="14">
        <v>171.92065000559413</v>
      </c>
      <c r="AH128" s="14">
        <v>167.83742506729288</v>
      </c>
      <c r="AI128" s="15">
        <v>163.6106992525595</v>
      </c>
      <c r="AJ128" s="14">
        <v>142.1254680314816</v>
      </c>
      <c r="AK128" s="14">
        <v>145.37958790602286</v>
      </c>
      <c r="AL128" s="14">
        <v>144.58258303831462</v>
      </c>
      <c r="AM128" s="14">
        <v>150.77802087695929</v>
      </c>
      <c r="AN128" s="14">
        <v>159.81227605368437</v>
      </c>
      <c r="AO128" s="14">
        <v>171.15544533210584</v>
      </c>
      <c r="AP128" s="14">
        <v>184.76292843982682</v>
      </c>
      <c r="AQ128" s="14">
        <v>182.67551569095076</v>
      </c>
      <c r="AR128" s="14">
        <v>167.83742506729288</v>
      </c>
      <c r="AS128" s="14">
        <v>163.6106992525595</v>
      </c>
    </row>
    <row r="129" spans="1:45" x14ac:dyDescent="0.35">
      <c r="A129" s="16">
        <v>3545.2293840000002</v>
      </c>
      <c r="B129" s="14">
        <v>145.26598721220657</v>
      </c>
      <c r="C129" s="14">
        <v>144.1882806301123</v>
      </c>
      <c r="D129" s="14">
        <v>144.5670829436479</v>
      </c>
      <c r="E129" s="14">
        <v>150.75322072549267</v>
      </c>
      <c r="F129" s="14">
        <v>159.77367581793382</v>
      </c>
      <c r="G129" s="14">
        <v>171.10074499802337</v>
      </c>
      <c r="H129" s="14">
        <v>184.70192806726692</v>
      </c>
      <c r="I129" s="14">
        <v>182.6184153422104</v>
      </c>
      <c r="J129" s="14">
        <v>189.7253587478759</v>
      </c>
      <c r="K129" s="14">
        <v>187.13334291713625</v>
      </c>
      <c r="L129" s="14">
        <v>184.7589284153967</v>
      </c>
      <c r="M129" s="14">
        <v>182.18361268665203</v>
      </c>
      <c r="N129" s="14">
        <v>176.71787930467823</v>
      </c>
      <c r="O129" s="14">
        <v>173.54945995355291</v>
      </c>
      <c r="P129" s="14">
        <v>171.85484960371832</v>
      </c>
      <c r="Q129" s="14">
        <v>167.77332467579922</v>
      </c>
      <c r="R129" s="15">
        <v>163.54809887022739</v>
      </c>
      <c r="S129" s="14">
        <v>143.86427865126976</v>
      </c>
      <c r="T129" s="14">
        <v>144.1882806301123</v>
      </c>
      <c r="U129" s="14">
        <v>144.5670829436479</v>
      </c>
      <c r="V129" s="14">
        <v>150.75322072549267</v>
      </c>
      <c r="W129" s="14">
        <v>159.77367581793382</v>
      </c>
      <c r="X129" s="14">
        <v>171.10074499802337</v>
      </c>
      <c r="Y129" s="14">
        <v>184.70192806726692</v>
      </c>
      <c r="Z129" s="14">
        <v>182.6184153422104</v>
      </c>
      <c r="AA129" s="14">
        <v>189.7253587478759</v>
      </c>
      <c r="AB129" s="14">
        <v>187.13334291713625</v>
      </c>
      <c r="AC129" s="14">
        <v>184.7589284153967</v>
      </c>
      <c r="AD129" s="14">
        <v>182.18361268665203</v>
      </c>
      <c r="AE129" s="14">
        <v>176.71787930467823</v>
      </c>
      <c r="AF129" s="14">
        <v>173.54945995355291</v>
      </c>
      <c r="AG129" s="14">
        <v>171.85484960371832</v>
      </c>
      <c r="AH129" s="14">
        <v>167.77332467579922</v>
      </c>
      <c r="AI129" s="15">
        <v>163.54809887022739</v>
      </c>
      <c r="AJ129" s="14">
        <v>142.11496796735207</v>
      </c>
      <c r="AK129" s="14">
        <v>145.36868783945076</v>
      </c>
      <c r="AL129" s="14">
        <v>144.5670829436479</v>
      </c>
      <c r="AM129" s="14">
        <v>150.75322072549267</v>
      </c>
      <c r="AN129" s="14">
        <v>159.77367581793382</v>
      </c>
      <c r="AO129" s="14">
        <v>171.10074499802337</v>
      </c>
      <c r="AP129" s="14">
        <v>184.70192806726692</v>
      </c>
      <c r="AQ129" s="14">
        <v>182.6184153422104</v>
      </c>
      <c r="AR129" s="14">
        <v>167.77332467579922</v>
      </c>
      <c r="AS129" s="14">
        <v>163.54809887022739</v>
      </c>
    </row>
    <row r="130" spans="1:45" x14ac:dyDescent="0.35">
      <c r="A130" s="16">
        <v>3575.6331840000003</v>
      </c>
      <c r="B130" s="14">
        <v>145.58138913852434</v>
      </c>
      <c r="C130" s="14">
        <v>144.49788252100578</v>
      </c>
      <c r="D130" s="14">
        <v>144.87628483209883</v>
      </c>
      <c r="E130" s="14">
        <v>151.05022253943119</v>
      </c>
      <c r="F130" s="14">
        <v>160.05207751827257</v>
      </c>
      <c r="G130" s="14">
        <v>171.35584655605638</v>
      </c>
      <c r="H130" s="14">
        <v>184.94142953002253</v>
      </c>
      <c r="I130" s="14">
        <v>182.85991681718073</v>
      </c>
      <c r="J130" s="14">
        <v>189.95566015444226</v>
      </c>
      <c r="K130" s="14">
        <v>187.36394432553448</v>
      </c>
      <c r="L130" s="14">
        <v>184.98942982318431</v>
      </c>
      <c r="M130" s="14">
        <v>182.41361409138648</v>
      </c>
      <c r="N130" s="14">
        <v>176.94818071124459</v>
      </c>
      <c r="O130" s="14">
        <v>173.77956135889798</v>
      </c>
      <c r="P130" s="14">
        <v>172.08305099745863</v>
      </c>
      <c r="Q130" s="14">
        <v>168.0028260774798</v>
      </c>
      <c r="R130" s="15">
        <v>163.77610026274644</v>
      </c>
      <c r="S130" s="14">
        <v>144.16818050735094</v>
      </c>
      <c r="T130" s="14">
        <v>144.49788252100578</v>
      </c>
      <c r="U130" s="14">
        <v>144.87628483209883</v>
      </c>
      <c r="V130" s="14">
        <v>151.05022253943119</v>
      </c>
      <c r="W130" s="14">
        <v>160.05207751827257</v>
      </c>
      <c r="X130" s="14">
        <v>171.35584655605638</v>
      </c>
      <c r="Y130" s="14">
        <v>184.94142953002253</v>
      </c>
      <c r="Z130" s="14">
        <v>182.85991681718073</v>
      </c>
      <c r="AA130" s="14">
        <v>189.95566015444226</v>
      </c>
      <c r="AB130" s="14">
        <v>187.36394432553448</v>
      </c>
      <c r="AC130" s="14">
        <v>184.98942982318431</v>
      </c>
      <c r="AD130" s="14">
        <v>182.41361409138648</v>
      </c>
      <c r="AE130" s="14">
        <v>176.94818071124459</v>
      </c>
      <c r="AF130" s="14">
        <v>173.77956135889798</v>
      </c>
      <c r="AG130" s="14">
        <v>172.08305099745863</v>
      </c>
      <c r="AH130" s="14">
        <v>168.0028260774798</v>
      </c>
      <c r="AI130" s="15">
        <v>163.77610026274644</v>
      </c>
      <c r="AJ130" s="14">
        <v>142.41566980388953</v>
      </c>
      <c r="AK130" s="14">
        <v>145.68398976515792</v>
      </c>
      <c r="AL130" s="14">
        <v>144.87628483209883</v>
      </c>
      <c r="AM130" s="14">
        <v>151.05022253943119</v>
      </c>
      <c r="AN130" s="14">
        <v>160.05207751827257</v>
      </c>
      <c r="AO130" s="14">
        <v>171.35584655605638</v>
      </c>
      <c r="AP130" s="14">
        <v>184.94142953002253</v>
      </c>
      <c r="AQ130" s="14">
        <v>182.85991681718073</v>
      </c>
      <c r="AR130" s="14">
        <v>168.0028260774798</v>
      </c>
      <c r="AS130" s="14">
        <v>163.77610026274644</v>
      </c>
    </row>
    <row r="131" spans="1:45" x14ac:dyDescent="0.35">
      <c r="A131" s="16">
        <v>3613.7331840000002</v>
      </c>
      <c r="B131" s="14">
        <v>146.22269305528874</v>
      </c>
      <c r="C131" s="14">
        <v>145.13198639379632</v>
      </c>
      <c r="D131" s="14">
        <v>145.51008870305682</v>
      </c>
      <c r="E131" s="14">
        <v>151.66882631755504</v>
      </c>
      <c r="F131" s="14">
        <v>160.64598114553971</v>
      </c>
      <c r="G131" s="14">
        <v>171.92055000498348</v>
      </c>
      <c r="H131" s="14">
        <v>185.48123282687172</v>
      </c>
      <c r="I131" s="14">
        <v>183.39942011219802</v>
      </c>
      <c r="J131" s="14">
        <v>190.4808633621218</v>
      </c>
      <c r="K131" s="14">
        <v>187.88984753748915</v>
      </c>
      <c r="L131" s="14">
        <v>185.51533303513892</v>
      </c>
      <c r="M131" s="14">
        <v>182.93881729906531</v>
      </c>
      <c r="N131" s="14">
        <v>177.47318391770219</v>
      </c>
      <c r="O131" s="14">
        <v>174.30426456352365</v>
      </c>
      <c r="P131" s="14">
        <v>172.60515418620437</v>
      </c>
      <c r="Q131" s="14">
        <v>168.52562927050067</v>
      </c>
      <c r="R131" s="15">
        <v>164.29430342767267</v>
      </c>
      <c r="S131" s="14">
        <v>144.78648428364147</v>
      </c>
      <c r="T131" s="14">
        <v>145.13198639379632</v>
      </c>
      <c r="U131" s="14">
        <v>145.51008870305682</v>
      </c>
      <c r="V131" s="14">
        <v>151.66882631755504</v>
      </c>
      <c r="W131" s="14">
        <v>160.64598114553971</v>
      </c>
      <c r="X131" s="14">
        <v>171.92055000498348</v>
      </c>
      <c r="Y131" s="14">
        <v>185.48123282687172</v>
      </c>
      <c r="Z131" s="14">
        <v>183.39942011219802</v>
      </c>
      <c r="AA131" s="14">
        <v>190.4808633621218</v>
      </c>
      <c r="AB131" s="14">
        <v>187.88984753748915</v>
      </c>
      <c r="AC131" s="14">
        <v>185.51533303513892</v>
      </c>
      <c r="AD131" s="14">
        <v>182.93881729906531</v>
      </c>
      <c r="AE131" s="14">
        <v>177.47318391770219</v>
      </c>
      <c r="AF131" s="14">
        <v>174.30426456352365</v>
      </c>
      <c r="AG131" s="14">
        <v>172.60515418620437</v>
      </c>
      <c r="AH131" s="14">
        <v>168.52562927050067</v>
      </c>
      <c r="AI131" s="15">
        <v>164.29430342767267</v>
      </c>
      <c r="AJ131" s="14">
        <v>143.02747354048134</v>
      </c>
      <c r="AK131" s="14">
        <v>146.32539368253296</v>
      </c>
      <c r="AL131" s="14">
        <v>145.51008870305682</v>
      </c>
      <c r="AM131" s="14">
        <v>151.66882631755504</v>
      </c>
      <c r="AN131" s="14">
        <v>160.64598114553971</v>
      </c>
      <c r="AO131" s="14">
        <v>171.92055000498348</v>
      </c>
      <c r="AP131" s="14">
        <v>185.48123282687172</v>
      </c>
      <c r="AQ131" s="14">
        <v>183.39942011219802</v>
      </c>
      <c r="AR131" s="14">
        <v>168.52562927050067</v>
      </c>
      <c r="AS131" s="14">
        <v>164.29430342767267</v>
      </c>
    </row>
    <row r="132" spans="1:45" x14ac:dyDescent="0.35">
      <c r="A132" s="16">
        <v>3651.8331840000001</v>
      </c>
      <c r="B132" s="14">
        <v>146.82069670759665</v>
      </c>
      <c r="C132" s="14">
        <v>145.72269000151908</v>
      </c>
      <c r="D132" s="14">
        <v>146.10049230894768</v>
      </c>
      <c r="E132" s="14">
        <v>152.24402983061103</v>
      </c>
      <c r="F132" s="14">
        <v>161.19638450712912</v>
      </c>
      <c r="G132" s="14">
        <v>172.44195318945415</v>
      </c>
      <c r="H132" s="14">
        <v>185.97813586170764</v>
      </c>
      <c r="I132" s="14">
        <v>183.89732315314095</v>
      </c>
      <c r="J132" s="14">
        <v>190.96436631511634</v>
      </c>
      <c r="K132" s="14">
        <v>188.3740504947595</v>
      </c>
      <c r="L132" s="14">
        <v>185.99943599179798</v>
      </c>
      <c r="M132" s="14">
        <v>183.42222025144994</v>
      </c>
      <c r="N132" s="14">
        <v>177.95648686947615</v>
      </c>
      <c r="O132" s="14">
        <v>174.78726751346434</v>
      </c>
      <c r="P132" s="14">
        <v>173.08555712026586</v>
      </c>
      <c r="Q132" s="14">
        <v>169.00693221005923</v>
      </c>
      <c r="R132" s="15">
        <v>164.77160634280108</v>
      </c>
      <c r="S132" s="14">
        <v>145.36308780524843</v>
      </c>
      <c r="T132" s="14">
        <v>145.72269000151908</v>
      </c>
      <c r="U132" s="14">
        <v>146.10049230894768</v>
      </c>
      <c r="V132" s="14">
        <v>152.24402983061103</v>
      </c>
      <c r="W132" s="14">
        <v>161.19638450712912</v>
      </c>
      <c r="X132" s="14">
        <v>172.44195318945415</v>
      </c>
      <c r="Y132" s="14">
        <v>185.97813586170764</v>
      </c>
      <c r="Z132" s="14">
        <v>183.89732315314095</v>
      </c>
      <c r="AA132" s="14">
        <v>190.96436631511634</v>
      </c>
      <c r="AB132" s="14">
        <v>188.3740504947595</v>
      </c>
      <c r="AC132" s="14">
        <v>185.99943599179798</v>
      </c>
      <c r="AD132" s="14">
        <v>183.42222025144994</v>
      </c>
      <c r="AE132" s="14">
        <v>177.95648686947615</v>
      </c>
      <c r="AF132" s="14">
        <v>174.78726751346434</v>
      </c>
      <c r="AG132" s="14">
        <v>173.08555712026586</v>
      </c>
      <c r="AH132" s="14">
        <v>169.00693221005923</v>
      </c>
      <c r="AI132" s="15">
        <v>164.77160634280108</v>
      </c>
      <c r="AJ132" s="14">
        <v>143.59797702483209</v>
      </c>
      <c r="AK132" s="14">
        <v>146.92339733484084</v>
      </c>
      <c r="AL132" s="14">
        <v>146.10049230894768</v>
      </c>
      <c r="AM132" s="14">
        <v>152.24402983061103</v>
      </c>
      <c r="AN132" s="14">
        <v>161.19638450712912</v>
      </c>
      <c r="AO132" s="14">
        <v>172.44195318945415</v>
      </c>
      <c r="AP132" s="14">
        <v>185.97813586170764</v>
      </c>
      <c r="AQ132" s="14">
        <v>183.89732315314095</v>
      </c>
      <c r="AR132" s="14">
        <v>169.00693221005923</v>
      </c>
      <c r="AS132" s="14">
        <v>164.77160634280108</v>
      </c>
    </row>
    <row r="133" spans="1:45" x14ac:dyDescent="0.35">
      <c r="A133" s="16">
        <v>3689.933184</v>
      </c>
      <c r="B133" s="14">
        <v>147.37530009483746</v>
      </c>
      <c r="C133" s="14">
        <v>146.26999334417539</v>
      </c>
      <c r="D133" s="14">
        <v>146.6474956497714</v>
      </c>
      <c r="E133" s="14">
        <v>152.77573307798929</v>
      </c>
      <c r="F133" s="14">
        <v>161.70348760426131</v>
      </c>
      <c r="G133" s="14">
        <v>172.92025611068959</v>
      </c>
      <c r="H133" s="14">
        <v>186.43243863636218</v>
      </c>
      <c r="I133" s="14">
        <v>184.3535259394003</v>
      </c>
      <c r="J133" s="14">
        <v>191.40626901403792</v>
      </c>
      <c r="K133" s="14">
        <v>188.81645319673424</v>
      </c>
      <c r="L133" s="14">
        <v>186.44183869377341</v>
      </c>
      <c r="M133" s="14">
        <v>183.86382294853891</v>
      </c>
      <c r="N133" s="14">
        <v>178.39818956717573</v>
      </c>
      <c r="O133" s="14">
        <v>175.22867020933205</v>
      </c>
      <c r="P133" s="14">
        <v>173.524459800865</v>
      </c>
      <c r="Q133" s="14">
        <v>169.44693489737602</v>
      </c>
      <c r="R133" s="15">
        <v>165.20800900813097</v>
      </c>
      <c r="S133" s="14">
        <v>145.8977910709491</v>
      </c>
      <c r="T133" s="14">
        <v>146.26999334417539</v>
      </c>
      <c r="U133" s="14">
        <v>146.6474956497714</v>
      </c>
      <c r="V133" s="14">
        <v>152.77573307798929</v>
      </c>
      <c r="W133" s="14">
        <v>161.70348760426131</v>
      </c>
      <c r="X133" s="14">
        <v>172.92025611068959</v>
      </c>
      <c r="Y133" s="14">
        <v>186.43243863636218</v>
      </c>
      <c r="Z133" s="14">
        <v>184.3535259394003</v>
      </c>
      <c r="AA133" s="14">
        <v>191.40626901403792</v>
      </c>
      <c r="AB133" s="14">
        <v>188.81645319673424</v>
      </c>
      <c r="AC133" s="14">
        <v>186.44183869377341</v>
      </c>
      <c r="AD133" s="14">
        <v>183.86382294853891</v>
      </c>
      <c r="AE133" s="14">
        <v>178.39818956717573</v>
      </c>
      <c r="AF133" s="14">
        <v>175.22867020933205</v>
      </c>
      <c r="AG133" s="14">
        <v>173.524459800865</v>
      </c>
      <c r="AH133" s="14">
        <v>169.44693489737602</v>
      </c>
      <c r="AI133" s="15">
        <v>165.20800900813097</v>
      </c>
      <c r="AJ133" s="14">
        <v>144.12708025633043</v>
      </c>
      <c r="AK133" s="14">
        <v>147.47800072208165</v>
      </c>
      <c r="AL133" s="14">
        <v>146.6474956497714</v>
      </c>
      <c r="AM133" s="14">
        <v>152.77573307798929</v>
      </c>
      <c r="AN133" s="14">
        <v>161.70348760426131</v>
      </c>
      <c r="AO133" s="14">
        <v>172.92025611068959</v>
      </c>
      <c r="AP133" s="14">
        <v>186.43243863636218</v>
      </c>
      <c r="AQ133" s="14">
        <v>184.3535259394003</v>
      </c>
      <c r="AR133" s="14">
        <v>169.44693489737602</v>
      </c>
      <c r="AS133" s="14">
        <v>165.20800900813097</v>
      </c>
    </row>
    <row r="134" spans="1:45" x14ac:dyDescent="0.35">
      <c r="A134" s="16">
        <v>3728.0331840000003</v>
      </c>
      <c r="B134" s="14">
        <v>147.7076021243729</v>
      </c>
      <c r="C134" s="14">
        <v>146.5948953285143</v>
      </c>
      <c r="D134" s="14">
        <v>146.97209763227841</v>
      </c>
      <c r="E134" s="14">
        <v>153.0848349658296</v>
      </c>
      <c r="F134" s="14">
        <v>161.98818934307818</v>
      </c>
      <c r="G134" s="14">
        <v>173.17705767910607</v>
      </c>
      <c r="H134" s="14">
        <v>186.66894008079535</v>
      </c>
      <c r="I134" s="14">
        <v>184.59552741742451</v>
      </c>
      <c r="J134" s="14">
        <v>191.63447040777822</v>
      </c>
      <c r="K134" s="14">
        <v>189.04485459169649</v>
      </c>
      <c r="L134" s="14">
        <v>186.66994008690307</v>
      </c>
      <c r="M134" s="14">
        <v>184.0914243386147</v>
      </c>
      <c r="N134" s="14">
        <v>178.62619095969478</v>
      </c>
      <c r="O134" s="14">
        <v>175.4566716018511</v>
      </c>
      <c r="P134" s="14">
        <v>173.75016117933603</v>
      </c>
      <c r="Q134" s="14">
        <v>169.6744362868412</v>
      </c>
      <c r="R134" s="15">
        <v>165.43431039026646</v>
      </c>
      <c r="S134" s="14">
        <v>146.21819302780474</v>
      </c>
      <c r="T134" s="14">
        <v>146.5948953285143</v>
      </c>
      <c r="U134" s="14">
        <v>146.97209763227841</v>
      </c>
      <c r="V134" s="14">
        <v>153.0848349658296</v>
      </c>
      <c r="W134" s="14">
        <v>161.98818934307818</v>
      </c>
      <c r="X134" s="14">
        <v>173.17705767910607</v>
      </c>
      <c r="Y134" s="14">
        <v>186.66894008079535</v>
      </c>
      <c r="Z134" s="14">
        <v>184.59552741742451</v>
      </c>
      <c r="AA134" s="14">
        <v>191.63447040777822</v>
      </c>
      <c r="AB134" s="14">
        <v>189.04485459169649</v>
      </c>
      <c r="AC134" s="14">
        <v>186.66994008690307</v>
      </c>
      <c r="AD134" s="14">
        <v>184.0914243386147</v>
      </c>
      <c r="AE134" s="14">
        <v>178.62619095969478</v>
      </c>
      <c r="AF134" s="14">
        <v>175.4566716018511</v>
      </c>
      <c r="AG134" s="14">
        <v>173.75016117933603</v>
      </c>
      <c r="AH134" s="14">
        <v>169.6744362868412</v>
      </c>
      <c r="AI134" s="15">
        <v>165.43431039026646</v>
      </c>
      <c r="AJ134" s="14">
        <v>144.44418219303103</v>
      </c>
      <c r="AK134" s="14">
        <v>147.81030275161706</v>
      </c>
      <c r="AL134" s="14">
        <v>146.97209763227841</v>
      </c>
      <c r="AM134" s="14">
        <v>153.0848349658296</v>
      </c>
      <c r="AN134" s="14">
        <v>161.98818934307818</v>
      </c>
      <c r="AO134" s="14">
        <v>173.17705767910607</v>
      </c>
      <c r="AP134" s="14">
        <v>186.66894008079535</v>
      </c>
      <c r="AQ134" s="14">
        <v>184.59552741742451</v>
      </c>
      <c r="AR134" s="14">
        <v>169.6744362868412</v>
      </c>
      <c r="AS134" s="14">
        <v>165.43431039026646</v>
      </c>
    </row>
    <row r="135" spans="1:45" x14ac:dyDescent="0.35">
      <c r="A135" s="16">
        <v>3766.1331840000003</v>
      </c>
      <c r="B135" s="14">
        <v>147.81750279559162</v>
      </c>
      <c r="C135" s="14">
        <v>146.69739595453726</v>
      </c>
      <c r="D135" s="14">
        <v>147.07429825646878</v>
      </c>
      <c r="E135" s="14">
        <v>153.17133549413126</v>
      </c>
      <c r="F135" s="14">
        <v>162.05218973396052</v>
      </c>
      <c r="G135" s="14">
        <v>173.21195789225905</v>
      </c>
      <c r="H135" s="14">
        <v>186.68744019378451</v>
      </c>
      <c r="I135" s="14">
        <v>184.62322758660358</v>
      </c>
      <c r="J135" s="14">
        <v>191.64907049694787</v>
      </c>
      <c r="K135" s="14">
        <v>189.05925467964485</v>
      </c>
      <c r="L135" s="14">
        <v>186.68394017240823</v>
      </c>
      <c r="M135" s="14">
        <v>184.10502442167666</v>
      </c>
      <c r="N135" s="14">
        <v>178.64049104703253</v>
      </c>
      <c r="O135" s="14">
        <v>175.4711716904101</v>
      </c>
      <c r="P135" s="14">
        <v>173.7625612550697</v>
      </c>
      <c r="Q135" s="14">
        <v>169.68943637845408</v>
      </c>
      <c r="R135" s="15">
        <v>165.45051048920899</v>
      </c>
      <c r="S135" s="14">
        <v>146.3242936758146</v>
      </c>
      <c r="T135" s="14">
        <v>146.69739595453726</v>
      </c>
      <c r="U135" s="14">
        <v>147.07429825646878</v>
      </c>
      <c r="V135" s="14">
        <v>153.17133549413126</v>
      </c>
      <c r="W135" s="14">
        <v>162.05218973396052</v>
      </c>
      <c r="X135" s="14">
        <v>173.21195789225905</v>
      </c>
      <c r="Y135" s="14">
        <v>186.68744019378451</v>
      </c>
      <c r="Z135" s="14">
        <v>184.62322758660358</v>
      </c>
      <c r="AA135" s="14">
        <v>191.64907049694787</v>
      </c>
      <c r="AB135" s="14">
        <v>189.05925467964485</v>
      </c>
      <c r="AC135" s="14">
        <v>186.68394017240823</v>
      </c>
      <c r="AD135" s="14">
        <v>184.10502442167666</v>
      </c>
      <c r="AE135" s="14">
        <v>178.64049104703253</v>
      </c>
      <c r="AF135" s="14">
        <v>175.4711716904101</v>
      </c>
      <c r="AG135" s="14">
        <v>173.7625612550697</v>
      </c>
      <c r="AH135" s="14">
        <v>169.68943637845408</v>
      </c>
      <c r="AI135" s="15">
        <v>165.45051048920899</v>
      </c>
      <c r="AJ135" s="14">
        <v>144.54908283371191</v>
      </c>
      <c r="AK135" s="14">
        <v>147.92030342344643</v>
      </c>
      <c r="AL135" s="14">
        <v>147.07429825646878</v>
      </c>
      <c r="AM135" s="14">
        <v>153.17133549413126</v>
      </c>
      <c r="AN135" s="14">
        <v>162.05218973396052</v>
      </c>
      <c r="AO135" s="14">
        <v>173.21195789225905</v>
      </c>
      <c r="AP135" s="14">
        <v>186.68744019378451</v>
      </c>
      <c r="AQ135" s="14">
        <v>184.62322758660358</v>
      </c>
      <c r="AR135" s="14">
        <v>169.68943637845408</v>
      </c>
      <c r="AS135" s="14">
        <v>165.45051048920899</v>
      </c>
    </row>
    <row r="136" spans="1:45" x14ac:dyDescent="0.35">
      <c r="A136" s="16">
        <v>3804.2331840000002</v>
      </c>
      <c r="B136" s="14">
        <v>147.95530363721005</v>
      </c>
      <c r="C136" s="14">
        <v>146.8275967497386</v>
      </c>
      <c r="D136" s="14">
        <v>147.20429905044887</v>
      </c>
      <c r="E136" s="14">
        <v>153.28573619283398</v>
      </c>
      <c r="F136" s="14">
        <v>162.14419029585392</v>
      </c>
      <c r="G136" s="14">
        <v>173.27425827275854</v>
      </c>
      <c r="H136" s="14">
        <v>186.73244046862385</v>
      </c>
      <c r="I136" s="14">
        <v>184.67782792007543</v>
      </c>
      <c r="J136" s="14">
        <v>191.69047074980026</v>
      </c>
      <c r="K136" s="14">
        <v>189.10035493066468</v>
      </c>
      <c r="L136" s="14">
        <v>186.72464042098483</v>
      </c>
      <c r="M136" s="14">
        <v>184.14542466842133</v>
      </c>
      <c r="N136" s="14">
        <v>178.68149129744103</v>
      </c>
      <c r="O136" s="14">
        <v>175.51237194204057</v>
      </c>
      <c r="P136" s="14">
        <v>173.80176149448539</v>
      </c>
      <c r="Q136" s="14">
        <v>169.73113663313836</v>
      </c>
      <c r="R136" s="15">
        <v>165.4931107493897</v>
      </c>
      <c r="S136" s="14">
        <v>146.45719448750648</v>
      </c>
      <c r="T136" s="14">
        <v>146.8275967497386</v>
      </c>
      <c r="U136" s="14">
        <v>147.20429905044887</v>
      </c>
      <c r="V136" s="14">
        <v>153.28573619283398</v>
      </c>
      <c r="W136" s="14">
        <v>162.14419029585392</v>
      </c>
      <c r="X136" s="14">
        <v>173.27425827275854</v>
      </c>
      <c r="Y136" s="14">
        <v>186.73244046862385</v>
      </c>
      <c r="Z136" s="14">
        <v>184.67782792007543</v>
      </c>
      <c r="AA136" s="14">
        <v>191.69047074980026</v>
      </c>
      <c r="AB136" s="14">
        <v>189.10035493066468</v>
      </c>
      <c r="AC136" s="14">
        <v>186.72464042098483</v>
      </c>
      <c r="AD136" s="14">
        <v>184.14542466842133</v>
      </c>
      <c r="AE136" s="14">
        <v>178.68149129744103</v>
      </c>
      <c r="AF136" s="14">
        <v>175.51237194204057</v>
      </c>
      <c r="AG136" s="14">
        <v>173.80176149448539</v>
      </c>
      <c r="AH136" s="14">
        <v>169.73113663313836</v>
      </c>
      <c r="AI136" s="15">
        <v>165.4931107493897</v>
      </c>
      <c r="AJ136" s="14">
        <v>144.68058363685358</v>
      </c>
      <c r="AK136" s="14">
        <v>148.05810426506486</v>
      </c>
      <c r="AL136" s="14">
        <v>147.20429905044887</v>
      </c>
      <c r="AM136" s="14">
        <v>153.28573619283398</v>
      </c>
      <c r="AN136" s="14">
        <v>162.14419029585392</v>
      </c>
      <c r="AO136" s="14">
        <v>173.27425827275854</v>
      </c>
      <c r="AP136" s="14">
        <v>186.73244046862385</v>
      </c>
      <c r="AQ136" s="14">
        <v>184.67782792007543</v>
      </c>
      <c r="AR136" s="14">
        <v>169.73113663313836</v>
      </c>
      <c r="AS136" s="14">
        <v>165.4931107493897</v>
      </c>
    </row>
    <row r="137" spans="1:45" x14ac:dyDescent="0.35">
      <c r="A137" s="16">
        <v>3842.3331840000001</v>
      </c>
      <c r="B137" s="14">
        <v>148.12100464922958</v>
      </c>
      <c r="C137" s="14">
        <v>146.98549771411911</v>
      </c>
      <c r="D137" s="14">
        <v>147.36210001421802</v>
      </c>
      <c r="E137" s="14">
        <v>153.4277370601045</v>
      </c>
      <c r="F137" s="14">
        <v>162.26219101654354</v>
      </c>
      <c r="G137" s="14">
        <v>173.36415882182655</v>
      </c>
      <c r="H137" s="14">
        <v>186.80404090592396</v>
      </c>
      <c r="I137" s="14">
        <v>184.75912841661795</v>
      </c>
      <c r="J137" s="14">
        <v>191.75867116633469</v>
      </c>
      <c r="K137" s="14">
        <v>189.16835534597718</v>
      </c>
      <c r="L137" s="14">
        <v>186.79214083324416</v>
      </c>
      <c r="M137" s="14">
        <v>184.21252507823743</v>
      </c>
      <c r="N137" s="14">
        <v>178.74919171092159</v>
      </c>
      <c r="O137" s="14">
        <v>175.58017235613178</v>
      </c>
      <c r="P137" s="14">
        <v>173.8675618963612</v>
      </c>
      <c r="Q137" s="14">
        <v>169.79943705028344</v>
      </c>
      <c r="R137" s="15">
        <v>165.56201117019924</v>
      </c>
      <c r="S137" s="14">
        <v>146.61699546349109</v>
      </c>
      <c r="T137" s="14">
        <v>146.98549771411911</v>
      </c>
      <c r="U137" s="14">
        <v>147.36210001421802</v>
      </c>
      <c r="V137" s="14">
        <v>153.4277370601045</v>
      </c>
      <c r="W137" s="14">
        <v>162.26219101654354</v>
      </c>
      <c r="X137" s="14">
        <v>173.36415882182655</v>
      </c>
      <c r="Y137" s="14">
        <v>186.80404090592396</v>
      </c>
      <c r="Z137" s="14">
        <v>184.75912841661795</v>
      </c>
      <c r="AA137" s="14">
        <v>191.75867116633469</v>
      </c>
      <c r="AB137" s="14">
        <v>189.16835534597718</v>
      </c>
      <c r="AC137" s="14">
        <v>186.79214083324416</v>
      </c>
      <c r="AD137" s="14">
        <v>184.21252507823743</v>
      </c>
      <c r="AE137" s="14">
        <v>178.74919171092159</v>
      </c>
      <c r="AF137" s="14">
        <v>175.58017235613178</v>
      </c>
      <c r="AG137" s="14">
        <v>173.8675618963612</v>
      </c>
      <c r="AH137" s="14">
        <v>169.79943705028344</v>
      </c>
      <c r="AI137" s="15">
        <v>165.56201117019924</v>
      </c>
      <c r="AJ137" s="14">
        <v>144.8385846018447</v>
      </c>
      <c r="AK137" s="14">
        <v>148.22370527647377</v>
      </c>
      <c r="AL137" s="14">
        <v>147.36210001421802</v>
      </c>
      <c r="AM137" s="14">
        <v>153.4277370601045</v>
      </c>
      <c r="AN137" s="14">
        <v>162.26219101654354</v>
      </c>
      <c r="AO137" s="14">
        <v>173.36415882182655</v>
      </c>
      <c r="AP137" s="14">
        <v>186.80404090592396</v>
      </c>
      <c r="AQ137" s="14">
        <v>184.75912841661795</v>
      </c>
      <c r="AR137" s="14">
        <v>169.79943705028344</v>
      </c>
      <c r="AS137" s="14">
        <v>165.56201117019924</v>
      </c>
    </row>
    <row r="138" spans="1:45" x14ac:dyDescent="0.35">
      <c r="A138" s="16">
        <v>3880.433184</v>
      </c>
      <c r="B138" s="14">
        <v>148.2723055733</v>
      </c>
      <c r="C138" s="14">
        <v>147.12889858993989</v>
      </c>
      <c r="D138" s="14">
        <v>147.50570089126077</v>
      </c>
      <c r="E138" s="14">
        <v>153.55543784003731</v>
      </c>
      <c r="F138" s="14">
        <v>162.36589164989547</v>
      </c>
      <c r="G138" s="14">
        <v>173.43935928111287</v>
      </c>
      <c r="H138" s="14">
        <v>186.86084125283176</v>
      </c>
      <c r="I138" s="14">
        <v>184.82662882887661</v>
      </c>
      <c r="J138" s="14">
        <v>191.81307149858455</v>
      </c>
      <c r="K138" s="14">
        <v>189.22255567700577</v>
      </c>
      <c r="L138" s="14">
        <v>186.84584116121886</v>
      </c>
      <c r="M138" s="14">
        <v>184.2659254043796</v>
      </c>
      <c r="N138" s="14">
        <v>178.80319204072893</v>
      </c>
      <c r="O138" s="14">
        <v>175.63437268716035</v>
      </c>
      <c r="P138" s="14">
        <v>173.91966221456374</v>
      </c>
      <c r="Q138" s="14">
        <v>169.85403738375527</v>
      </c>
      <c r="R138" s="15">
        <v>165.61741150855681</v>
      </c>
      <c r="S138" s="14">
        <v>146.76289635458116</v>
      </c>
      <c r="T138" s="14">
        <v>147.12889858993989</v>
      </c>
      <c r="U138" s="14">
        <v>147.50570089126077</v>
      </c>
      <c r="V138" s="14">
        <v>153.55543784003731</v>
      </c>
      <c r="W138" s="14">
        <v>162.36589164989547</v>
      </c>
      <c r="X138" s="14">
        <v>173.43935928111287</v>
      </c>
      <c r="Y138" s="14">
        <v>186.86084125283176</v>
      </c>
      <c r="Z138" s="14">
        <v>184.82662882887661</v>
      </c>
      <c r="AA138" s="14">
        <v>191.81307149858455</v>
      </c>
      <c r="AB138" s="14">
        <v>189.22255567700577</v>
      </c>
      <c r="AC138" s="14">
        <v>186.84584116121886</v>
      </c>
      <c r="AD138" s="14">
        <v>184.2659254043796</v>
      </c>
      <c r="AE138" s="14">
        <v>178.80319204072893</v>
      </c>
      <c r="AF138" s="14">
        <v>175.63437268716035</v>
      </c>
      <c r="AG138" s="14">
        <v>173.91966221456374</v>
      </c>
      <c r="AH138" s="14">
        <v>169.85403738375527</v>
      </c>
      <c r="AI138" s="15">
        <v>165.61741150855681</v>
      </c>
      <c r="AJ138" s="14">
        <v>144.98308548438382</v>
      </c>
      <c r="AK138" s="14">
        <v>148.37510620115484</v>
      </c>
      <c r="AL138" s="14">
        <v>147.50570089126077</v>
      </c>
      <c r="AM138" s="14">
        <v>153.55543784003731</v>
      </c>
      <c r="AN138" s="14">
        <v>162.36589164989547</v>
      </c>
      <c r="AO138" s="14">
        <v>173.43935928111287</v>
      </c>
      <c r="AP138" s="14">
        <v>186.86084125283176</v>
      </c>
      <c r="AQ138" s="14">
        <v>184.82662882887661</v>
      </c>
      <c r="AR138" s="14">
        <v>169.85403738375527</v>
      </c>
      <c r="AS138" s="14">
        <v>165.61741150855681</v>
      </c>
    </row>
    <row r="139" spans="1:45" x14ac:dyDescent="0.35">
      <c r="A139" s="16">
        <v>3918.5331840000003</v>
      </c>
      <c r="B139" s="14">
        <v>148.40940641064333</v>
      </c>
      <c r="C139" s="14">
        <v>147.25769937659101</v>
      </c>
      <c r="D139" s="14">
        <v>147.6349016803544</v>
      </c>
      <c r="E139" s="14">
        <v>153.668738532021</v>
      </c>
      <c r="F139" s="14">
        <v>162.45539219651957</v>
      </c>
      <c r="G139" s="14">
        <v>173.50015965245152</v>
      </c>
      <c r="H139" s="14">
        <v>186.90294150995925</v>
      </c>
      <c r="I139" s="14">
        <v>184.88022915624069</v>
      </c>
      <c r="J139" s="14">
        <v>191.85377174716112</v>
      </c>
      <c r="K139" s="14">
        <v>189.26295592375044</v>
      </c>
      <c r="L139" s="14">
        <v>186.88574140490971</v>
      </c>
      <c r="M139" s="14">
        <v>184.30552564623852</v>
      </c>
      <c r="N139" s="14">
        <v>178.84339228625166</v>
      </c>
      <c r="O139" s="14">
        <v>175.67477293390505</v>
      </c>
      <c r="P139" s="14">
        <v>173.95796244848236</v>
      </c>
      <c r="Q139" s="14">
        <v>169.89503763416442</v>
      </c>
      <c r="R139" s="15">
        <v>165.65921176385243</v>
      </c>
      <c r="S139" s="14">
        <v>146.89509716199794</v>
      </c>
      <c r="T139" s="14">
        <v>147.25769937659101</v>
      </c>
      <c r="U139" s="14">
        <v>147.6349016803544</v>
      </c>
      <c r="V139" s="14">
        <v>153.668738532021</v>
      </c>
      <c r="W139" s="14">
        <v>162.45539219651957</v>
      </c>
      <c r="X139" s="14">
        <v>173.50015965245152</v>
      </c>
      <c r="Y139" s="14">
        <v>186.90294150995925</v>
      </c>
      <c r="Z139" s="14">
        <v>184.88022915624069</v>
      </c>
      <c r="AA139" s="14">
        <v>191.85377174716112</v>
      </c>
      <c r="AB139" s="14">
        <v>189.26295592375044</v>
      </c>
      <c r="AC139" s="14">
        <v>186.88574140490971</v>
      </c>
      <c r="AD139" s="14">
        <v>184.30552564623852</v>
      </c>
      <c r="AE139" s="14">
        <v>178.84339228625166</v>
      </c>
      <c r="AF139" s="14">
        <v>175.67477293390505</v>
      </c>
      <c r="AG139" s="14">
        <v>173.95796244848236</v>
      </c>
      <c r="AH139" s="14">
        <v>169.89503763416442</v>
      </c>
      <c r="AI139" s="15">
        <v>165.65921176385243</v>
      </c>
      <c r="AJ139" s="14">
        <v>145.11388628324968</v>
      </c>
      <c r="AK139" s="14">
        <v>148.51210703788755</v>
      </c>
      <c r="AL139" s="14">
        <v>147.6349016803544</v>
      </c>
      <c r="AM139" s="14">
        <v>153.668738532021</v>
      </c>
      <c r="AN139" s="14">
        <v>162.45539219651957</v>
      </c>
      <c r="AO139" s="14">
        <v>173.50015965245152</v>
      </c>
      <c r="AP139" s="14">
        <v>186.90294150995925</v>
      </c>
      <c r="AQ139" s="14">
        <v>184.88022915624069</v>
      </c>
      <c r="AR139" s="14">
        <v>169.89503763416442</v>
      </c>
      <c r="AS139" s="14">
        <v>165.65921176385243</v>
      </c>
    </row>
    <row r="140" spans="1:45" x14ac:dyDescent="0.35">
      <c r="A140" s="16">
        <v>3956.6331840000003</v>
      </c>
      <c r="B140" s="14">
        <v>148.64050782209543</v>
      </c>
      <c r="C140" s="14">
        <v>147.48050073735089</v>
      </c>
      <c r="D140" s="14">
        <v>147.85830304477884</v>
      </c>
      <c r="E140" s="14">
        <v>153.87603979811419</v>
      </c>
      <c r="F140" s="14">
        <v>162.63899331786376</v>
      </c>
      <c r="G140" s="14">
        <v>173.65466059606635</v>
      </c>
      <c r="H140" s="14">
        <v>187.03664232653691</v>
      </c>
      <c r="I140" s="14">
        <v>185.02473003878049</v>
      </c>
      <c r="J140" s="14">
        <v>191.98487254785957</v>
      </c>
      <c r="K140" s="14">
        <v>189.39395672383824</v>
      </c>
      <c r="L140" s="14">
        <v>187.01634220255431</v>
      </c>
      <c r="M140" s="14">
        <v>184.4357264414399</v>
      </c>
      <c r="N140" s="14">
        <v>178.97399308389626</v>
      </c>
      <c r="O140" s="14">
        <v>175.80557373277088</v>
      </c>
      <c r="P140" s="14">
        <v>174.08656323391222</v>
      </c>
      <c r="Q140" s="14">
        <v>170.0259384336409</v>
      </c>
      <c r="R140" s="15">
        <v>165.79001256271829</v>
      </c>
      <c r="S140" s="14">
        <v>147.1180985239784</v>
      </c>
      <c r="T140" s="14">
        <v>147.48050073735089</v>
      </c>
      <c r="U140" s="14">
        <v>147.85830304477884</v>
      </c>
      <c r="V140" s="14">
        <v>153.87603979811419</v>
      </c>
      <c r="W140" s="14">
        <v>162.63899331786376</v>
      </c>
      <c r="X140" s="14">
        <v>173.65466059606635</v>
      </c>
      <c r="Y140" s="14">
        <v>187.03664232653691</v>
      </c>
      <c r="Z140" s="14">
        <v>185.02473003878049</v>
      </c>
      <c r="AA140" s="14">
        <v>191.98487254785957</v>
      </c>
      <c r="AB140" s="14">
        <v>189.39395672383824</v>
      </c>
      <c r="AC140" s="14">
        <v>187.01634220255431</v>
      </c>
      <c r="AD140" s="14">
        <v>184.4357264414399</v>
      </c>
      <c r="AE140" s="14">
        <v>178.97399308389626</v>
      </c>
      <c r="AF140" s="14">
        <v>175.80557373277088</v>
      </c>
      <c r="AG140" s="14">
        <v>174.08656323391222</v>
      </c>
      <c r="AH140" s="14">
        <v>170.0259384336409</v>
      </c>
      <c r="AI140" s="15">
        <v>165.79001256271829</v>
      </c>
      <c r="AJ140" s="14">
        <v>145.33448763057294</v>
      </c>
      <c r="AK140" s="14">
        <v>148.74330844995026</v>
      </c>
      <c r="AL140" s="14">
        <v>147.85830304477884</v>
      </c>
      <c r="AM140" s="14">
        <v>153.87603979811419</v>
      </c>
      <c r="AN140" s="14">
        <v>162.63899331786376</v>
      </c>
      <c r="AO140" s="14">
        <v>173.65466059606635</v>
      </c>
      <c r="AP140" s="14">
        <v>187.03664232653691</v>
      </c>
      <c r="AQ140" s="14">
        <v>185.02473003878049</v>
      </c>
      <c r="AR140" s="14">
        <v>170.0259384336409</v>
      </c>
      <c r="AS140" s="14">
        <v>165.79001256271829</v>
      </c>
    </row>
    <row r="141" spans="1:45" x14ac:dyDescent="0.35">
      <c r="A141" s="16">
        <v>3994.7331840000002</v>
      </c>
      <c r="B141" s="14">
        <v>148.96560980765631</v>
      </c>
      <c r="C141" s="14">
        <v>147.79720267160829</v>
      </c>
      <c r="D141" s="14">
        <v>148.17570498331133</v>
      </c>
      <c r="E141" s="14">
        <v>154.1774416389261</v>
      </c>
      <c r="F141" s="14">
        <v>162.91659501331674</v>
      </c>
      <c r="G141" s="14">
        <v>173.90296211256805</v>
      </c>
      <c r="H141" s="14">
        <v>187.26204370317603</v>
      </c>
      <c r="I141" s="14">
        <v>185.25993147527339</v>
      </c>
      <c r="J141" s="14">
        <v>192.20647390129054</v>
      </c>
      <c r="K141" s="14">
        <v>189.61545807665786</v>
      </c>
      <c r="L141" s="14">
        <v>187.2374435529307</v>
      </c>
      <c r="M141" s="14">
        <v>184.65632778876312</v>
      </c>
      <c r="N141" s="14">
        <v>179.19499443366271</v>
      </c>
      <c r="O141" s="14">
        <v>176.02657508253733</v>
      </c>
      <c r="P141" s="14">
        <v>174.30536457024132</v>
      </c>
      <c r="Q141" s="14">
        <v>170.24663978157477</v>
      </c>
      <c r="R141" s="15">
        <v>166.00971390454444</v>
      </c>
      <c r="S141" s="14">
        <v>147.43170043930272</v>
      </c>
      <c r="T141" s="14">
        <v>147.79720267160829</v>
      </c>
      <c r="U141" s="14">
        <v>148.17570498331133</v>
      </c>
      <c r="V141" s="14">
        <v>154.1774416389261</v>
      </c>
      <c r="W141" s="14">
        <v>162.91659501331674</v>
      </c>
      <c r="X141" s="14">
        <v>173.90296211256805</v>
      </c>
      <c r="Y141" s="14">
        <v>187.26204370317603</v>
      </c>
      <c r="Z141" s="14">
        <v>185.25993147527339</v>
      </c>
      <c r="AA141" s="14">
        <v>192.20647390129054</v>
      </c>
      <c r="AB141" s="14">
        <v>189.61545807665786</v>
      </c>
      <c r="AC141" s="14">
        <v>187.2374435529307</v>
      </c>
      <c r="AD141" s="14">
        <v>184.65632778876312</v>
      </c>
      <c r="AE141" s="14">
        <v>179.19499443366271</v>
      </c>
      <c r="AF141" s="14">
        <v>176.02657508253733</v>
      </c>
      <c r="AG141" s="14">
        <v>174.30536457024132</v>
      </c>
      <c r="AH141" s="14">
        <v>170.24663978157477</v>
      </c>
      <c r="AI141" s="15">
        <v>166.00971390454444</v>
      </c>
      <c r="AJ141" s="14">
        <v>145.64488952635284</v>
      </c>
      <c r="AK141" s="14">
        <v>149.06841043551114</v>
      </c>
      <c r="AL141" s="14">
        <v>148.17570498331133</v>
      </c>
      <c r="AM141" s="14">
        <v>154.1774416389261</v>
      </c>
      <c r="AN141" s="14">
        <v>162.91659501331674</v>
      </c>
      <c r="AO141" s="14">
        <v>173.90296211256805</v>
      </c>
      <c r="AP141" s="14">
        <v>187.26204370317603</v>
      </c>
      <c r="AQ141" s="14">
        <v>185.25993147527339</v>
      </c>
      <c r="AR141" s="14">
        <v>170.24663978157477</v>
      </c>
      <c r="AS141" s="14">
        <v>166.00971390454444</v>
      </c>
    </row>
    <row r="142" spans="1:45" x14ac:dyDescent="0.35">
      <c r="A142" s="16">
        <v>4032.8331840000001</v>
      </c>
      <c r="B142" s="14">
        <v>149.33741207843937</v>
      </c>
      <c r="C142" s="14">
        <v>148.16060489108781</v>
      </c>
      <c r="D142" s="14">
        <v>148.53970720645532</v>
      </c>
      <c r="E142" s="14">
        <v>154.5253437637389</v>
      </c>
      <c r="F142" s="14">
        <v>163.24089699399119</v>
      </c>
      <c r="G142" s="14">
        <v>174.19756391184862</v>
      </c>
      <c r="H142" s="14">
        <v>187.53264535587647</v>
      </c>
      <c r="I142" s="14">
        <v>185.54023318721619</v>
      </c>
      <c r="J142" s="14">
        <v>192.47287552833882</v>
      </c>
      <c r="K142" s="14">
        <v>189.88175970309553</v>
      </c>
      <c r="L142" s="14">
        <v>187.50334517692514</v>
      </c>
      <c r="M142" s="14">
        <v>184.92182941031433</v>
      </c>
      <c r="N142" s="14">
        <v>179.46069605643518</v>
      </c>
      <c r="O142" s="14">
        <v>176.29237670592116</v>
      </c>
      <c r="P142" s="14">
        <v>174.56876617896717</v>
      </c>
      <c r="Q142" s="14">
        <v>170.51194140190472</v>
      </c>
      <c r="R142" s="15">
        <v>166.27341551510219</v>
      </c>
      <c r="S142" s="14">
        <v>147.79030262946634</v>
      </c>
      <c r="T142" s="14">
        <v>148.16060489108781</v>
      </c>
      <c r="U142" s="14">
        <v>148.53970720645532</v>
      </c>
      <c r="V142" s="14">
        <v>154.5253437637389</v>
      </c>
      <c r="W142" s="14">
        <v>163.24089699399119</v>
      </c>
      <c r="X142" s="14">
        <v>174.19756391184862</v>
      </c>
      <c r="Y142" s="14">
        <v>187.53264535587647</v>
      </c>
      <c r="Z142" s="14">
        <v>185.54023318721619</v>
      </c>
      <c r="AA142" s="14">
        <v>192.47287552833882</v>
      </c>
      <c r="AB142" s="14">
        <v>189.88175970309553</v>
      </c>
      <c r="AC142" s="14">
        <v>187.50334517692514</v>
      </c>
      <c r="AD142" s="14">
        <v>184.92182941031433</v>
      </c>
      <c r="AE142" s="14">
        <v>179.46069605643518</v>
      </c>
      <c r="AF142" s="14">
        <v>176.29237670592116</v>
      </c>
      <c r="AG142" s="14">
        <v>174.56876617896717</v>
      </c>
      <c r="AH142" s="14">
        <v>170.51194140190472</v>
      </c>
      <c r="AI142" s="15">
        <v>166.27341551510219</v>
      </c>
      <c r="AJ142" s="14">
        <v>145.99969169330757</v>
      </c>
      <c r="AK142" s="14">
        <v>149.44021270629418</v>
      </c>
      <c r="AL142" s="14">
        <v>148.53970720645532</v>
      </c>
      <c r="AM142" s="14">
        <v>154.5253437637389</v>
      </c>
      <c r="AN142" s="14">
        <v>163.24089699399119</v>
      </c>
      <c r="AO142" s="14">
        <v>174.19756391184862</v>
      </c>
      <c r="AP142" s="14">
        <v>187.53264535587647</v>
      </c>
      <c r="AQ142" s="14">
        <v>185.54023318721619</v>
      </c>
      <c r="AR142" s="14">
        <v>170.51194140190472</v>
      </c>
      <c r="AS142" s="14">
        <v>166.27341551510219</v>
      </c>
    </row>
    <row r="143" spans="1:45" x14ac:dyDescent="0.35">
      <c r="A143" s="16">
        <v>4070.933184</v>
      </c>
      <c r="B143" s="14">
        <v>149.75561463261195</v>
      </c>
      <c r="C143" s="14">
        <v>148.57060739517885</v>
      </c>
      <c r="D143" s="14">
        <v>148.95030971421085</v>
      </c>
      <c r="E143" s="14">
        <v>154.91984617316251</v>
      </c>
      <c r="F143" s="14">
        <v>163.61169925866653</v>
      </c>
      <c r="G143" s="14">
        <v>174.53836599329819</v>
      </c>
      <c r="H143" s="14">
        <v>187.84834728402612</v>
      </c>
      <c r="I143" s="14">
        <v>185.86543517338774</v>
      </c>
      <c r="J143" s="14">
        <v>192.7840774290045</v>
      </c>
      <c r="K143" s="14">
        <v>190.1929616037612</v>
      </c>
      <c r="L143" s="14">
        <v>187.81424707575889</v>
      </c>
      <c r="M143" s="14">
        <v>185.23213130548362</v>
      </c>
      <c r="N143" s="14">
        <v>179.77119795282644</v>
      </c>
      <c r="O143" s="14">
        <v>176.6028786023117</v>
      </c>
      <c r="P143" s="14">
        <v>174.87686806069976</v>
      </c>
      <c r="Q143" s="14">
        <v>170.82174329402017</v>
      </c>
      <c r="R143" s="15">
        <v>166.58111739439224</v>
      </c>
      <c r="S143" s="14">
        <v>148.19380509385795</v>
      </c>
      <c r="T143" s="14">
        <v>148.57060739517885</v>
      </c>
      <c r="U143" s="14">
        <v>148.95030971421085</v>
      </c>
      <c r="V143" s="14">
        <v>154.91984617316251</v>
      </c>
      <c r="W143" s="14">
        <v>163.61169925866653</v>
      </c>
      <c r="X143" s="14">
        <v>174.53836599329819</v>
      </c>
      <c r="Y143" s="14">
        <v>187.84834728402612</v>
      </c>
      <c r="Z143" s="14">
        <v>185.86543517338774</v>
      </c>
      <c r="AA143" s="14">
        <v>192.7840774290045</v>
      </c>
      <c r="AB143" s="14">
        <v>190.1929616037612</v>
      </c>
      <c r="AC143" s="14">
        <v>187.81424707575889</v>
      </c>
      <c r="AD143" s="14">
        <v>185.23213130548362</v>
      </c>
      <c r="AE143" s="14">
        <v>179.77119795282644</v>
      </c>
      <c r="AF143" s="14">
        <v>176.6028786023117</v>
      </c>
      <c r="AG143" s="14">
        <v>174.87686806069976</v>
      </c>
      <c r="AH143" s="14">
        <v>170.82174329402017</v>
      </c>
      <c r="AI143" s="15">
        <v>166.58111739439224</v>
      </c>
      <c r="AJ143" s="14">
        <v>146.39899413204776</v>
      </c>
      <c r="AK143" s="14">
        <v>149.85841526046678</v>
      </c>
      <c r="AL143" s="14">
        <v>148.95030971421085</v>
      </c>
      <c r="AM143" s="14">
        <v>154.91984617316251</v>
      </c>
      <c r="AN143" s="14">
        <v>163.61169925866653</v>
      </c>
      <c r="AO143" s="14">
        <v>174.53836599329819</v>
      </c>
      <c r="AP143" s="14">
        <v>187.84834728402612</v>
      </c>
      <c r="AQ143" s="14">
        <v>185.86543517338774</v>
      </c>
      <c r="AR143" s="14">
        <v>170.82174329402017</v>
      </c>
      <c r="AS143" s="14">
        <v>166.58111739439224</v>
      </c>
    </row>
    <row r="144" spans="1:45" x14ac:dyDescent="0.35">
      <c r="A144" s="16">
        <v>4109.0331839999999</v>
      </c>
      <c r="B144" s="14">
        <v>150.14791702859958</v>
      </c>
      <c r="C144" s="14">
        <v>148.95450973986294</v>
      </c>
      <c r="D144" s="14">
        <v>149.33491206317009</v>
      </c>
      <c r="E144" s="14">
        <v>155.28824842317988</v>
      </c>
      <c r="F144" s="14">
        <v>163.95660136515687</v>
      </c>
      <c r="G144" s="14">
        <v>174.85236791106504</v>
      </c>
      <c r="H144" s="14">
        <v>188.13794905276956</v>
      </c>
      <c r="I144" s="14">
        <v>186.16543700564938</v>
      </c>
      <c r="J144" s="14">
        <v>193.07027917698224</v>
      </c>
      <c r="K144" s="14">
        <v>190.47906335112833</v>
      </c>
      <c r="L144" s="14">
        <v>188.09994882068278</v>
      </c>
      <c r="M144" s="14">
        <v>185.51743304796432</v>
      </c>
      <c r="N144" s="14">
        <v>180.05659969591775</v>
      </c>
      <c r="O144" s="14">
        <v>176.88838034601366</v>
      </c>
      <c r="P144" s="14">
        <v>175.15996978974448</v>
      </c>
      <c r="Q144" s="14">
        <v>171.10664503405764</v>
      </c>
      <c r="R144" s="15">
        <v>166.86421912343627</v>
      </c>
      <c r="S144" s="14">
        <v>148.57220740495035</v>
      </c>
      <c r="T144" s="14">
        <v>148.95450973986294</v>
      </c>
      <c r="U144" s="14">
        <v>149.33491206317009</v>
      </c>
      <c r="V144" s="14">
        <v>155.28824842317988</v>
      </c>
      <c r="W144" s="14">
        <v>163.95660136515687</v>
      </c>
      <c r="X144" s="14">
        <v>174.85236791106504</v>
      </c>
      <c r="Y144" s="14">
        <v>188.13794905276956</v>
      </c>
      <c r="Z144" s="14">
        <v>186.16543700564938</v>
      </c>
      <c r="AA144" s="14">
        <v>193.07027917698224</v>
      </c>
      <c r="AB144" s="14">
        <v>190.47906335112833</v>
      </c>
      <c r="AC144" s="14">
        <v>188.09994882068278</v>
      </c>
      <c r="AD144" s="14">
        <v>185.51743304796432</v>
      </c>
      <c r="AE144" s="14">
        <v>180.05659969591775</v>
      </c>
      <c r="AF144" s="14">
        <v>176.88838034601366</v>
      </c>
      <c r="AG144" s="14">
        <v>175.15996978974448</v>
      </c>
      <c r="AH144" s="14">
        <v>171.10664503405764</v>
      </c>
      <c r="AI144" s="15">
        <v>166.86421912343627</v>
      </c>
      <c r="AJ144" s="14">
        <v>146.77339641871001</v>
      </c>
      <c r="AK144" s="14">
        <v>150.25071765645441</v>
      </c>
      <c r="AL144" s="14">
        <v>149.33491206317009</v>
      </c>
      <c r="AM144" s="14">
        <v>155.28824842317988</v>
      </c>
      <c r="AN144" s="14">
        <v>163.95660136515687</v>
      </c>
      <c r="AO144" s="14">
        <v>174.85236791106504</v>
      </c>
      <c r="AP144" s="14">
        <v>188.13794905276956</v>
      </c>
      <c r="AQ144" s="14">
        <v>186.16543700564938</v>
      </c>
      <c r="AR144" s="14">
        <v>171.10664503405764</v>
      </c>
      <c r="AS144" s="14">
        <v>166.86421912343627</v>
      </c>
    </row>
    <row r="145" spans="1:45" x14ac:dyDescent="0.35">
      <c r="A145" s="16">
        <v>4147.1331840000003</v>
      </c>
      <c r="B145" s="14">
        <v>150.51411926517957</v>
      </c>
      <c r="C145" s="14">
        <v>149.31241192575078</v>
      </c>
      <c r="D145" s="14">
        <v>149.69351425333369</v>
      </c>
      <c r="E145" s="14">
        <v>155.63065051440097</v>
      </c>
      <c r="F145" s="14">
        <v>164.27530331162967</v>
      </c>
      <c r="G145" s="14">
        <v>175.14086967309012</v>
      </c>
      <c r="H145" s="14">
        <v>188.4013506614954</v>
      </c>
      <c r="I145" s="14">
        <v>186.4402386840012</v>
      </c>
      <c r="J145" s="14">
        <v>193.33138077166009</v>
      </c>
      <c r="K145" s="14">
        <v>190.74006494519554</v>
      </c>
      <c r="L145" s="14">
        <v>188.36055041230748</v>
      </c>
      <c r="M145" s="14">
        <v>185.77753463653514</v>
      </c>
      <c r="N145" s="14">
        <v>180.31700128632048</v>
      </c>
      <c r="O145" s="14">
        <v>177.14878193641707</v>
      </c>
      <c r="P145" s="14">
        <v>175.41807136609987</v>
      </c>
      <c r="Q145" s="14">
        <v>171.36674662262845</v>
      </c>
      <c r="R145" s="15">
        <v>167.12282070284553</v>
      </c>
      <c r="S145" s="14">
        <v>148.92550956274422</v>
      </c>
      <c r="T145" s="14">
        <v>149.31241192575078</v>
      </c>
      <c r="U145" s="14">
        <v>149.69351425333369</v>
      </c>
      <c r="V145" s="14">
        <v>155.63065051440097</v>
      </c>
      <c r="W145" s="14">
        <v>164.27530331162967</v>
      </c>
      <c r="X145" s="14">
        <v>175.14086967309012</v>
      </c>
      <c r="Y145" s="14">
        <v>188.4013506614954</v>
      </c>
      <c r="Z145" s="14">
        <v>186.4402386840012</v>
      </c>
      <c r="AA145" s="14">
        <v>193.33138077166009</v>
      </c>
      <c r="AB145" s="14">
        <v>190.74006494519554</v>
      </c>
      <c r="AC145" s="14">
        <v>188.36055041230748</v>
      </c>
      <c r="AD145" s="14">
        <v>185.77753463653514</v>
      </c>
      <c r="AE145" s="14">
        <v>180.31700128632048</v>
      </c>
      <c r="AF145" s="14">
        <v>177.14878193641707</v>
      </c>
      <c r="AG145" s="14">
        <v>175.41807136609987</v>
      </c>
      <c r="AH145" s="14">
        <v>171.36674662262845</v>
      </c>
      <c r="AI145" s="15">
        <v>167.12282070284553</v>
      </c>
      <c r="AJ145" s="14">
        <v>147.12299855390566</v>
      </c>
      <c r="AK145" s="14">
        <v>150.61691989303509</v>
      </c>
      <c r="AL145" s="14">
        <v>149.69351425333369</v>
      </c>
      <c r="AM145" s="14">
        <v>155.63065051440097</v>
      </c>
      <c r="AN145" s="14">
        <v>164.27530331162967</v>
      </c>
      <c r="AO145" s="14">
        <v>175.14086967309012</v>
      </c>
      <c r="AP145" s="14">
        <v>188.4013506614954</v>
      </c>
      <c r="AQ145" s="14">
        <v>186.4402386840012</v>
      </c>
      <c r="AR145" s="14">
        <v>171.36674662262845</v>
      </c>
      <c r="AS145" s="14">
        <v>167.12282070284553</v>
      </c>
    </row>
    <row r="146" spans="1:45" x14ac:dyDescent="0.35">
      <c r="A146" s="16">
        <v>4185.2331840000006</v>
      </c>
      <c r="B146" s="14">
        <v>150.80272102781527</v>
      </c>
      <c r="C146" s="14">
        <v>149.59271363769361</v>
      </c>
      <c r="D146" s="14">
        <v>149.974415968941</v>
      </c>
      <c r="E146" s="14">
        <v>155.89525213045579</v>
      </c>
      <c r="F146" s="14">
        <v>164.51650478476742</v>
      </c>
      <c r="G146" s="14">
        <v>175.35157095994825</v>
      </c>
      <c r="H146" s="14">
        <v>188.58755179871883</v>
      </c>
      <c r="I146" s="14">
        <v>186.63963990184402</v>
      </c>
      <c r="J146" s="14">
        <v>193.51778191010547</v>
      </c>
      <c r="K146" s="14">
        <v>190.92626608241966</v>
      </c>
      <c r="L146" s="14">
        <v>188.54625154647775</v>
      </c>
      <c r="M146" s="14">
        <v>185.96283576826218</v>
      </c>
      <c r="N146" s="14">
        <v>180.50270242049072</v>
      </c>
      <c r="O146" s="14">
        <v>177.33458307119727</v>
      </c>
      <c r="P146" s="14">
        <v>175.60167248744406</v>
      </c>
      <c r="Q146" s="14">
        <v>171.55254775740934</v>
      </c>
      <c r="R146" s="15">
        <v>167.30792183335129</v>
      </c>
      <c r="S146" s="14">
        <v>149.20391126308297</v>
      </c>
      <c r="T146" s="14">
        <v>149.59271363769361</v>
      </c>
      <c r="U146" s="14">
        <v>149.974415968941</v>
      </c>
      <c r="V146" s="14">
        <v>155.89525213045579</v>
      </c>
      <c r="W146" s="14">
        <v>164.51650478476742</v>
      </c>
      <c r="X146" s="14">
        <v>175.35157095994825</v>
      </c>
      <c r="Y146" s="14">
        <v>188.58755179871883</v>
      </c>
      <c r="Z146" s="14">
        <v>186.63963990184402</v>
      </c>
      <c r="AA146" s="14">
        <v>193.51778191010547</v>
      </c>
      <c r="AB146" s="14">
        <v>190.92626608241966</v>
      </c>
      <c r="AC146" s="14">
        <v>188.54625154647775</v>
      </c>
      <c r="AD146" s="14">
        <v>185.96283576826218</v>
      </c>
      <c r="AE146" s="14">
        <v>180.50270242049072</v>
      </c>
      <c r="AF146" s="14">
        <v>177.33458307119727</v>
      </c>
      <c r="AG146" s="14">
        <v>175.60167248744406</v>
      </c>
      <c r="AH146" s="14">
        <v>171.55254775740934</v>
      </c>
      <c r="AI146" s="15">
        <v>167.30792183335129</v>
      </c>
      <c r="AJ146" s="14">
        <v>147.39850023653258</v>
      </c>
      <c r="AK146" s="14">
        <v>150.90552165567081</v>
      </c>
      <c r="AL146" s="14">
        <v>149.974415968941</v>
      </c>
      <c r="AM146" s="14">
        <v>155.89525213045579</v>
      </c>
      <c r="AN146" s="14">
        <v>164.51650478476742</v>
      </c>
      <c r="AO146" s="14">
        <v>175.35157095994825</v>
      </c>
      <c r="AP146" s="14">
        <v>188.58755179871883</v>
      </c>
      <c r="AQ146" s="14">
        <v>186.63963990184402</v>
      </c>
      <c r="AR146" s="14">
        <v>171.55254775740934</v>
      </c>
      <c r="AS146" s="14">
        <v>167.30792183335129</v>
      </c>
    </row>
    <row r="147" spans="1:45" x14ac:dyDescent="0.35">
      <c r="A147" s="16">
        <v>4223.3331840000001</v>
      </c>
      <c r="B147" s="14">
        <v>151.01402231833862</v>
      </c>
      <c r="C147" s="14">
        <v>149.79551487630278</v>
      </c>
      <c r="D147" s="14">
        <v>150.17761720999343</v>
      </c>
      <c r="E147" s="14">
        <v>156.08225327256565</v>
      </c>
      <c r="F147" s="14">
        <v>164.67990578273961</v>
      </c>
      <c r="G147" s="14">
        <v>175.48437177102954</v>
      </c>
      <c r="H147" s="14">
        <v>188.69635246321923</v>
      </c>
      <c r="I147" s="14">
        <v>186.76354065856862</v>
      </c>
      <c r="J147" s="14">
        <v>193.62948259231769</v>
      </c>
      <c r="K147" s="14">
        <v>191.03776676340991</v>
      </c>
      <c r="L147" s="14">
        <v>188.65705222319289</v>
      </c>
      <c r="M147" s="14">
        <v>186.07333644314539</v>
      </c>
      <c r="N147" s="14">
        <v>180.61360309781648</v>
      </c>
      <c r="O147" s="14">
        <v>177.44588375096694</v>
      </c>
      <c r="P147" s="14">
        <v>175.71077315377636</v>
      </c>
      <c r="Q147" s="14">
        <v>171.66404843839959</v>
      </c>
      <c r="R147" s="15">
        <v>167.41962251556282</v>
      </c>
      <c r="S147" s="14">
        <v>149.4072125047453</v>
      </c>
      <c r="T147" s="14">
        <v>149.79551487630278</v>
      </c>
      <c r="U147" s="14">
        <v>150.17761720999343</v>
      </c>
      <c r="V147" s="14">
        <v>156.08225327256565</v>
      </c>
      <c r="W147" s="14">
        <v>164.67990578273961</v>
      </c>
      <c r="X147" s="14">
        <v>175.48437177102954</v>
      </c>
      <c r="Y147" s="14">
        <v>188.69635246321923</v>
      </c>
      <c r="Z147" s="14">
        <v>186.76354065856862</v>
      </c>
      <c r="AA147" s="14">
        <v>193.62948259231769</v>
      </c>
      <c r="AB147" s="14">
        <v>191.03776676340991</v>
      </c>
      <c r="AC147" s="14">
        <v>188.65705222319289</v>
      </c>
      <c r="AD147" s="14">
        <v>186.07333644314539</v>
      </c>
      <c r="AE147" s="14">
        <v>180.61360309781648</v>
      </c>
      <c r="AF147" s="14">
        <v>177.44588375096694</v>
      </c>
      <c r="AG147" s="14">
        <v>175.71077315377636</v>
      </c>
      <c r="AH147" s="14">
        <v>171.66404843839959</v>
      </c>
      <c r="AI147" s="15">
        <v>167.41962251556282</v>
      </c>
      <c r="AJ147" s="14">
        <v>147.59970146536955</v>
      </c>
      <c r="AK147" s="14">
        <v>151.11652294436087</v>
      </c>
      <c r="AL147" s="14">
        <v>150.17761720999343</v>
      </c>
      <c r="AM147" s="14">
        <v>156.08225327256565</v>
      </c>
      <c r="AN147" s="14">
        <v>164.67990578273961</v>
      </c>
      <c r="AO147" s="14">
        <v>175.48437177102954</v>
      </c>
      <c r="AP147" s="14">
        <v>188.69635246321923</v>
      </c>
      <c r="AQ147" s="14">
        <v>186.76354065856862</v>
      </c>
      <c r="AR147" s="14">
        <v>171.66404843839959</v>
      </c>
      <c r="AS147" s="14">
        <v>167.41962251556282</v>
      </c>
    </row>
    <row r="148" spans="1:45" x14ac:dyDescent="0.35">
      <c r="A148" s="16">
        <v>4261.4331840000004</v>
      </c>
      <c r="B148" s="14">
        <v>151.11952296268399</v>
      </c>
      <c r="C148" s="14">
        <v>149.89201546568015</v>
      </c>
      <c r="D148" s="14">
        <v>150.27421779998144</v>
      </c>
      <c r="E148" s="14">
        <v>156.16265376361181</v>
      </c>
      <c r="F148" s="14">
        <v>164.73680613025874</v>
      </c>
      <c r="G148" s="14">
        <v>175.51017192860385</v>
      </c>
      <c r="H148" s="14">
        <v>188.69915248032038</v>
      </c>
      <c r="I148" s="14">
        <v>186.78384078255127</v>
      </c>
      <c r="J148" s="14">
        <v>193.63838264667504</v>
      </c>
      <c r="K148" s="14">
        <v>191.04656681715593</v>
      </c>
      <c r="L148" s="14">
        <v>188.66515227266379</v>
      </c>
      <c r="M148" s="14">
        <v>186.08123649139506</v>
      </c>
      <c r="N148" s="14">
        <v>180.62210314973063</v>
      </c>
      <c r="O148" s="14">
        <v>177.45458380410236</v>
      </c>
      <c r="P148" s="14">
        <v>175.71747319469705</v>
      </c>
      <c r="Q148" s="14">
        <v>171.67364849703208</v>
      </c>
      <c r="R148" s="15">
        <v>167.4305225821349</v>
      </c>
      <c r="S148" s="14">
        <v>149.50841312282861</v>
      </c>
      <c r="T148" s="14">
        <v>149.89201546568015</v>
      </c>
      <c r="U148" s="14">
        <v>150.27421779998144</v>
      </c>
      <c r="V148" s="14">
        <v>156.16265376361181</v>
      </c>
      <c r="W148" s="14">
        <v>164.73680613025874</v>
      </c>
      <c r="X148" s="14">
        <v>175.51017192860385</v>
      </c>
      <c r="Y148" s="14">
        <v>188.69915248032038</v>
      </c>
      <c r="Z148" s="14">
        <v>186.78384078255127</v>
      </c>
      <c r="AA148" s="14">
        <v>193.63838264667504</v>
      </c>
      <c r="AB148" s="14">
        <v>191.04656681715593</v>
      </c>
      <c r="AC148" s="14">
        <v>188.66515227266379</v>
      </c>
      <c r="AD148" s="14">
        <v>186.08123649139506</v>
      </c>
      <c r="AE148" s="14">
        <v>180.62210314973063</v>
      </c>
      <c r="AF148" s="14">
        <v>177.45458380410236</v>
      </c>
      <c r="AG148" s="14">
        <v>175.71747319469705</v>
      </c>
      <c r="AH148" s="14">
        <v>171.67364849703208</v>
      </c>
      <c r="AI148" s="15">
        <v>167.4305225821349</v>
      </c>
      <c r="AJ148" s="14">
        <v>147.69980207673385</v>
      </c>
      <c r="AK148" s="14">
        <v>151.22192358809556</v>
      </c>
      <c r="AL148" s="14">
        <v>150.27421779998144</v>
      </c>
      <c r="AM148" s="14">
        <v>156.16265376361181</v>
      </c>
      <c r="AN148" s="14">
        <v>164.73680613025874</v>
      </c>
      <c r="AO148" s="14">
        <v>175.51017192860385</v>
      </c>
      <c r="AP148" s="14">
        <v>188.69915248032038</v>
      </c>
      <c r="AQ148" s="14">
        <v>186.78384078255127</v>
      </c>
      <c r="AR148" s="14">
        <v>171.67364849703208</v>
      </c>
      <c r="AS148" s="14">
        <v>167.4305225821349</v>
      </c>
    </row>
    <row r="149" spans="1:45" x14ac:dyDescent="0.35">
      <c r="A149" s="16">
        <v>4299.5331839999999</v>
      </c>
      <c r="B149" s="14">
        <v>151.1173229492473</v>
      </c>
      <c r="C149" s="14">
        <v>149.88211540521576</v>
      </c>
      <c r="D149" s="14">
        <v>150.26431773951703</v>
      </c>
      <c r="E149" s="14">
        <v>156.1363536029836</v>
      </c>
      <c r="F149" s="14">
        <v>164.68920583953951</v>
      </c>
      <c r="G149" s="14">
        <v>175.42897143267197</v>
      </c>
      <c r="H149" s="14">
        <v>188.59585184941102</v>
      </c>
      <c r="I149" s="14">
        <v>186.70054027379331</v>
      </c>
      <c r="J149" s="14">
        <v>193.54478207500946</v>
      </c>
      <c r="K149" s="14">
        <v>190.95286624487974</v>
      </c>
      <c r="L149" s="14">
        <v>188.57055169489053</v>
      </c>
      <c r="M149" s="14">
        <v>185.98633591178921</v>
      </c>
      <c r="N149" s="14">
        <v>180.52800257501121</v>
      </c>
      <c r="O149" s="14">
        <v>177.36098323243681</v>
      </c>
      <c r="P149" s="14">
        <v>175.62197261142671</v>
      </c>
      <c r="Q149" s="14">
        <v>171.58144793391745</v>
      </c>
      <c r="R149" s="15">
        <v>167.34062203306758</v>
      </c>
      <c r="S149" s="14">
        <v>149.50631311000257</v>
      </c>
      <c r="T149" s="14">
        <v>149.88211540521576</v>
      </c>
      <c r="U149" s="14">
        <v>150.26431773951703</v>
      </c>
      <c r="V149" s="14">
        <v>156.1363536029836</v>
      </c>
      <c r="W149" s="14">
        <v>164.68920583953951</v>
      </c>
      <c r="X149" s="14">
        <v>175.42897143267197</v>
      </c>
      <c r="Y149" s="14">
        <v>188.59585184941102</v>
      </c>
      <c r="Z149" s="14">
        <v>186.70054027379331</v>
      </c>
      <c r="AA149" s="14">
        <v>193.54478207500946</v>
      </c>
      <c r="AB149" s="14">
        <v>190.95286624487974</v>
      </c>
      <c r="AC149" s="14">
        <v>188.57055169489053</v>
      </c>
      <c r="AD149" s="14">
        <v>185.98633591178921</v>
      </c>
      <c r="AE149" s="14">
        <v>180.52800257501121</v>
      </c>
      <c r="AF149" s="14">
        <v>177.36098323243681</v>
      </c>
      <c r="AG149" s="14">
        <v>175.62197261142671</v>
      </c>
      <c r="AH149" s="14">
        <v>171.58144793391745</v>
      </c>
      <c r="AI149" s="15">
        <v>167.34062203306758</v>
      </c>
      <c r="AJ149" s="14">
        <v>147.69770206390851</v>
      </c>
      <c r="AK149" s="14">
        <v>151.2197235746589</v>
      </c>
      <c r="AL149" s="14">
        <v>150.26431773951703</v>
      </c>
      <c r="AM149" s="14">
        <v>156.1363536029836</v>
      </c>
      <c r="AN149" s="14">
        <v>164.68920583953951</v>
      </c>
      <c r="AO149" s="14">
        <v>175.42897143267197</v>
      </c>
      <c r="AP149" s="14">
        <v>188.59585184941102</v>
      </c>
      <c r="AQ149" s="14">
        <v>186.70054027379331</v>
      </c>
      <c r="AR149" s="14">
        <v>171.58144793391745</v>
      </c>
      <c r="AS149" s="14">
        <v>167.34062203306758</v>
      </c>
    </row>
    <row r="150" spans="1:45" x14ac:dyDescent="0.35">
      <c r="A150" s="16">
        <v>4329.9423180000003</v>
      </c>
      <c r="B150" s="14">
        <v>151.08882277518242</v>
      </c>
      <c r="C150" s="14">
        <v>149.84771519511594</v>
      </c>
      <c r="D150" s="14">
        <v>150.22961752758533</v>
      </c>
      <c r="E150" s="14">
        <v>156.08865331165376</v>
      </c>
      <c r="F150" s="14">
        <v>164.62450544438204</v>
      </c>
      <c r="G150" s="14">
        <v>175.33747087383244</v>
      </c>
      <c r="H150" s="14">
        <v>188.48635118063618</v>
      </c>
      <c r="I150" s="14">
        <v>186.60793970823545</v>
      </c>
      <c r="J150" s="14">
        <v>193.44418146059064</v>
      </c>
      <c r="K150" s="14">
        <v>190.85226563046163</v>
      </c>
      <c r="L150" s="14">
        <v>188.46915107558596</v>
      </c>
      <c r="M150" s="14">
        <v>185.88483529187397</v>
      </c>
      <c r="N150" s="14">
        <v>180.42720195937181</v>
      </c>
      <c r="O150" s="14">
        <v>177.26058261923993</v>
      </c>
      <c r="P150" s="14">
        <v>175.52007198906895</v>
      </c>
      <c r="Q150" s="14">
        <v>171.48224732804951</v>
      </c>
      <c r="R150" s="15">
        <v>167.24362144063636</v>
      </c>
      <c r="S150" s="14">
        <v>149.47881294204541</v>
      </c>
      <c r="T150" s="14">
        <v>149.84771519511594</v>
      </c>
      <c r="U150" s="14">
        <v>150.22961752758533</v>
      </c>
      <c r="V150" s="14">
        <v>156.08865331165376</v>
      </c>
      <c r="W150" s="14">
        <v>164.62450544438204</v>
      </c>
      <c r="X150" s="14">
        <v>175.33747087383244</v>
      </c>
      <c r="Y150" s="14">
        <v>188.48635118063618</v>
      </c>
      <c r="Z150" s="14">
        <v>186.60793970823545</v>
      </c>
      <c r="AA150" s="14">
        <v>193.44418146059064</v>
      </c>
      <c r="AB150" s="14">
        <v>190.85226563046163</v>
      </c>
      <c r="AC150" s="14">
        <v>188.46915107558596</v>
      </c>
      <c r="AD150" s="14">
        <v>185.88483529187397</v>
      </c>
      <c r="AE150" s="14">
        <v>180.42720195937181</v>
      </c>
      <c r="AF150" s="14">
        <v>177.26058261923993</v>
      </c>
      <c r="AG150" s="14">
        <v>175.52007198906895</v>
      </c>
      <c r="AH150" s="14">
        <v>171.48224732804951</v>
      </c>
      <c r="AI150" s="15">
        <v>167.24362144063636</v>
      </c>
      <c r="AJ150" s="14">
        <v>147.67050189778323</v>
      </c>
      <c r="AK150" s="14">
        <v>151.19122340059403</v>
      </c>
      <c r="AL150" s="14">
        <v>150.22961752758533</v>
      </c>
      <c r="AM150" s="14">
        <v>156.08865331165376</v>
      </c>
      <c r="AN150" s="14">
        <v>164.62450544438204</v>
      </c>
      <c r="AO150" s="14">
        <v>175.33747087383244</v>
      </c>
      <c r="AP150" s="14">
        <v>188.48635118063618</v>
      </c>
      <c r="AQ150" s="14">
        <v>186.60793970823545</v>
      </c>
      <c r="AR150" s="14">
        <v>171.48224732804951</v>
      </c>
      <c r="AS150" s="14">
        <v>167.24362144063636</v>
      </c>
    </row>
    <row r="151" spans="1:45" x14ac:dyDescent="0.35">
      <c r="A151" s="16">
        <v>4352.660586</v>
      </c>
      <c r="B151" s="14">
        <v>151.03402244048934</v>
      </c>
      <c r="C151" s="14">
        <v>149.78841483293888</v>
      </c>
      <c r="D151" s="14">
        <v>150.17021716479763</v>
      </c>
      <c r="E151" s="14">
        <v>156.01945288901229</v>
      </c>
      <c r="F151" s="14">
        <v>164.54240494295306</v>
      </c>
      <c r="G151" s="14">
        <v>175.23547025086339</v>
      </c>
      <c r="H151" s="14">
        <v>188.37105047643638</v>
      </c>
      <c r="I151" s="14">
        <v>186.50603908587701</v>
      </c>
      <c r="J151" s="14">
        <v>193.33678080464119</v>
      </c>
      <c r="K151" s="14">
        <v>190.74486497451213</v>
      </c>
      <c r="L151" s="14">
        <v>188.36115041597199</v>
      </c>
      <c r="M151" s="14">
        <v>185.77673463164939</v>
      </c>
      <c r="N151" s="14">
        <v>180.3196013022004</v>
      </c>
      <c r="O151" s="14">
        <v>177.15338196451174</v>
      </c>
      <c r="P151" s="14">
        <v>175.41177132762243</v>
      </c>
      <c r="Q151" s="14">
        <v>171.37604667942904</v>
      </c>
      <c r="R151" s="15">
        <v>167.13952080484123</v>
      </c>
      <c r="S151" s="14">
        <v>149.42591261895643</v>
      </c>
      <c r="T151" s="14">
        <v>149.78841483293888</v>
      </c>
      <c r="U151" s="14">
        <v>150.17021716479763</v>
      </c>
      <c r="V151" s="14">
        <v>156.01945288901229</v>
      </c>
      <c r="W151" s="14">
        <v>164.54240494295306</v>
      </c>
      <c r="X151" s="14">
        <v>175.23547025086339</v>
      </c>
      <c r="Y151" s="14">
        <v>188.37105047643638</v>
      </c>
      <c r="Z151" s="14">
        <v>186.50603908587701</v>
      </c>
      <c r="AA151" s="14">
        <v>193.33678080464119</v>
      </c>
      <c r="AB151" s="14">
        <v>190.74486497451213</v>
      </c>
      <c r="AC151" s="14">
        <v>188.36115041597199</v>
      </c>
      <c r="AD151" s="14">
        <v>185.77673463164939</v>
      </c>
      <c r="AE151" s="14">
        <v>180.3196013022004</v>
      </c>
      <c r="AF151" s="14">
        <v>177.15338196451174</v>
      </c>
      <c r="AG151" s="14">
        <v>175.41177132762243</v>
      </c>
      <c r="AH151" s="14">
        <v>171.37604667942904</v>
      </c>
      <c r="AI151" s="15">
        <v>167.13952080484123</v>
      </c>
      <c r="AJ151" s="14">
        <v>147.61810157774809</v>
      </c>
      <c r="AK151" s="14">
        <v>151.13642306590094</v>
      </c>
      <c r="AL151" s="14">
        <v>150.17021716479763</v>
      </c>
      <c r="AM151" s="14">
        <v>156.01945288901229</v>
      </c>
      <c r="AN151" s="14">
        <v>164.54240494295306</v>
      </c>
      <c r="AO151" s="14">
        <v>175.23547025086339</v>
      </c>
      <c r="AP151" s="14">
        <v>188.37105047643638</v>
      </c>
      <c r="AQ151" s="14">
        <v>186.50603908587701</v>
      </c>
      <c r="AR151" s="14">
        <v>171.37604667942904</v>
      </c>
      <c r="AS151" s="14">
        <v>167.13952080484123</v>
      </c>
    </row>
    <row r="152" spans="1:45" x14ac:dyDescent="0.35">
      <c r="A152" s="16">
        <v>4375.3773300000003</v>
      </c>
      <c r="B152" s="14">
        <v>150.98302212900447</v>
      </c>
      <c r="C152" s="14">
        <v>149.73311449519196</v>
      </c>
      <c r="D152" s="14">
        <v>150.11451682460748</v>
      </c>
      <c r="E152" s="14">
        <v>155.954052489579</v>
      </c>
      <c r="F152" s="14">
        <v>164.46420446534361</v>
      </c>
      <c r="G152" s="14">
        <v>175.13726965110317</v>
      </c>
      <c r="H152" s="14">
        <v>188.25924979361355</v>
      </c>
      <c r="I152" s="14">
        <v>186.4077384855062</v>
      </c>
      <c r="J152" s="14">
        <v>193.23298017067864</v>
      </c>
      <c r="K152" s="14">
        <v>190.6410643405496</v>
      </c>
      <c r="L152" s="14">
        <v>188.25674977834495</v>
      </c>
      <c r="M152" s="14">
        <v>185.67233399402235</v>
      </c>
      <c r="N152" s="14">
        <v>180.2157006676272</v>
      </c>
      <c r="O152" s="14">
        <v>177.04978133177045</v>
      </c>
      <c r="P152" s="14">
        <v>175.30707068816278</v>
      </c>
      <c r="Q152" s="14">
        <v>171.27354605340611</v>
      </c>
      <c r="R152" s="15">
        <v>167.03892019042308</v>
      </c>
      <c r="S152" s="14">
        <v>149.37671231846571</v>
      </c>
      <c r="T152" s="14">
        <v>149.73311449519196</v>
      </c>
      <c r="U152" s="14">
        <v>150.11451682460748</v>
      </c>
      <c r="V152" s="14">
        <v>155.954052489579</v>
      </c>
      <c r="W152" s="14">
        <v>164.46420446534361</v>
      </c>
      <c r="X152" s="14">
        <v>175.13726965110317</v>
      </c>
      <c r="Y152" s="14">
        <v>188.25924979361355</v>
      </c>
      <c r="Z152" s="14">
        <v>186.4077384855062</v>
      </c>
      <c r="AA152" s="14">
        <v>193.23298017067864</v>
      </c>
      <c r="AB152" s="14">
        <v>190.6410643405496</v>
      </c>
      <c r="AC152" s="14">
        <v>188.25674977834495</v>
      </c>
      <c r="AD152" s="14">
        <v>185.67233399402235</v>
      </c>
      <c r="AE152" s="14">
        <v>180.2157006676272</v>
      </c>
      <c r="AF152" s="14">
        <v>177.04978133177045</v>
      </c>
      <c r="AG152" s="14">
        <v>175.30707068816278</v>
      </c>
      <c r="AH152" s="14">
        <v>171.27354605340611</v>
      </c>
      <c r="AI152" s="15">
        <v>167.03892019042308</v>
      </c>
      <c r="AJ152" s="14">
        <v>147.56940128031121</v>
      </c>
      <c r="AK152" s="14">
        <v>151.08532275380611</v>
      </c>
      <c r="AL152" s="14">
        <v>150.11451682460748</v>
      </c>
      <c r="AM152" s="14">
        <v>155.954052489579</v>
      </c>
      <c r="AN152" s="14">
        <v>164.46420446534361</v>
      </c>
      <c r="AO152" s="14">
        <v>175.13726965110317</v>
      </c>
      <c r="AP152" s="14">
        <v>188.25924979361355</v>
      </c>
      <c r="AQ152" s="14">
        <v>186.4077384855062</v>
      </c>
      <c r="AR152" s="14">
        <v>171.27354605340611</v>
      </c>
      <c r="AS152" s="14">
        <v>167.03892019042308</v>
      </c>
    </row>
    <row r="153" spans="1:45" x14ac:dyDescent="0.35">
      <c r="A153" s="16">
        <v>4398.0925500000003</v>
      </c>
      <c r="B153" s="14">
        <v>150.93582184072915</v>
      </c>
      <c r="C153" s="14">
        <v>149.6816141806539</v>
      </c>
      <c r="D153" s="14">
        <v>150.06271650823683</v>
      </c>
      <c r="E153" s="14">
        <v>155.89255211396525</v>
      </c>
      <c r="F153" s="14">
        <v>164.38970401033171</v>
      </c>
      <c r="G153" s="14">
        <v>175.04286907455116</v>
      </c>
      <c r="H153" s="14">
        <v>188.15084913155638</v>
      </c>
      <c r="I153" s="14">
        <v>186.31293790651162</v>
      </c>
      <c r="J153" s="14">
        <v>193.13287955931364</v>
      </c>
      <c r="K153" s="14">
        <v>190.54096372918463</v>
      </c>
      <c r="L153" s="14">
        <v>188.15614916392681</v>
      </c>
      <c r="M153" s="14">
        <v>185.57153337838227</v>
      </c>
      <c r="N153" s="14">
        <v>180.11540005504096</v>
      </c>
      <c r="O153" s="14">
        <v>176.94988072162744</v>
      </c>
      <c r="P153" s="14">
        <v>175.20607007130144</v>
      </c>
      <c r="Q153" s="14">
        <v>171.17464544937079</v>
      </c>
      <c r="R153" s="15">
        <v>166.94201959860249</v>
      </c>
      <c r="S153" s="14">
        <v>149.33111203996188</v>
      </c>
      <c r="T153" s="14">
        <v>149.6816141806539</v>
      </c>
      <c r="U153" s="14">
        <v>150.06271650823683</v>
      </c>
      <c r="V153" s="14">
        <v>155.89255211396525</v>
      </c>
      <c r="W153" s="14">
        <v>164.38970401033171</v>
      </c>
      <c r="X153" s="14">
        <v>175.04286907455116</v>
      </c>
      <c r="Y153" s="14">
        <v>188.15084913155638</v>
      </c>
      <c r="Z153" s="14">
        <v>186.31293790651162</v>
      </c>
      <c r="AA153" s="14">
        <v>193.13287955931364</v>
      </c>
      <c r="AB153" s="14">
        <v>190.54096372918463</v>
      </c>
      <c r="AC153" s="14">
        <v>188.15614916392681</v>
      </c>
      <c r="AD153" s="14">
        <v>185.57153337838227</v>
      </c>
      <c r="AE153" s="14">
        <v>180.11540005504096</v>
      </c>
      <c r="AF153" s="14">
        <v>176.94988072162744</v>
      </c>
      <c r="AG153" s="14">
        <v>175.20607007130144</v>
      </c>
      <c r="AH153" s="14">
        <v>171.17464544937079</v>
      </c>
      <c r="AI153" s="15">
        <v>166.94201959860249</v>
      </c>
      <c r="AJ153" s="14">
        <v>147.5244010054719</v>
      </c>
      <c r="AK153" s="14">
        <v>151.03822246614075</v>
      </c>
      <c r="AL153" s="14">
        <v>150.06271650823683</v>
      </c>
      <c r="AM153" s="14">
        <v>155.89255211396525</v>
      </c>
      <c r="AN153" s="14">
        <v>164.38970401033171</v>
      </c>
      <c r="AO153" s="14">
        <v>175.04286907455116</v>
      </c>
      <c r="AP153" s="14">
        <v>188.15084913155638</v>
      </c>
      <c r="AQ153" s="14">
        <v>186.31293790651162</v>
      </c>
      <c r="AR153" s="14">
        <v>171.17464544937079</v>
      </c>
      <c r="AS153" s="14">
        <v>166.94201959860249</v>
      </c>
    </row>
    <row r="154" spans="1:45" x14ac:dyDescent="0.35">
      <c r="A154" s="16">
        <v>4420.8054840000004</v>
      </c>
      <c r="B154" s="14">
        <v>150.89722160497791</v>
      </c>
      <c r="C154" s="14">
        <v>149.63871391864063</v>
      </c>
      <c r="D154" s="14">
        <v>150.01941624378034</v>
      </c>
      <c r="E154" s="14">
        <v>155.83955179026566</v>
      </c>
      <c r="F154" s="14">
        <v>164.32390360845591</v>
      </c>
      <c r="G154" s="14">
        <v>174.95696854991402</v>
      </c>
      <c r="H154" s="14">
        <v>188.05064851958144</v>
      </c>
      <c r="I154" s="14">
        <v>186.22643737820928</v>
      </c>
      <c r="J154" s="14">
        <v>193.04097899803091</v>
      </c>
      <c r="K154" s="14">
        <v>190.44916316851251</v>
      </c>
      <c r="L154" s="14">
        <v>188.0636485989796</v>
      </c>
      <c r="M154" s="14">
        <v>185.47903281343503</v>
      </c>
      <c r="N154" s="14">
        <v>180.02339949314759</v>
      </c>
      <c r="O154" s="14">
        <v>176.85818016156597</v>
      </c>
      <c r="P154" s="14">
        <v>175.11326950452229</v>
      </c>
      <c r="Q154" s="14">
        <v>171.08394489541703</v>
      </c>
      <c r="R154" s="15">
        <v>166.85321905625352</v>
      </c>
      <c r="S154" s="14">
        <v>149.29391181276159</v>
      </c>
      <c r="T154" s="14">
        <v>149.63871391864063</v>
      </c>
      <c r="U154" s="14">
        <v>150.01941624378034</v>
      </c>
      <c r="V154" s="14">
        <v>155.83955179026566</v>
      </c>
      <c r="W154" s="14">
        <v>164.32390360845591</v>
      </c>
      <c r="X154" s="14">
        <v>174.95696854991402</v>
      </c>
      <c r="Y154" s="14">
        <v>188.05064851958144</v>
      </c>
      <c r="Z154" s="14">
        <v>186.22643737820928</v>
      </c>
      <c r="AA154" s="14">
        <v>193.04097899803091</v>
      </c>
      <c r="AB154" s="14">
        <v>190.44916316851251</v>
      </c>
      <c r="AC154" s="14">
        <v>188.0636485989796</v>
      </c>
      <c r="AD154" s="14">
        <v>185.47903281343503</v>
      </c>
      <c r="AE154" s="14">
        <v>180.02339949314759</v>
      </c>
      <c r="AF154" s="14">
        <v>176.85818016156597</v>
      </c>
      <c r="AG154" s="14">
        <v>175.11326950452229</v>
      </c>
      <c r="AH154" s="14">
        <v>171.08394489541703</v>
      </c>
      <c r="AI154" s="15">
        <v>166.85321905625352</v>
      </c>
      <c r="AJ154" s="14">
        <v>147.48750078010352</v>
      </c>
      <c r="AK154" s="14">
        <v>150.9995222297789</v>
      </c>
      <c r="AL154" s="14">
        <v>150.01941624378034</v>
      </c>
      <c r="AM154" s="14">
        <v>155.83955179026566</v>
      </c>
      <c r="AN154" s="14">
        <v>164.32390360845591</v>
      </c>
      <c r="AO154" s="14">
        <v>174.95696854991402</v>
      </c>
      <c r="AP154" s="14">
        <v>188.05064851958144</v>
      </c>
      <c r="AQ154" s="14">
        <v>186.22643737820928</v>
      </c>
      <c r="AR154" s="14">
        <v>171.08394489541703</v>
      </c>
      <c r="AS154" s="14">
        <v>166.85321905625352</v>
      </c>
    </row>
    <row r="155" spans="1:45" x14ac:dyDescent="0.35">
      <c r="A155" s="16">
        <v>4443.5161320000007</v>
      </c>
      <c r="B155" s="14">
        <v>150.86712142114087</v>
      </c>
      <c r="C155" s="14">
        <v>149.6043137085415</v>
      </c>
      <c r="D155" s="14">
        <v>149.98471603184865</v>
      </c>
      <c r="E155" s="14">
        <v>155.79525151970213</v>
      </c>
      <c r="F155" s="14">
        <v>164.26670325910487</v>
      </c>
      <c r="G155" s="14">
        <v>174.87976807841156</v>
      </c>
      <c r="H155" s="14">
        <v>187.95874795829872</v>
      </c>
      <c r="I155" s="14">
        <v>186.14803689937858</v>
      </c>
      <c r="J155" s="14">
        <v>192.95737848744108</v>
      </c>
      <c r="K155" s="14">
        <v>190.36556265792268</v>
      </c>
      <c r="L155" s="14">
        <v>187.97954808533521</v>
      </c>
      <c r="M155" s="14">
        <v>185.39473229856938</v>
      </c>
      <c r="N155" s="14">
        <v>179.93959898133579</v>
      </c>
      <c r="O155" s="14">
        <v>176.77467965158675</v>
      </c>
      <c r="P155" s="14">
        <v>175.02876898843536</v>
      </c>
      <c r="Q155" s="14">
        <v>171.00154439215547</v>
      </c>
      <c r="R155" s="15">
        <v>166.77241856276416</v>
      </c>
      <c r="S155" s="14">
        <v>149.26491163564285</v>
      </c>
      <c r="T155" s="14">
        <v>149.6043137085415</v>
      </c>
      <c r="U155" s="14">
        <v>149.98471603184865</v>
      </c>
      <c r="V155" s="14">
        <v>155.79525151970213</v>
      </c>
      <c r="W155" s="14">
        <v>164.26670325910487</v>
      </c>
      <c r="X155" s="14">
        <v>174.87976807841156</v>
      </c>
      <c r="Y155" s="14">
        <v>187.95874795829872</v>
      </c>
      <c r="Z155" s="14">
        <v>186.14803689937858</v>
      </c>
      <c r="AA155" s="14">
        <v>192.95737848744108</v>
      </c>
      <c r="AB155" s="14">
        <v>190.36556265792268</v>
      </c>
      <c r="AC155" s="14">
        <v>187.97954808533521</v>
      </c>
      <c r="AD155" s="14">
        <v>185.39473229856938</v>
      </c>
      <c r="AE155" s="14">
        <v>179.93959898133579</v>
      </c>
      <c r="AF155" s="14">
        <v>176.77467965158675</v>
      </c>
      <c r="AG155" s="14">
        <v>175.02876898843536</v>
      </c>
      <c r="AH155" s="14">
        <v>171.00154439215547</v>
      </c>
      <c r="AI155" s="15">
        <v>166.77241856276416</v>
      </c>
      <c r="AJ155" s="14">
        <v>147.45880060481736</v>
      </c>
      <c r="AK155" s="14">
        <v>150.96952204655315</v>
      </c>
      <c r="AL155" s="14">
        <v>149.98471603184865</v>
      </c>
      <c r="AM155" s="14">
        <v>155.79525151970213</v>
      </c>
      <c r="AN155" s="14">
        <v>164.26670325910487</v>
      </c>
      <c r="AO155" s="14">
        <v>174.87976807841156</v>
      </c>
      <c r="AP155" s="14">
        <v>187.95874795829872</v>
      </c>
      <c r="AQ155" s="14">
        <v>186.14803689937858</v>
      </c>
      <c r="AR155" s="14">
        <v>171.00154439215547</v>
      </c>
      <c r="AS155" s="14">
        <v>166.77241856276416</v>
      </c>
    </row>
    <row r="156" spans="1:45" x14ac:dyDescent="0.35">
      <c r="A156" s="16">
        <v>4466.2435440000008</v>
      </c>
      <c r="B156" s="14">
        <v>150.80002101132541</v>
      </c>
      <c r="C156" s="14">
        <v>149.53291327246268</v>
      </c>
      <c r="D156" s="14">
        <v>149.91291559332794</v>
      </c>
      <c r="E156" s="14">
        <v>155.71375102193767</v>
      </c>
      <c r="F156" s="14">
        <v>164.17240268316351</v>
      </c>
      <c r="G156" s="14">
        <v>174.76546738032013</v>
      </c>
      <c r="H156" s="14">
        <v>187.82974717042632</v>
      </c>
      <c r="I156" s="14">
        <v>186.03333619884395</v>
      </c>
      <c r="J156" s="14">
        <v>192.83787775758984</v>
      </c>
      <c r="K156" s="14">
        <v>190.24636192990403</v>
      </c>
      <c r="L156" s="14">
        <v>187.85954735243081</v>
      </c>
      <c r="M156" s="14">
        <v>185.27473156566501</v>
      </c>
      <c r="N156" s="14">
        <v>179.82019825209588</v>
      </c>
      <c r="O156" s="14">
        <v>176.65557892417871</v>
      </c>
      <c r="P156" s="14">
        <v>174.90856825430902</v>
      </c>
      <c r="Q156" s="14">
        <v>170.88354367146582</v>
      </c>
      <c r="R156" s="15">
        <v>166.65661785551117</v>
      </c>
      <c r="S156" s="14">
        <v>149.20021124048472</v>
      </c>
      <c r="T156" s="14">
        <v>149.53291327246268</v>
      </c>
      <c r="U156" s="14">
        <v>149.91291559332794</v>
      </c>
      <c r="V156" s="14">
        <v>155.71375102193767</v>
      </c>
      <c r="W156" s="14">
        <v>164.17240268316351</v>
      </c>
      <c r="X156" s="14">
        <v>174.76546738032013</v>
      </c>
      <c r="Y156" s="14">
        <v>187.82974717042632</v>
      </c>
      <c r="Z156" s="14">
        <v>186.03333619884395</v>
      </c>
      <c r="AA156" s="14">
        <v>192.83787775758984</v>
      </c>
      <c r="AB156" s="14">
        <v>190.24636192990403</v>
      </c>
      <c r="AC156" s="14">
        <v>187.85954735243081</v>
      </c>
      <c r="AD156" s="14">
        <v>185.27473156566501</v>
      </c>
      <c r="AE156" s="14">
        <v>179.82019825209588</v>
      </c>
      <c r="AF156" s="14">
        <v>176.65557892417871</v>
      </c>
      <c r="AG156" s="14">
        <v>174.90856825430902</v>
      </c>
      <c r="AH156" s="14">
        <v>170.88354367146582</v>
      </c>
      <c r="AI156" s="15">
        <v>166.65661785551117</v>
      </c>
      <c r="AJ156" s="14">
        <v>147.39470021332369</v>
      </c>
      <c r="AK156" s="14">
        <v>150.90242163673705</v>
      </c>
      <c r="AL156" s="14">
        <v>149.91291559332794</v>
      </c>
      <c r="AM156" s="14">
        <v>155.71375102193767</v>
      </c>
      <c r="AN156" s="14">
        <v>164.17240268316351</v>
      </c>
      <c r="AO156" s="14">
        <v>174.76546738032013</v>
      </c>
      <c r="AP156" s="14">
        <v>187.82974717042632</v>
      </c>
      <c r="AQ156" s="14">
        <v>186.03333619884395</v>
      </c>
      <c r="AR156" s="14">
        <v>170.88354367146582</v>
      </c>
      <c r="AS156" s="14">
        <v>166.65661785551117</v>
      </c>
    </row>
    <row r="157" spans="1:45" x14ac:dyDescent="0.35">
      <c r="A157" s="16">
        <v>4488.9877200000001</v>
      </c>
      <c r="B157" s="14">
        <v>150.69602037614095</v>
      </c>
      <c r="C157" s="14">
        <v>149.42441260979487</v>
      </c>
      <c r="D157" s="14">
        <v>149.80401492821693</v>
      </c>
      <c r="E157" s="14">
        <v>155.59535029880479</v>
      </c>
      <c r="F157" s="14">
        <v>164.04090188002252</v>
      </c>
      <c r="G157" s="14">
        <v>174.61396645502774</v>
      </c>
      <c r="H157" s="14">
        <v>187.66394615779618</v>
      </c>
      <c r="I157" s="14">
        <v>185.88253527782666</v>
      </c>
      <c r="J157" s="14">
        <v>192.68277681031122</v>
      </c>
      <c r="K157" s="14">
        <v>190.09136098323535</v>
      </c>
      <c r="L157" s="14">
        <v>187.70394640209764</v>
      </c>
      <c r="M157" s="14">
        <v>185.1190306147212</v>
      </c>
      <c r="N157" s="14">
        <v>179.66499730420523</v>
      </c>
      <c r="O157" s="14">
        <v>176.50087797934262</v>
      </c>
      <c r="P157" s="14">
        <v>174.75286730336521</v>
      </c>
      <c r="Q157" s="14">
        <v>170.73024273518064</v>
      </c>
      <c r="R157" s="15">
        <v>166.50581693449459</v>
      </c>
      <c r="S157" s="14">
        <v>149.09971062667719</v>
      </c>
      <c r="T157" s="14">
        <v>149.42441260979487</v>
      </c>
      <c r="U157" s="14">
        <v>149.80401492821693</v>
      </c>
      <c r="V157" s="14">
        <v>155.59535029880479</v>
      </c>
      <c r="W157" s="14">
        <v>164.04090188002252</v>
      </c>
      <c r="X157" s="14">
        <v>174.61396645502774</v>
      </c>
      <c r="Y157" s="14">
        <v>187.66394615779618</v>
      </c>
      <c r="Z157" s="14">
        <v>185.88253527782666</v>
      </c>
      <c r="AA157" s="14">
        <v>192.68277681031122</v>
      </c>
      <c r="AB157" s="14">
        <v>190.09136098323535</v>
      </c>
      <c r="AC157" s="14">
        <v>187.70394640209764</v>
      </c>
      <c r="AD157" s="14">
        <v>185.1190306147212</v>
      </c>
      <c r="AE157" s="14">
        <v>179.66499730420523</v>
      </c>
      <c r="AF157" s="14">
        <v>176.50087797934262</v>
      </c>
      <c r="AG157" s="14">
        <v>174.75286730336521</v>
      </c>
      <c r="AH157" s="14">
        <v>170.73024273518064</v>
      </c>
      <c r="AI157" s="15">
        <v>166.50581693449459</v>
      </c>
      <c r="AJ157" s="14">
        <v>147.29529960623449</v>
      </c>
      <c r="AK157" s="14">
        <v>150.79832100094259</v>
      </c>
      <c r="AL157" s="14">
        <v>149.80401492821693</v>
      </c>
      <c r="AM157" s="14">
        <v>155.59535029880479</v>
      </c>
      <c r="AN157" s="14">
        <v>164.04090188002252</v>
      </c>
      <c r="AO157" s="14">
        <v>174.61396645502774</v>
      </c>
      <c r="AP157" s="14">
        <v>187.66394615779618</v>
      </c>
      <c r="AQ157" s="14">
        <v>185.88253527782666</v>
      </c>
      <c r="AR157" s="14">
        <v>170.73024273518064</v>
      </c>
      <c r="AS157" s="14">
        <v>166.50581693449459</v>
      </c>
    </row>
    <row r="158" spans="1:45" x14ac:dyDescent="0.35">
      <c r="A158" s="16">
        <v>4511.7158940000008</v>
      </c>
      <c r="B158" s="14">
        <v>150.62671995288886</v>
      </c>
      <c r="C158" s="14">
        <v>149.35081216028001</v>
      </c>
      <c r="D158" s="14">
        <v>149.72991447564826</v>
      </c>
      <c r="E158" s="14">
        <v>155.51164978760426</v>
      </c>
      <c r="F158" s="14">
        <v>163.94430129003385</v>
      </c>
      <c r="G158" s="14">
        <v>174.49726574227836</v>
      </c>
      <c r="H158" s="14">
        <v>187.53224535343321</v>
      </c>
      <c r="I158" s="14">
        <v>185.76543456263406</v>
      </c>
      <c r="J158" s="14">
        <v>192.56107606702329</v>
      </c>
      <c r="K158" s="14">
        <v>189.96996024178003</v>
      </c>
      <c r="L158" s="14">
        <v>187.58184565636719</v>
      </c>
      <c r="M158" s="14">
        <v>184.99692986899075</v>
      </c>
      <c r="N158" s="14">
        <v>179.54339656152865</v>
      </c>
      <c r="O158" s="14">
        <v>176.37967723910927</v>
      </c>
      <c r="P158" s="14">
        <v>174.6305665564135</v>
      </c>
      <c r="Q158" s="14">
        <v>170.61014200166494</v>
      </c>
      <c r="R158" s="15">
        <v>166.38791621441555</v>
      </c>
      <c r="S158" s="14">
        <v>149.0329102186937</v>
      </c>
      <c r="T158" s="14">
        <v>149.35081216028001</v>
      </c>
      <c r="U158" s="14">
        <v>149.72991447564826</v>
      </c>
      <c r="V158" s="14">
        <v>155.51164978760426</v>
      </c>
      <c r="W158" s="14">
        <v>163.94430129003385</v>
      </c>
      <c r="X158" s="14">
        <v>174.49726574227836</v>
      </c>
      <c r="Y158" s="14">
        <v>187.53224535343321</v>
      </c>
      <c r="Z158" s="14">
        <v>185.76543456263406</v>
      </c>
      <c r="AA158" s="14">
        <v>192.56107606702329</v>
      </c>
      <c r="AB158" s="14">
        <v>189.96996024178003</v>
      </c>
      <c r="AC158" s="14">
        <v>187.58184565636719</v>
      </c>
      <c r="AD158" s="14">
        <v>184.99692986899075</v>
      </c>
      <c r="AE158" s="14">
        <v>179.54339656152865</v>
      </c>
      <c r="AF158" s="14">
        <v>176.37967723910927</v>
      </c>
      <c r="AG158" s="14">
        <v>174.6305665564135</v>
      </c>
      <c r="AH158" s="14">
        <v>170.61014200166494</v>
      </c>
      <c r="AI158" s="15">
        <v>166.38791621441555</v>
      </c>
      <c r="AJ158" s="14">
        <v>147.22909920191549</v>
      </c>
      <c r="AK158" s="14">
        <v>150.72902057768982</v>
      </c>
      <c r="AL158" s="14">
        <v>149.72991447564826</v>
      </c>
      <c r="AM158" s="14">
        <v>155.51164978760426</v>
      </c>
      <c r="AN158" s="14">
        <v>163.94430129003385</v>
      </c>
      <c r="AO158" s="14">
        <v>174.49726574227836</v>
      </c>
      <c r="AP158" s="14">
        <v>187.53224535343321</v>
      </c>
      <c r="AQ158" s="14">
        <v>185.76543456263406</v>
      </c>
      <c r="AR158" s="14">
        <v>170.61014200166494</v>
      </c>
      <c r="AS158" s="14">
        <v>166.38791621441555</v>
      </c>
    </row>
    <row r="159" spans="1:45" x14ac:dyDescent="0.35">
      <c r="A159" s="16">
        <v>4534.4280660000004</v>
      </c>
      <c r="B159" s="14">
        <v>150.5922197421784</v>
      </c>
      <c r="C159" s="14">
        <v>149.31201192330752</v>
      </c>
      <c r="D159" s="14">
        <v>149.69061423562189</v>
      </c>
      <c r="E159" s="14">
        <v>155.46284948955608</v>
      </c>
      <c r="F159" s="14">
        <v>163.88260091319881</v>
      </c>
      <c r="G159" s="14">
        <v>174.41576524451389</v>
      </c>
      <c r="H159" s="14">
        <v>187.43494475917009</v>
      </c>
      <c r="I159" s="14">
        <v>185.68203405326548</v>
      </c>
      <c r="J159" s="14">
        <v>192.47297552894943</v>
      </c>
      <c r="K159" s="14">
        <v>189.88205970492746</v>
      </c>
      <c r="L159" s="14">
        <v>187.4933451158501</v>
      </c>
      <c r="M159" s="14">
        <v>184.90832932786302</v>
      </c>
      <c r="N159" s="14">
        <v>179.45529602345482</v>
      </c>
      <c r="O159" s="14">
        <v>176.29187670286731</v>
      </c>
      <c r="P159" s="14">
        <v>174.54166601345321</v>
      </c>
      <c r="Q159" s="14">
        <v>170.52334147153067</v>
      </c>
      <c r="R159" s="15">
        <v>166.30301569588539</v>
      </c>
      <c r="S159" s="14">
        <v>148.9996100153129</v>
      </c>
      <c r="T159" s="14">
        <v>149.31201192330752</v>
      </c>
      <c r="U159" s="14">
        <v>149.69061423562189</v>
      </c>
      <c r="V159" s="14">
        <v>155.46284948955608</v>
      </c>
      <c r="W159" s="14">
        <v>163.88260091319881</v>
      </c>
      <c r="X159" s="14">
        <v>174.41576524451389</v>
      </c>
      <c r="Y159" s="14">
        <v>187.43494475917009</v>
      </c>
      <c r="Z159" s="14">
        <v>185.68203405326548</v>
      </c>
      <c r="AA159" s="14">
        <v>192.47297552894943</v>
      </c>
      <c r="AB159" s="14">
        <v>189.88205970492746</v>
      </c>
      <c r="AC159" s="14">
        <v>187.4933451158501</v>
      </c>
      <c r="AD159" s="14">
        <v>184.90832932786302</v>
      </c>
      <c r="AE159" s="14">
        <v>179.45529602345482</v>
      </c>
      <c r="AF159" s="14">
        <v>176.29187670286731</v>
      </c>
      <c r="AG159" s="14">
        <v>174.54166601345321</v>
      </c>
      <c r="AH159" s="14">
        <v>170.52334147153067</v>
      </c>
      <c r="AI159" s="15">
        <v>166.30301569588539</v>
      </c>
      <c r="AJ159" s="14">
        <v>147.19619900097723</v>
      </c>
      <c r="AK159" s="14">
        <v>150.69452036698007</v>
      </c>
      <c r="AL159" s="14">
        <v>149.69061423562189</v>
      </c>
      <c r="AM159" s="14">
        <v>155.46284948955608</v>
      </c>
      <c r="AN159" s="14">
        <v>163.88260091319881</v>
      </c>
      <c r="AO159" s="14">
        <v>174.41576524451389</v>
      </c>
      <c r="AP159" s="14">
        <v>187.43494475917009</v>
      </c>
      <c r="AQ159" s="14">
        <v>185.68203405326548</v>
      </c>
      <c r="AR159" s="14">
        <v>170.52334147153067</v>
      </c>
      <c r="AS159" s="14">
        <v>166.30301569588539</v>
      </c>
    </row>
    <row r="160" spans="1:45" x14ac:dyDescent="0.35">
      <c r="A160" s="16">
        <v>4564.8341520000004</v>
      </c>
      <c r="B160" s="14">
        <v>150.58071967194184</v>
      </c>
      <c r="C160" s="14">
        <v>149.29471181764734</v>
      </c>
      <c r="D160" s="14">
        <v>149.67261412568587</v>
      </c>
      <c r="E160" s="14">
        <v>155.43234930327645</v>
      </c>
      <c r="F160" s="14">
        <v>163.83470062064768</v>
      </c>
      <c r="G160" s="14">
        <v>174.34136479011329</v>
      </c>
      <c r="H160" s="14">
        <v>187.33854417040337</v>
      </c>
      <c r="I160" s="14">
        <v>185.60393357626666</v>
      </c>
      <c r="J160" s="14">
        <v>192.3884750128625</v>
      </c>
      <c r="K160" s="14">
        <v>189.7978591906724</v>
      </c>
      <c r="L160" s="14">
        <v>187.40834459670933</v>
      </c>
      <c r="M160" s="14">
        <v>184.8231288075003</v>
      </c>
      <c r="N160" s="14">
        <v>179.37069550675724</v>
      </c>
      <c r="O160" s="14">
        <v>176.2077761892229</v>
      </c>
      <c r="P160" s="14">
        <v>174.45606549064794</v>
      </c>
      <c r="Q160" s="14">
        <v>170.44044096521594</v>
      </c>
      <c r="R160" s="15">
        <v>166.22211520178539</v>
      </c>
      <c r="S160" s="14">
        <v>148.98850994751885</v>
      </c>
      <c r="T160" s="14">
        <v>149.29471181764734</v>
      </c>
      <c r="U160" s="14">
        <v>149.67261412568587</v>
      </c>
      <c r="V160" s="14">
        <v>155.43234930327645</v>
      </c>
      <c r="W160" s="14">
        <v>163.83470062064768</v>
      </c>
      <c r="X160" s="14">
        <v>174.34136479011329</v>
      </c>
      <c r="Y160" s="14">
        <v>187.33854417040337</v>
      </c>
      <c r="Z160" s="14">
        <v>185.60393357626666</v>
      </c>
      <c r="AA160" s="14">
        <v>192.3884750128625</v>
      </c>
      <c r="AB160" s="14">
        <v>189.7978591906724</v>
      </c>
      <c r="AC160" s="14">
        <v>187.40834459670933</v>
      </c>
      <c r="AD160" s="14">
        <v>184.8231288075003</v>
      </c>
      <c r="AE160" s="14">
        <v>179.37069550675724</v>
      </c>
      <c r="AF160" s="14">
        <v>176.2077761892229</v>
      </c>
      <c r="AG160" s="14">
        <v>174.45606549064794</v>
      </c>
      <c r="AH160" s="14">
        <v>170.44044096521594</v>
      </c>
      <c r="AI160" s="15">
        <v>166.22211520178539</v>
      </c>
      <c r="AJ160" s="14">
        <v>147.18519893379451</v>
      </c>
      <c r="AK160" s="14">
        <v>150.68312029735409</v>
      </c>
      <c r="AL160" s="14">
        <v>149.67261412568587</v>
      </c>
      <c r="AM160" s="14">
        <v>155.43234930327645</v>
      </c>
      <c r="AN160" s="14">
        <v>163.83470062064768</v>
      </c>
      <c r="AO160" s="14">
        <v>174.34136479011329</v>
      </c>
      <c r="AP160" s="14">
        <v>187.33854417040337</v>
      </c>
      <c r="AQ160" s="14">
        <v>185.60393357626666</v>
      </c>
      <c r="AR160" s="14">
        <v>170.44044096521594</v>
      </c>
      <c r="AS160" s="14">
        <v>166.22211520178539</v>
      </c>
    </row>
    <row r="161" spans="1:45" x14ac:dyDescent="0.35">
      <c r="A161" s="16">
        <v>4602.9341519999998</v>
      </c>
      <c r="B161" s="14">
        <v>150.59231974278973</v>
      </c>
      <c r="C161" s="14">
        <v>149.29881184268814</v>
      </c>
      <c r="D161" s="14">
        <v>149.67601414645156</v>
      </c>
      <c r="E161" s="14">
        <v>155.41994922754282</v>
      </c>
      <c r="F161" s="14">
        <v>163.80090041421306</v>
      </c>
      <c r="G161" s="14">
        <v>174.27506438518296</v>
      </c>
      <c r="H161" s="14">
        <v>187.24304358713303</v>
      </c>
      <c r="I161" s="14">
        <v>185.53103313102696</v>
      </c>
      <c r="J161" s="14">
        <v>192.30747451815188</v>
      </c>
      <c r="K161" s="14">
        <v>189.71725869840498</v>
      </c>
      <c r="L161" s="14">
        <v>187.32684409894483</v>
      </c>
      <c r="M161" s="14">
        <v>184.74142830851451</v>
      </c>
      <c r="N161" s="14">
        <v>179.28969501204662</v>
      </c>
      <c r="O161" s="14">
        <v>176.12717569695548</v>
      </c>
      <c r="P161" s="14">
        <v>174.37356498677576</v>
      </c>
      <c r="Q161" s="14">
        <v>170.3613404821094</v>
      </c>
      <c r="R161" s="15">
        <v>166.14531473272686</v>
      </c>
      <c r="S161" s="14">
        <v>148.99971001592354</v>
      </c>
      <c r="T161" s="14">
        <v>149.29881184268814</v>
      </c>
      <c r="U161" s="14">
        <v>149.67601414645156</v>
      </c>
      <c r="V161" s="14">
        <v>155.41994922754282</v>
      </c>
      <c r="W161" s="14">
        <v>163.80090041421306</v>
      </c>
      <c r="X161" s="14">
        <v>174.27506438518296</v>
      </c>
      <c r="Y161" s="14">
        <v>187.24304358713303</v>
      </c>
      <c r="Z161" s="14">
        <v>185.53103313102696</v>
      </c>
      <c r="AA161" s="14">
        <v>192.30747451815188</v>
      </c>
      <c r="AB161" s="14">
        <v>189.71725869840498</v>
      </c>
      <c r="AC161" s="14">
        <v>187.32684409894483</v>
      </c>
      <c r="AD161" s="14">
        <v>184.74142830851451</v>
      </c>
      <c r="AE161" s="14">
        <v>179.28969501204662</v>
      </c>
      <c r="AF161" s="14">
        <v>176.12717569695548</v>
      </c>
      <c r="AG161" s="14">
        <v>174.37356498677576</v>
      </c>
      <c r="AH161" s="14">
        <v>170.3613404821094</v>
      </c>
      <c r="AI161" s="15">
        <v>166.14531473272686</v>
      </c>
      <c r="AJ161" s="14">
        <v>147.19629900158856</v>
      </c>
      <c r="AK161" s="14">
        <v>150.69472036820133</v>
      </c>
      <c r="AL161" s="14">
        <v>149.67601414645156</v>
      </c>
      <c r="AM161" s="14">
        <v>155.41994922754282</v>
      </c>
      <c r="AN161" s="14">
        <v>163.80090041421306</v>
      </c>
      <c r="AO161" s="14">
        <v>174.27506438518296</v>
      </c>
      <c r="AP161" s="14">
        <v>187.24304358713303</v>
      </c>
      <c r="AQ161" s="14">
        <v>185.53103313102696</v>
      </c>
      <c r="AR161" s="14">
        <v>170.3613404821094</v>
      </c>
      <c r="AS161" s="14">
        <v>166.14531473272686</v>
      </c>
    </row>
    <row r="162" spans="1:45" x14ac:dyDescent="0.35">
      <c r="A162" s="16">
        <v>4633.4118660000004</v>
      </c>
      <c r="B162" s="14">
        <v>150.49331913814308</v>
      </c>
      <c r="C162" s="14">
        <v>149.19361120017535</v>
      </c>
      <c r="D162" s="14">
        <v>149.57051350210619</v>
      </c>
      <c r="E162" s="14">
        <v>155.30174850563191</v>
      </c>
      <c r="F162" s="14">
        <v>163.66559958786323</v>
      </c>
      <c r="G162" s="14">
        <v>174.1140634018694</v>
      </c>
      <c r="H162" s="14">
        <v>187.05884246212435</v>
      </c>
      <c r="I162" s="14">
        <v>185.36673212755835</v>
      </c>
      <c r="J162" s="14">
        <v>192.13807348353478</v>
      </c>
      <c r="K162" s="14">
        <v>189.54855766806304</v>
      </c>
      <c r="L162" s="14">
        <v>187.15714306249586</v>
      </c>
      <c r="M162" s="14">
        <v>184.57162727145422</v>
      </c>
      <c r="N162" s="14">
        <v>179.12069397987204</v>
      </c>
      <c r="O162" s="14">
        <v>175.95867466783548</v>
      </c>
      <c r="P162" s="14">
        <v>174.20366394910482</v>
      </c>
      <c r="Q162" s="14">
        <v>170.19453946337222</v>
      </c>
      <c r="R162" s="15">
        <v>165.9814137317008</v>
      </c>
      <c r="S162" s="14">
        <v>148.90410943204256</v>
      </c>
      <c r="T162" s="14">
        <v>149.19361120017535</v>
      </c>
      <c r="U162" s="14">
        <v>149.57051350210619</v>
      </c>
      <c r="V162" s="14">
        <v>155.30174850563191</v>
      </c>
      <c r="W162" s="14">
        <v>163.66559958786323</v>
      </c>
      <c r="X162" s="14">
        <v>174.1140634018694</v>
      </c>
      <c r="Y162" s="14">
        <v>187.05884246212435</v>
      </c>
      <c r="Z162" s="14">
        <v>185.36673212755835</v>
      </c>
      <c r="AA162" s="14">
        <v>192.13807348353478</v>
      </c>
      <c r="AB162" s="14">
        <v>189.54855766806304</v>
      </c>
      <c r="AC162" s="14">
        <v>187.15714306249586</v>
      </c>
      <c r="AD162" s="14">
        <v>184.57162727145422</v>
      </c>
      <c r="AE162" s="14">
        <v>179.12069397987204</v>
      </c>
      <c r="AF162" s="14">
        <v>175.95867466783548</v>
      </c>
      <c r="AG162" s="14">
        <v>174.20366394910482</v>
      </c>
      <c r="AH162" s="14">
        <v>170.19453946337222</v>
      </c>
      <c r="AI162" s="15">
        <v>165.9814137317008</v>
      </c>
      <c r="AJ162" s="14">
        <v>147.10169842381529</v>
      </c>
      <c r="AK162" s="14">
        <v>150.59571976355471</v>
      </c>
      <c r="AL162" s="14">
        <v>149.57051350210619</v>
      </c>
      <c r="AM162" s="14">
        <v>155.30174850563191</v>
      </c>
      <c r="AN162" s="14">
        <v>163.66559958786323</v>
      </c>
      <c r="AO162" s="14">
        <v>174.1140634018694</v>
      </c>
      <c r="AP162" s="14">
        <v>187.05884246212435</v>
      </c>
      <c r="AQ162" s="14">
        <v>185.36673212755835</v>
      </c>
      <c r="AR162" s="14">
        <v>170.19453946337222</v>
      </c>
      <c r="AS162" s="14">
        <v>165.9814137317008</v>
      </c>
    </row>
    <row r="163" spans="1:45" x14ac:dyDescent="0.35">
      <c r="A163" s="16">
        <v>4656.2672940000002</v>
      </c>
      <c r="B163" s="14">
        <v>150.2838178586139</v>
      </c>
      <c r="C163" s="14">
        <v>148.97950989255085</v>
      </c>
      <c r="D163" s="14">
        <v>149.35611219265047</v>
      </c>
      <c r="E163" s="14">
        <v>155.07774713754301</v>
      </c>
      <c r="F163" s="14">
        <v>163.42829813854428</v>
      </c>
      <c r="G163" s="14">
        <v>173.85736183406422</v>
      </c>
      <c r="H163" s="14">
        <v>186.78634079782054</v>
      </c>
      <c r="I163" s="14">
        <v>185.11123056708215</v>
      </c>
      <c r="J163" s="14">
        <v>191.88057191084317</v>
      </c>
      <c r="K163" s="14">
        <v>189.29175609964724</v>
      </c>
      <c r="L163" s="14">
        <v>186.89944148858299</v>
      </c>
      <c r="M163" s="14">
        <v>184.31392569754203</v>
      </c>
      <c r="N163" s="14">
        <v>178.86369241023499</v>
      </c>
      <c r="O163" s="14">
        <v>175.7022731018622</v>
      </c>
      <c r="P163" s="14">
        <v>173.94636237763515</v>
      </c>
      <c r="Q163" s="14">
        <v>169.93993790839241</v>
      </c>
      <c r="R163" s="15">
        <v>165.73051219931924</v>
      </c>
      <c r="S163" s="14">
        <v>148.70190819709856</v>
      </c>
      <c r="T163" s="14">
        <v>148.97950989255085</v>
      </c>
      <c r="U163" s="14">
        <v>149.35611219265047</v>
      </c>
      <c r="V163" s="14">
        <v>155.07774713754301</v>
      </c>
      <c r="W163" s="14">
        <v>163.42829813854428</v>
      </c>
      <c r="X163" s="14">
        <v>173.85736183406422</v>
      </c>
      <c r="Y163" s="14">
        <v>186.78634079782054</v>
      </c>
      <c r="Z163" s="14">
        <v>185.11123056708215</v>
      </c>
      <c r="AA163" s="14">
        <v>191.88057191084317</v>
      </c>
      <c r="AB163" s="14">
        <v>189.29175609964724</v>
      </c>
      <c r="AC163" s="14">
        <v>186.89944148858299</v>
      </c>
      <c r="AD163" s="14">
        <v>184.31392569754203</v>
      </c>
      <c r="AE163" s="14">
        <v>178.86369241023499</v>
      </c>
      <c r="AF163" s="14">
        <v>175.7022731018622</v>
      </c>
      <c r="AG163" s="14">
        <v>173.94636237763515</v>
      </c>
      <c r="AH163" s="14">
        <v>169.93993790839241</v>
      </c>
      <c r="AI163" s="15">
        <v>165.73051219931924</v>
      </c>
      <c r="AJ163" s="14">
        <v>146.90149720108602</v>
      </c>
      <c r="AK163" s="14">
        <v>150.38611848341489</v>
      </c>
      <c r="AL163" s="14">
        <v>149.35611219265047</v>
      </c>
      <c r="AM163" s="14">
        <v>155.07774713754301</v>
      </c>
      <c r="AN163" s="14">
        <v>163.42829813854428</v>
      </c>
      <c r="AO163" s="14">
        <v>173.85736183406422</v>
      </c>
      <c r="AP163" s="14">
        <v>186.78634079782054</v>
      </c>
      <c r="AQ163" s="14">
        <v>185.11123056708215</v>
      </c>
      <c r="AR163" s="14">
        <v>169.93993790839241</v>
      </c>
      <c r="AS163" s="14">
        <v>165.73051219931924</v>
      </c>
    </row>
    <row r="164" spans="1:45" x14ac:dyDescent="0.35">
      <c r="A164" s="16">
        <v>4686.7450079999999</v>
      </c>
      <c r="B164" s="14">
        <v>150.18881727839741</v>
      </c>
      <c r="C164" s="14">
        <v>148.87830927446822</v>
      </c>
      <c r="D164" s="14">
        <v>149.25471157334587</v>
      </c>
      <c r="E164" s="14">
        <v>154.96364644067285</v>
      </c>
      <c r="F164" s="14">
        <v>163.29639733296005</v>
      </c>
      <c r="G164" s="14">
        <v>173.69976087151633</v>
      </c>
      <c r="H164" s="14">
        <v>186.6054396929662</v>
      </c>
      <c r="I164" s="14">
        <v>184.95042958498988</v>
      </c>
      <c r="J164" s="14">
        <v>191.71507090004565</v>
      </c>
      <c r="K164" s="14">
        <v>189.12695509312476</v>
      </c>
      <c r="L164" s="14">
        <v>186.73374047656347</v>
      </c>
      <c r="M164" s="14">
        <v>184.14812468491189</v>
      </c>
      <c r="N164" s="14">
        <v>178.69859140187995</v>
      </c>
      <c r="O164" s="14">
        <v>175.53767209656172</v>
      </c>
      <c r="P164" s="14">
        <v>173.78046136439437</v>
      </c>
      <c r="Q164" s="14">
        <v>169.77703691347475</v>
      </c>
      <c r="R164" s="15">
        <v>165.5705112221134</v>
      </c>
      <c r="S164" s="14">
        <v>148.61030763764771</v>
      </c>
      <c r="T164" s="14">
        <v>148.87830927446822</v>
      </c>
      <c r="U164" s="14">
        <v>149.25471157334587</v>
      </c>
      <c r="V164" s="14">
        <v>154.96364644067285</v>
      </c>
      <c r="W164" s="14">
        <v>163.29639733296005</v>
      </c>
      <c r="X164" s="14">
        <v>173.69976087151633</v>
      </c>
      <c r="Y164" s="14">
        <v>186.6054396929662</v>
      </c>
      <c r="Z164" s="14">
        <v>184.95042958498988</v>
      </c>
      <c r="AA164" s="14">
        <v>191.71507090004565</v>
      </c>
      <c r="AB164" s="14">
        <v>189.12695509312476</v>
      </c>
      <c r="AC164" s="14">
        <v>186.73374047656347</v>
      </c>
      <c r="AD164" s="14">
        <v>184.14812468491189</v>
      </c>
      <c r="AE164" s="14">
        <v>178.69859140187995</v>
      </c>
      <c r="AF164" s="14">
        <v>175.53767209656172</v>
      </c>
      <c r="AG164" s="14">
        <v>173.78046136439437</v>
      </c>
      <c r="AH164" s="14">
        <v>169.77703691347475</v>
      </c>
      <c r="AI164" s="15">
        <v>165.5705112221134</v>
      </c>
      <c r="AJ164" s="14">
        <v>146.81089664774288</v>
      </c>
      <c r="AK164" s="14">
        <v>150.29121790380972</v>
      </c>
      <c r="AL164" s="14">
        <v>149.25471157334587</v>
      </c>
      <c r="AM164" s="14">
        <v>154.96364644067285</v>
      </c>
      <c r="AN164" s="14">
        <v>163.29639733296005</v>
      </c>
      <c r="AO164" s="14">
        <v>173.69976087151633</v>
      </c>
      <c r="AP164" s="14">
        <v>186.6054396929662</v>
      </c>
      <c r="AQ164" s="14">
        <v>184.95042958498988</v>
      </c>
      <c r="AR164" s="14">
        <v>169.77703691347475</v>
      </c>
      <c r="AS164" s="14">
        <v>165.5705112221134</v>
      </c>
    </row>
    <row r="165" spans="1:45" x14ac:dyDescent="0.35">
      <c r="A165" s="16">
        <v>4724.8450080000002</v>
      </c>
      <c r="B165" s="14">
        <v>150.20851739871622</v>
      </c>
      <c r="C165" s="14">
        <v>148.89040934836927</v>
      </c>
      <c r="D165" s="14">
        <v>149.26641164480375</v>
      </c>
      <c r="E165" s="14">
        <v>154.95944641502146</v>
      </c>
      <c r="F165" s="14">
        <v>163.27059717538506</v>
      </c>
      <c r="G165" s="14">
        <v>173.64266052277594</v>
      </c>
      <c r="H165" s="14">
        <v>186.51623914817398</v>
      </c>
      <c r="I165" s="14">
        <v>184.88392917883894</v>
      </c>
      <c r="J165" s="14">
        <v>191.64147045053079</v>
      </c>
      <c r="K165" s="14">
        <v>189.05415464849639</v>
      </c>
      <c r="L165" s="14">
        <v>186.660040026438</v>
      </c>
      <c r="M165" s="14">
        <v>184.07412423295384</v>
      </c>
      <c r="N165" s="14">
        <v>178.62529095419771</v>
      </c>
      <c r="O165" s="14">
        <v>175.46487165193267</v>
      </c>
      <c r="P165" s="14">
        <v>173.70566090755057</v>
      </c>
      <c r="Q165" s="14">
        <v>169.70563647739661</v>
      </c>
      <c r="R165" s="15">
        <v>165.50141080008254</v>
      </c>
      <c r="S165" s="14">
        <v>148.62940775430206</v>
      </c>
      <c r="T165" s="14">
        <v>148.89040934836927</v>
      </c>
      <c r="U165" s="14">
        <v>149.26641164480375</v>
      </c>
      <c r="V165" s="14">
        <v>154.95944641502146</v>
      </c>
      <c r="W165" s="14">
        <v>163.27059717538506</v>
      </c>
      <c r="X165" s="14">
        <v>173.64266052277594</v>
      </c>
      <c r="Y165" s="14">
        <v>186.51623914817398</v>
      </c>
      <c r="Z165" s="14">
        <v>184.88392917883894</v>
      </c>
      <c r="AA165" s="14">
        <v>191.64147045053079</v>
      </c>
      <c r="AB165" s="14">
        <v>189.05415464849639</v>
      </c>
      <c r="AC165" s="14">
        <v>186.660040026438</v>
      </c>
      <c r="AD165" s="14">
        <v>184.07412423295384</v>
      </c>
      <c r="AE165" s="14">
        <v>178.62529095419771</v>
      </c>
      <c r="AF165" s="14">
        <v>175.46487165193267</v>
      </c>
      <c r="AG165" s="14">
        <v>173.70566090755057</v>
      </c>
      <c r="AH165" s="14">
        <v>169.70563647739661</v>
      </c>
      <c r="AI165" s="15">
        <v>165.50141080008254</v>
      </c>
      <c r="AJ165" s="14">
        <v>146.82969676256465</v>
      </c>
      <c r="AK165" s="14">
        <v>150.31091802412786</v>
      </c>
      <c r="AL165" s="14">
        <v>149.26641164480375</v>
      </c>
      <c r="AM165" s="14">
        <v>154.95944641502146</v>
      </c>
      <c r="AN165" s="14">
        <v>163.27059717538506</v>
      </c>
      <c r="AO165" s="14">
        <v>173.64266052277594</v>
      </c>
      <c r="AP165" s="14">
        <v>186.51623914817398</v>
      </c>
      <c r="AQ165" s="14">
        <v>184.88392917883894</v>
      </c>
      <c r="AR165" s="14">
        <v>169.70563647739661</v>
      </c>
      <c r="AS165" s="14">
        <v>165.50141080008254</v>
      </c>
    </row>
    <row r="166" spans="1:45" x14ac:dyDescent="0.35">
      <c r="A166" s="16">
        <v>4762.9450079999997</v>
      </c>
      <c r="B166" s="14">
        <v>150.22631750743028</v>
      </c>
      <c r="C166" s="14">
        <v>148.90060941066628</v>
      </c>
      <c r="D166" s="14">
        <v>149.27621170465818</v>
      </c>
      <c r="E166" s="14">
        <v>154.95324637715461</v>
      </c>
      <c r="F166" s="14">
        <v>163.24269700498536</v>
      </c>
      <c r="G166" s="14">
        <v>173.5838601636527</v>
      </c>
      <c r="H166" s="14">
        <v>186.42453858811254</v>
      </c>
      <c r="I166" s="14">
        <v>184.81492875741873</v>
      </c>
      <c r="J166" s="14">
        <v>191.56586998880121</v>
      </c>
      <c r="K166" s="14">
        <v>188.9794541922632</v>
      </c>
      <c r="L166" s="14">
        <v>186.58423956348648</v>
      </c>
      <c r="M166" s="14">
        <v>183.99822376939167</v>
      </c>
      <c r="N166" s="14">
        <v>178.54999049430003</v>
      </c>
      <c r="O166" s="14">
        <v>175.39017119569948</v>
      </c>
      <c r="P166" s="14">
        <v>173.6290604397133</v>
      </c>
      <c r="Q166" s="14">
        <v>169.6324360303243</v>
      </c>
      <c r="R166" s="15">
        <v>165.43041036644692</v>
      </c>
      <c r="S166" s="14">
        <v>148.64650785874099</v>
      </c>
      <c r="T166" s="14">
        <v>148.90060941066628</v>
      </c>
      <c r="U166" s="14">
        <v>149.27621170465818</v>
      </c>
      <c r="V166" s="14">
        <v>154.95324637715461</v>
      </c>
      <c r="W166" s="14">
        <v>163.24269700498536</v>
      </c>
      <c r="X166" s="14">
        <v>173.5838601636527</v>
      </c>
      <c r="Y166" s="14">
        <v>186.42453858811254</v>
      </c>
      <c r="Z166" s="14">
        <v>184.81492875741873</v>
      </c>
      <c r="AA166" s="14">
        <v>191.56586998880121</v>
      </c>
      <c r="AB166" s="14">
        <v>188.9794541922632</v>
      </c>
      <c r="AC166" s="14">
        <v>186.58423956348648</v>
      </c>
      <c r="AD166" s="14">
        <v>183.99822376939167</v>
      </c>
      <c r="AE166" s="14">
        <v>178.54999049430003</v>
      </c>
      <c r="AF166" s="14">
        <v>175.39017119569948</v>
      </c>
      <c r="AG166" s="14">
        <v>173.6290604397133</v>
      </c>
      <c r="AH166" s="14">
        <v>169.6324360303243</v>
      </c>
      <c r="AI166" s="15">
        <v>165.43041036644692</v>
      </c>
      <c r="AJ166" s="14">
        <v>146.84659686578232</v>
      </c>
      <c r="AK166" s="14">
        <v>150.32861813223127</v>
      </c>
      <c r="AL166" s="14">
        <v>149.27621170465818</v>
      </c>
      <c r="AM166" s="14">
        <v>154.95324637715461</v>
      </c>
      <c r="AN166" s="14">
        <v>163.24269700498536</v>
      </c>
      <c r="AO166" s="14">
        <v>173.5838601636527</v>
      </c>
      <c r="AP166" s="14">
        <v>186.42453858811254</v>
      </c>
      <c r="AQ166" s="14">
        <v>184.81492875741873</v>
      </c>
      <c r="AR166" s="14">
        <v>169.6324360303243</v>
      </c>
      <c r="AS166" s="14">
        <v>165.43041036644692</v>
      </c>
    </row>
    <row r="167" spans="1:45" x14ac:dyDescent="0.35">
      <c r="A167" s="16">
        <v>4801.0450080000001</v>
      </c>
      <c r="B167" s="14">
        <v>150.24201760331829</v>
      </c>
      <c r="C167" s="14">
        <v>148.90890946135914</v>
      </c>
      <c r="D167" s="14">
        <v>149.28421175351846</v>
      </c>
      <c r="E167" s="14">
        <v>154.94514632768366</v>
      </c>
      <c r="F167" s="14">
        <v>163.21279682236951</v>
      </c>
      <c r="G167" s="14">
        <v>173.52355979536793</v>
      </c>
      <c r="H167" s="14">
        <v>186.33043801339309</v>
      </c>
      <c r="I167" s="14">
        <v>184.74362832195121</v>
      </c>
      <c r="J167" s="14">
        <v>191.48816951424496</v>
      </c>
      <c r="K167" s="14">
        <v>188.90285372442594</v>
      </c>
      <c r="L167" s="14">
        <v>186.50663908954152</v>
      </c>
      <c r="M167" s="14">
        <v>183.92042329422546</v>
      </c>
      <c r="N167" s="14">
        <v>178.47289002340892</v>
      </c>
      <c r="O167" s="14">
        <v>175.31357072786221</v>
      </c>
      <c r="P167" s="14">
        <v>173.55055996027122</v>
      </c>
      <c r="Q167" s="14">
        <v>169.55723557103727</v>
      </c>
      <c r="R167" s="15">
        <v>165.35750992120794</v>
      </c>
      <c r="S167" s="14">
        <v>148.66170795157512</v>
      </c>
      <c r="T167" s="14">
        <v>148.90890946135914</v>
      </c>
      <c r="U167" s="14">
        <v>149.28421175351846</v>
      </c>
      <c r="V167" s="14">
        <v>154.94514632768366</v>
      </c>
      <c r="W167" s="14">
        <v>163.21279682236951</v>
      </c>
      <c r="X167" s="14">
        <v>173.52355979536793</v>
      </c>
      <c r="Y167" s="14">
        <v>186.33043801339309</v>
      </c>
      <c r="Z167" s="14">
        <v>184.74362832195121</v>
      </c>
      <c r="AA167" s="14">
        <v>191.48816951424496</v>
      </c>
      <c r="AB167" s="14">
        <v>188.90285372442594</v>
      </c>
      <c r="AC167" s="14">
        <v>186.50663908954152</v>
      </c>
      <c r="AD167" s="14">
        <v>183.92042329422546</v>
      </c>
      <c r="AE167" s="14">
        <v>178.47289002340892</v>
      </c>
      <c r="AF167" s="14">
        <v>175.31357072786221</v>
      </c>
      <c r="AG167" s="14">
        <v>173.55055996027122</v>
      </c>
      <c r="AH167" s="14">
        <v>169.55723557103727</v>
      </c>
      <c r="AI167" s="15">
        <v>165.35750992120794</v>
      </c>
      <c r="AJ167" s="14">
        <v>146.86169695800584</v>
      </c>
      <c r="AK167" s="14">
        <v>150.3444182287306</v>
      </c>
      <c r="AL167" s="14">
        <v>149.28421175351846</v>
      </c>
      <c r="AM167" s="14">
        <v>154.94514632768366</v>
      </c>
      <c r="AN167" s="14">
        <v>163.21279682236951</v>
      </c>
      <c r="AO167" s="14">
        <v>173.52355979536793</v>
      </c>
      <c r="AP167" s="14">
        <v>186.33043801339309</v>
      </c>
      <c r="AQ167" s="14">
        <v>184.74362832195121</v>
      </c>
      <c r="AR167" s="14">
        <v>169.55723557103727</v>
      </c>
      <c r="AS167" s="14">
        <v>165.35750992120794</v>
      </c>
    </row>
    <row r="168" spans="1:45" x14ac:dyDescent="0.35">
      <c r="A168" s="16">
        <v>4831.451094</v>
      </c>
      <c r="B168" s="14">
        <v>150.231817541022</v>
      </c>
      <c r="C168" s="14">
        <v>148.89250936119535</v>
      </c>
      <c r="D168" s="14">
        <v>149.26771165274403</v>
      </c>
      <c r="E168" s="14">
        <v>154.91584614873236</v>
      </c>
      <c r="F168" s="14">
        <v>163.16599653653677</v>
      </c>
      <c r="G168" s="14">
        <v>173.45275936295425</v>
      </c>
      <c r="H168" s="14">
        <v>186.23233741424352</v>
      </c>
      <c r="I168" s="14">
        <v>184.6639278351802</v>
      </c>
      <c r="J168" s="14">
        <v>191.40396899999058</v>
      </c>
      <c r="K168" s="14">
        <v>188.81965321627862</v>
      </c>
      <c r="L168" s="14">
        <v>186.4226385765084</v>
      </c>
      <c r="M168" s="14">
        <v>183.8362227799704</v>
      </c>
      <c r="N168" s="14">
        <v>178.38918951220776</v>
      </c>
      <c r="O168" s="14">
        <v>175.2303702197149</v>
      </c>
      <c r="P168" s="14">
        <v>173.46585944296302</v>
      </c>
      <c r="Q168" s="14">
        <v>169.47533507083028</v>
      </c>
      <c r="R168" s="15">
        <v>165.27770943382626</v>
      </c>
      <c r="S168" s="14">
        <v>148.65180789111074</v>
      </c>
      <c r="T168" s="14">
        <v>148.89250936119535</v>
      </c>
      <c r="U168" s="14">
        <v>149.26771165274403</v>
      </c>
      <c r="V168" s="14">
        <v>154.91584614873236</v>
      </c>
      <c r="W168" s="14">
        <v>163.16599653653677</v>
      </c>
      <c r="X168" s="14">
        <v>173.45275936295425</v>
      </c>
      <c r="Y168" s="14">
        <v>186.23233741424352</v>
      </c>
      <c r="Z168" s="14">
        <v>184.6639278351802</v>
      </c>
      <c r="AA168" s="14">
        <v>191.40396899999058</v>
      </c>
      <c r="AB168" s="14">
        <v>188.81965321627862</v>
      </c>
      <c r="AC168" s="14">
        <v>186.4226385765084</v>
      </c>
      <c r="AD168" s="14">
        <v>183.8362227799704</v>
      </c>
      <c r="AE168" s="14">
        <v>178.38918951220776</v>
      </c>
      <c r="AF168" s="14">
        <v>175.2303702197149</v>
      </c>
      <c r="AG168" s="14">
        <v>173.46585944296302</v>
      </c>
      <c r="AH168" s="14">
        <v>169.47533507083028</v>
      </c>
      <c r="AI168" s="15">
        <v>165.27770943382626</v>
      </c>
      <c r="AJ168" s="14">
        <v>146.85189689815206</v>
      </c>
      <c r="AK168" s="14">
        <v>150.33411816582299</v>
      </c>
      <c r="AL168" s="14">
        <v>149.26771165274403</v>
      </c>
      <c r="AM168" s="14">
        <v>154.91584614873236</v>
      </c>
      <c r="AN168" s="14">
        <v>163.16599653653677</v>
      </c>
      <c r="AO168" s="14">
        <v>173.45275936295425</v>
      </c>
      <c r="AP168" s="14">
        <v>186.23233741424352</v>
      </c>
      <c r="AQ168" s="14">
        <v>184.6639278351802</v>
      </c>
      <c r="AR168" s="14">
        <v>169.47533507083028</v>
      </c>
      <c r="AS168" s="14">
        <v>165.27770943382626</v>
      </c>
    </row>
    <row r="169" spans="1:45" x14ac:dyDescent="0.35">
      <c r="A169" s="16">
        <v>4854.1632660000005</v>
      </c>
      <c r="B169" s="14">
        <v>150.19541731870746</v>
      </c>
      <c r="C169" s="14">
        <v>148.85170911200746</v>
      </c>
      <c r="D169" s="14">
        <v>149.22671140233487</v>
      </c>
      <c r="E169" s="14">
        <v>154.86514583908007</v>
      </c>
      <c r="F169" s="14">
        <v>163.10209614626504</v>
      </c>
      <c r="G169" s="14">
        <v>173.37095886335786</v>
      </c>
      <c r="H169" s="14">
        <v>186.13043679188578</v>
      </c>
      <c r="I169" s="14">
        <v>184.57622729954889</v>
      </c>
      <c r="J169" s="14">
        <v>191.31336844664747</v>
      </c>
      <c r="K169" s="14">
        <v>188.72995266843259</v>
      </c>
      <c r="L169" s="14">
        <v>186.33223802438724</v>
      </c>
      <c r="M169" s="14">
        <v>183.74562222662729</v>
      </c>
      <c r="N169" s="14">
        <v>178.29918896252912</v>
      </c>
      <c r="O169" s="14">
        <v>175.14066967186886</v>
      </c>
      <c r="P169" s="14">
        <v>173.37515888900927</v>
      </c>
      <c r="Q169" s="14">
        <v>169.38683453031319</v>
      </c>
      <c r="R169" s="15">
        <v>165.19090890369202</v>
      </c>
      <c r="S169" s="14">
        <v>148.61670767673581</v>
      </c>
      <c r="T169" s="14">
        <v>148.85170911200746</v>
      </c>
      <c r="U169" s="14">
        <v>149.22671140233487</v>
      </c>
      <c r="V169" s="14">
        <v>154.86514583908007</v>
      </c>
      <c r="W169" s="14">
        <v>163.10209614626504</v>
      </c>
      <c r="X169" s="14">
        <v>173.37095886335786</v>
      </c>
      <c r="Y169" s="14">
        <v>186.13043679188578</v>
      </c>
      <c r="Z169" s="14">
        <v>184.57622729954889</v>
      </c>
      <c r="AA169" s="14">
        <v>191.31336844664747</v>
      </c>
      <c r="AB169" s="14">
        <v>188.72995266843259</v>
      </c>
      <c r="AC169" s="14">
        <v>186.33223802438724</v>
      </c>
      <c r="AD169" s="14">
        <v>183.74562222662729</v>
      </c>
      <c r="AE169" s="14">
        <v>178.29918896252912</v>
      </c>
      <c r="AF169" s="14">
        <v>175.14066967186886</v>
      </c>
      <c r="AG169" s="14">
        <v>173.37515888900927</v>
      </c>
      <c r="AH169" s="14">
        <v>169.38683453031319</v>
      </c>
      <c r="AI169" s="15">
        <v>165.19090890369202</v>
      </c>
      <c r="AJ169" s="14">
        <v>146.81709668560973</v>
      </c>
      <c r="AK169" s="14">
        <v>150.29781794411909</v>
      </c>
      <c r="AL169" s="14">
        <v>149.22671140233487</v>
      </c>
      <c r="AM169" s="14">
        <v>154.86514583908007</v>
      </c>
      <c r="AN169" s="14">
        <v>163.10209614626504</v>
      </c>
      <c r="AO169" s="14">
        <v>173.37095886335786</v>
      </c>
      <c r="AP169" s="14">
        <v>186.13043679188578</v>
      </c>
      <c r="AQ169" s="14">
        <v>184.57622729954889</v>
      </c>
      <c r="AR169" s="14">
        <v>169.38683453031319</v>
      </c>
      <c r="AS169" s="14">
        <v>165.19090890369202</v>
      </c>
    </row>
    <row r="170" spans="1:45" x14ac:dyDescent="0.35">
      <c r="A170" s="16">
        <v>4884.5693520000004</v>
      </c>
      <c r="B170" s="14">
        <v>150.18991728511577</v>
      </c>
      <c r="C170" s="14">
        <v>148.84010904116022</v>
      </c>
      <c r="D170" s="14">
        <v>149.21511133148695</v>
      </c>
      <c r="E170" s="14">
        <v>154.84064568944532</v>
      </c>
      <c r="F170" s="14">
        <v>163.05979588791624</v>
      </c>
      <c r="G170" s="14">
        <v>173.30475845903885</v>
      </c>
      <c r="H170" s="14">
        <v>186.03653621838765</v>
      </c>
      <c r="I170" s="14">
        <v>184.50062683781928</v>
      </c>
      <c r="J170" s="14">
        <v>191.23366795987644</v>
      </c>
      <c r="K170" s="14">
        <v>188.65135218837989</v>
      </c>
      <c r="L170" s="14">
        <v>186.25273753883749</v>
      </c>
      <c r="M170" s="14">
        <v>183.66602174046758</v>
      </c>
      <c r="N170" s="14">
        <v>178.2201884800339</v>
      </c>
      <c r="O170" s="14">
        <v>175.06206919181614</v>
      </c>
      <c r="P170" s="14">
        <v>173.29505839979572</v>
      </c>
      <c r="Q170" s="14">
        <v>169.30953405820011</v>
      </c>
      <c r="R170" s="15">
        <v>165.11570844440499</v>
      </c>
      <c r="S170" s="14">
        <v>148.61150764497668</v>
      </c>
      <c r="T170" s="14">
        <v>148.84010904116022</v>
      </c>
      <c r="U170" s="14">
        <v>149.21511133148695</v>
      </c>
      <c r="V170" s="14">
        <v>154.84064568944532</v>
      </c>
      <c r="W170" s="14">
        <v>163.05979588791624</v>
      </c>
      <c r="X170" s="14">
        <v>173.30475845903885</v>
      </c>
      <c r="Y170" s="14">
        <v>186.03653621838765</v>
      </c>
      <c r="Z170" s="14">
        <v>184.50062683781928</v>
      </c>
      <c r="AA170" s="14">
        <v>191.23366795987644</v>
      </c>
      <c r="AB170" s="14">
        <v>188.65135218837989</v>
      </c>
      <c r="AC170" s="14">
        <v>186.25273753883749</v>
      </c>
      <c r="AD170" s="14">
        <v>183.66602174046758</v>
      </c>
      <c r="AE170" s="14">
        <v>178.2201884800339</v>
      </c>
      <c r="AF170" s="14">
        <v>175.06206919181614</v>
      </c>
      <c r="AG170" s="14">
        <v>173.29505839979572</v>
      </c>
      <c r="AH170" s="14">
        <v>169.30953405820011</v>
      </c>
      <c r="AI170" s="15">
        <v>165.11570844440499</v>
      </c>
      <c r="AJ170" s="14">
        <v>146.8118966538506</v>
      </c>
      <c r="AK170" s="14">
        <v>150.29231791052808</v>
      </c>
      <c r="AL170" s="14">
        <v>149.21511133148695</v>
      </c>
      <c r="AM170" s="14">
        <v>154.84064568944532</v>
      </c>
      <c r="AN170" s="14">
        <v>163.05979588791624</v>
      </c>
      <c r="AO170" s="14">
        <v>173.30475845903885</v>
      </c>
      <c r="AP170" s="14">
        <v>186.03653621838765</v>
      </c>
      <c r="AQ170" s="14">
        <v>184.50062683781928</v>
      </c>
      <c r="AR170" s="14">
        <v>169.30953405820011</v>
      </c>
      <c r="AS170" s="14">
        <v>165.11570844440499</v>
      </c>
    </row>
    <row r="171" spans="1:45" x14ac:dyDescent="0.35">
      <c r="A171" s="16">
        <v>4922.6693519999999</v>
      </c>
      <c r="B171" s="14">
        <v>150.21531744024756</v>
      </c>
      <c r="C171" s="14">
        <v>148.85800915048489</v>
      </c>
      <c r="D171" s="14">
        <v>149.23291144020169</v>
      </c>
      <c r="E171" s="14">
        <v>154.84214569860688</v>
      </c>
      <c r="F171" s="14">
        <v>163.03909576149039</v>
      </c>
      <c r="G171" s="14">
        <v>173.25495815488293</v>
      </c>
      <c r="H171" s="14">
        <v>185.95053569313913</v>
      </c>
      <c r="I171" s="14">
        <v>184.43702644937952</v>
      </c>
      <c r="J171" s="14">
        <v>191.16466753845623</v>
      </c>
      <c r="K171" s="14">
        <v>188.58385177612058</v>
      </c>
      <c r="L171" s="14">
        <v>186.1843371210818</v>
      </c>
      <c r="M171" s="14">
        <v>183.59732132087927</v>
      </c>
      <c r="N171" s="14">
        <v>178.15208806411007</v>
      </c>
      <c r="O171" s="14">
        <v>174.99456877955754</v>
      </c>
      <c r="P171" s="14">
        <v>173.22565797593231</v>
      </c>
      <c r="Q171" s="14">
        <v>169.24353365510305</v>
      </c>
      <c r="R171" s="15">
        <v>165.05190805474393</v>
      </c>
      <c r="S171" s="14">
        <v>148.63600779461143</v>
      </c>
      <c r="T171" s="14">
        <v>148.85800915048489</v>
      </c>
      <c r="U171" s="14">
        <v>149.23291144020169</v>
      </c>
      <c r="V171" s="14">
        <v>154.84214569860688</v>
      </c>
      <c r="W171" s="14">
        <v>163.03909576149039</v>
      </c>
      <c r="X171" s="14">
        <v>173.25495815488293</v>
      </c>
      <c r="Y171" s="14">
        <v>185.95053569313913</v>
      </c>
      <c r="Z171" s="14">
        <v>184.43702644937952</v>
      </c>
      <c r="AA171" s="14">
        <v>191.16466753845623</v>
      </c>
      <c r="AB171" s="14">
        <v>188.58385177612058</v>
      </c>
      <c r="AC171" s="14">
        <v>186.1843371210818</v>
      </c>
      <c r="AD171" s="14">
        <v>183.59732132087927</v>
      </c>
      <c r="AE171" s="14">
        <v>178.15208806411007</v>
      </c>
      <c r="AF171" s="14">
        <v>174.99456877955754</v>
      </c>
      <c r="AG171" s="14">
        <v>173.22565797593231</v>
      </c>
      <c r="AH171" s="14">
        <v>169.24353365510305</v>
      </c>
      <c r="AI171" s="15">
        <v>165.05190805474393</v>
      </c>
      <c r="AJ171" s="14">
        <v>146.8361968022634</v>
      </c>
      <c r="AK171" s="14">
        <v>150.31771806565919</v>
      </c>
      <c r="AL171" s="14">
        <v>149.23291144020169</v>
      </c>
      <c r="AM171" s="14">
        <v>154.84214569860688</v>
      </c>
      <c r="AN171" s="14">
        <v>163.03909576149039</v>
      </c>
      <c r="AO171" s="14">
        <v>173.25495815488293</v>
      </c>
      <c r="AP171" s="14">
        <v>185.95053569313913</v>
      </c>
      <c r="AQ171" s="14">
        <v>184.43702644937952</v>
      </c>
      <c r="AR171" s="14">
        <v>169.24353365510305</v>
      </c>
      <c r="AS171" s="14">
        <v>165.05190805474393</v>
      </c>
    </row>
    <row r="172" spans="1:45" x14ac:dyDescent="0.35">
      <c r="A172" s="16">
        <v>4953.0777239999998</v>
      </c>
      <c r="B172" s="14">
        <v>150.20121735413107</v>
      </c>
      <c r="C172" s="14">
        <v>148.83790902772355</v>
      </c>
      <c r="D172" s="14">
        <v>149.21261131621839</v>
      </c>
      <c r="E172" s="14">
        <v>154.8090454964474</v>
      </c>
      <c r="F172" s="14">
        <v>162.98809545000555</v>
      </c>
      <c r="G172" s="14">
        <v>173.18105770353623</v>
      </c>
      <c r="H172" s="14">
        <v>185.84743506345242</v>
      </c>
      <c r="I172" s="14">
        <v>184.35222593146068</v>
      </c>
      <c r="J172" s="14">
        <v>191.07636699916114</v>
      </c>
      <c r="K172" s="14">
        <v>188.49685124476505</v>
      </c>
      <c r="L172" s="14">
        <v>186.0964365842292</v>
      </c>
      <c r="M172" s="14">
        <v>183.50932078341606</v>
      </c>
      <c r="N172" s="14">
        <v>178.06468753031135</v>
      </c>
      <c r="O172" s="14">
        <v>174.90766824881194</v>
      </c>
      <c r="P172" s="14">
        <v>173.13715743541522</v>
      </c>
      <c r="Q172" s="14">
        <v>169.15793313229707</v>
      </c>
      <c r="R172" s="15">
        <v>164.96840754476472</v>
      </c>
      <c r="S172" s="14">
        <v>148.62230771093817</v>
      </c>
      <c r="T172" s="14">
        <v>148.83790902772355</v>
      </c>
      <c r="U172" s="14">
        <v>149.21261131621839</v>
      </c>
      <c r="V172" s="14">
        <v>154.8090454964474</v>
      </c>
      <c r="W172" s="14">
        <v>162.98809545000555</v>
      </c>
      <c r="X172" s="14">
        <v>173.18105770353623</v>
      </c>
      <c r="Y172" s="14">
        <v>185.84743506345242</v>
      </c>
      <c r="Z172" s="14">
        <v>184.35222593146068</v>
      </c>
      <c r="AA172" s="14">
        <v>191.07636699916114</v>
      </c>
      <c r="AB172" s="14">
        <v>188.49685124476505</v>
      </c>
      <c r="AC172" s="14">
        <v>186.0964365842292</v>
      </c>
      <c r="AD172" s="14">
        <v>183.50932078341606</v>
      </c>
      <c r="AE172" s="14">
        <v>178.06468753031135</v>
      </c>
      <c r="AF172" s="14">
        <v>174.90766824881194</v>
      </c>
      <c r="AG172" s="14">
        <v>173.13715743541522</v>
      </c>
      <c r="AH172" s="14">
        <v>169.15793313229707</v>
      </c>
      <c r="AI172" s="15">
        <v>164.96840754476472</v>
      </c>
      <c r="AJ172" s="14">
        <v>146.82259671920144</v>
      </c>
      <c r="AK172" s="14">
        <v>150.30361797954271</v>
      </c>
      <c r="AL172" s="14">
        <v>149.21261131621839</v>
      </c>
      <c r="AM172" s="14">
        <v>154.8090454964474</v>
      </c>
      <c r="AN172" s="14">
        <v>162.98809545000555</v>
      </c>
      <c r="AO172" s="14">
        <v>173.18105770353623</v>
      </c>
      <c r="AP172" s="14">
        <v>185.84743506345242</v>
      </c>
      <c r="AQ172" s="14">
        <v>184.35222593146068</v>
      </c>
      <c r="AR172" s="14">
        <v>169.15793313229707</v>
      </c>
      <c r="AS172" s="14">
        <v>164.96840754476472</v>
      </c>
    </row>
    <row r="173" spans="1:45" x14ac:dyDescent="0.35">
      <c r="A173" s="16">
        <v>4975.7944680000001</v>
      </c>
      <c r="B173" s="14">
        <v>150.14751702615635</v>
      </c>
      <c r="C173" s="14">
        <v>148.7797086722648</v>
      </c>
      <c r="D173" s="14">
        <v>149.15441096075963</v>
      </c>
      <c r="E173" s="14">
        <v>154.74094508052428</v>
      </c>
      <c r="F173" s="14">
        <v>162.90659495224102</v>
      </c>
      <c r="G173" s="14">
        <v>173.08235710072216</v>
      </c>
      <c r="H173" s="14">
        <v>185.72723432932608</v>
      </c>
      <c r="I173" s="14">
        <v>184.24632528467208</v>
      </c>
      <c r="J173" s="14">
        <v>190.96856634076843</v>
      </c>
      <c r="K173" s="14">
        <v>188.390350594312</v>
      </c>
      <c r="L173" s="14">
        <v>185.98923592950101</v>
      </c>
      <c r="M173" s="14">
        <v>183.40202012807723</v>
      </c>
      <c r="N173" s="14">
        <v>177.95778687741574</v>
      </c>
      <c r="O173" s="14">
        <v>174.80116759835957</v>
      </c>
      <c r="P173" s="14">
        <v>173.02975677946509</v>
      </c>
      <c r="Q173" s="14">
        <v>169.05263248917367</v>
      </c>
      <c r="R173" s="15">
        <v>164.86520691446663</v>
      </c>
      <c r="S173" s="14">
        <v>148.57050739456753</v>
      </c>
      <c r="T173" s="14">
        <v>148.7797086722648</v>
      </c>
      <c r="U173" s="14">
        <v>149.15441096075963</v>
      </c>
      <c r="V173" s="14">
        <v>154.74094508052428</v>
      </c>
      <c r="W173" s="14">
        <v>162.90659495224102</v>
      </c>
      <c r="X173" s="14">
        <v>173.08235710072216</v>
      </c>
      <c r="Y173" s="14">
        <v>185.72723432932608</v>
      </c>
      <c r="Z173" s="14">
        <v>184.24632528467208</v>
      </c>
      <c r="AA173" s="14">
        <v>190.96856634076843</v>
      </c>
      <c r="AB173" s="14">
        <v>188.390350594312</v>
      </c>
      <c r="AC173" s="14">
        <v>185.98923592950101</v>
      </c>
      <c r="AD173" s="14">
        <v>183.40202012807723</v>
      </c>
      <c r="AE173" s="14">
        <v>177.95778687741574</v>
      </c>
      <c r="AF173" s="14">
        <v>174.80116759835957</v>
      </c>
      <c r="AG173" s="14">
        <v>173.02975677946509</v>
      </c>
      <c r="AH173" s="14">
        <v>169.05263248917367</v>
      </c>
      <c r="AI173" s="15">
        <v>164.86520691446663</v>
      </c>
      <c r="AJ173" s="14">
        <v>146.77129640588467</v>
      </c>
      <c r="AK173" s="14">
        <v>150.24981765095731</v>
      </c>
      <c r="AL173" s="14">
        <v>149.15441096075963</v>
      </c>
      <c r="AM173" s="14">
        <v>154.74094508052428</v>
      </c>
      <c r="AN173" s="14">
        <v>162.90659495224102</v>
      </c>
      <c r="AO173" s="14">
        <v>173.08235710072216</v>
      </c>
      <c r="AP173" s="14">
        <v>185.72723432932608</v>
      </c>
      <c r="AQ173" s="14">
        <v>184.24632528467208</v>
      </c>
      <c r="AR173" s="14">
        <v>169.05263248917367</v>
      </c>
      <c r="AS173" s="14">
        <v>164.86520691446663</v>
      </c>
    </row>
    <row r="174" spans="1:45" x14ac:dyDescent="0.35">
      <c r="A174" s="16">
        <v>4998.5134979999993</v>
      </c>
      <c r="B174" s="14">
        <v>150.08791666214668</v>
      </c>
      <c r="C174" s="14">
        <v>148.71570828138246</v>
      </c>
      <c r="D174" s="14">
        <v>149.09031056926668</v>
      </c>
      <c r="E174" s="14">
        <v>154.66714462978749</v>
      </c>
      <c r="F174" s="14">
        <v>162.81919441844229</v>
      </c>
      <c r="G174" s="14">
        <v>172.97795646309513</v>
      </c>
      <c r="H174" s="14">
        <v>185.60113355916548</v>
      </c>
      <c r="I174" s="14">
        <v>184.13452460184925</v>
      </c>
      <c r="J174" s="14">
        <v>190.85496564695217</v>
      </c>
      <c r="K174" s="14">
        <v>188.27814990904662</v>
      </c>
      <c r="L174" s="14">
        <v>185.87633523995984</v>
      </c>
      <c r="M174" s="14">
        <v>183.28901943792542</v>
      </c>
      <c r="N174" s="14">
        <v>177.84528619031778</v>
      </c>
      <c r="O174" s="14">
        <v>174.68906691370412</v>
      </c>
      <c r="P174" s="14">
        <v>172.91655608809202</v>
      </c>
      <c r="Q174" s="14">
        <v>168.94183181245853</v>
      </c>
      <c r="R174" s="15">
        <v>164.75640624996623</v>
      </c>
      <c r="S174" s="14">
        <v>148.51300704338459</v>
      </c>
      <c r="T174" s="14">
        <v>148.71570828138246</v>
      </c>
      <c r="U174" s="14">
        <v>149.09031056926668</v>
      </c>
      <c r="V174" s="14">
        <v>154.66714462978749</v>
      </c>
      <c r="W174" s="14">
        <v>162.81919441844229</v>
      </c>
      <c r="X174" s="14">
        <v>172.97795646309513</v>
      </c>
      <c r="Y174" s="14">
        <v>185.60113355916548</v>
      </c>
      <c r="Z174" s="14">
        <v>184.13452460184925</v>
      </c>
      <c r="AA174" s="14">
        <v>190.85496564695217</v>
      </c>
      <c r="AB174" s="14">
        <v>188.27814990904662</v>
      </c>
      <c r="AC174" s="14">
        <v>185.87633523995984</v>
      </c>
      <c r="AD174" s="14">
        <v>183.28901943792542</v>
      </c>
      <c r="AE174" s="14">
        <v>177.84528619031778</v>
      </c>
      <c r="AF174" s="14">
        <v>174.68906691370412</v>
      </c>
      <c r="AG174" s="14">
        <v>172.91655608809202</v>
      </c>
      <c r="AH174" s="14">
        <v>168.94183181245853</v>
      </c>
      <c r="AI174" s="15">
        <v>164.75640624996623</v>
      </c>
      <c r="AJ174" s="14">
        <v>146.71439605836554</v>
      </c>
      <c r="AK174" s="14">
        <v>150.19031728755897</v>
      </c>
      <c r="AL174" s="14">
        <v>149.09031056926668</v>
      </c>
      <c r="AM174" s="14">
        <v>154.66714462978749</v>
      </c>
      <c r="AN174" s="14">
        <v>162.81919441844229</v>
      </c>
      <c r="AO174" s="14">
        <v>172.97795646309513</v>
      </c>
      <c r="AP174" s="14">
        <v>185.60113355916548</v>
      </c>
      <c r="AQ174" s="14">
        <v>184.13452460184925</v>
      </c>
      <c r="AR174" s="14">
        <v>168.94183181245853</v>
      </c>
      <c r="AS174" s="14">
        <v>164.75640624996623</v>
      </c>
    </row>
    <row r="175" spans="1:45" x14ac:dyDescent="0.35">
      <c r="A175" s="16">
        <v>5021.2348140000004</v>
      </c>
      <c r="B175" s="14">
        <v>150.02251626271411</v>
      </c>
      <c r="C175" s="14">
        <v>148.6459078550765</v>
      </c>
      <c r="D175" s="14">
        <v>149.02041014234939</v>
      </c>
      <c r="E175" s="14">
        <v>154.58734414240581</v>
      </c>
      <c r="F175" s="14">
        <v>162.7258938486093</v>
      </c>
      <c r="G175" s="14">
        <v>172.86775579004382</v>
      </c>
      <c r="H175" s="14">
        <v>185.46903275235931</v>
      </c>
      <c r="I175" s="14">
        <v>184.01672388238154</v>
      </c>
      <c r="J175" s="14">
        <v>190.73566491832219</v>
      </c>
      <c r="K175" s="14">
        <v>188.16034918957823</v>
      </c>
      <c r="L175" s="14">
        <v>185.757834516217</v>
      </c>
      <c r="M175" s="14">
        <v>183.17031871296066</v>
      </c>
      <c r="N175" s="14">
        <v>177.72718546901748</v>
      </c>
      <c r="O175" s="14">
        <v>174.57136619484709</v>
      </c>
      <c r="P175" s="14">
        <v>172.79785536312724</v>
      </c>
      <c r="Q175" s="14">
        <v>168.82533110092979</v>
      </c>
      <c r="R175" s="15">
        <v>164.64220555248548</v>
      </c>
      <c r="S175" s="14">
        <v>148.44980665738802</v>
      </c>
      <c r="T175" s="14">
        <v>148.6459078550765</v>
      </c>
      <c r="U175" s="14">
        <v>149.02041014234939</v>
      </c>
      <c r="V175" s="14">
        <v>154.58734414240581</v>
      </c>
      <c r="W175" s="14">
        <v>162.7258938486093</v>
      </c>
      <c r="X175" s="14">
        <v>172.86775579004382</v>
      </c>
      <c r="Y175" s="14">
        <v>185.46903275235931</v>
      </c>
      <c r="Z175" s="14">
        <v>184.01672388238154</v>
      </c>
      <c r="AA175" s="14">
        <v>190.73566491832219</v>
      </c>
      <c r="AB175" s="14">
        <v>188.16034918957823</v>
      </c>
      <c r="AC175" s="14">
        <v>185.757834516217</v>
      </c>
      <c r="AD175" s="14">
        <v>183.17031871296066</v>
      </c>
      <c r="AE175" s="14">
        <v>177.72718546901748</v>
      </c>
      <c r="AF175" s="14">
        <v>174.57136619484709</v>
      </c>
      <c r="AG175" s="14">
        <v>172.79785536312724</v>
      </c>
      <c r="AH175" s="14">
        <v>168.82533110092979</v>
      </c>
      <c r="AI175" s="15">
        <v>164.64220555248548</v>
      </c>
      <c r="AJ175" s="14">
        <v>146.65189567664407</v>
      </c>
      <c r="AK175" s="14">
        <v>150.12491688812571</v>
      </c>
      <c r="AL175" s="14">
        <v>149.02041014234939</v>
      </c>
      <c r="AM175" s="14">
        <v>154.58734414240581</v>
      </c>
      <c r="AN175" s="14">
        <v>162.7258938486093</v>
      </c>
      <c r="AO175" s="14">
        <v>172.86775579004382</v>
      </c>
      <c r="AP175" s="14">
        <v>185.46903275235931</v>
      </c>
      <c r="AQ175" s="14">
        <v>184.01672388238154</v>
      </c>
      <c r="AR175" s="14">
        <v>168.82533110092979</v>
      </c>
      <c r="AS175" s="14">
        <v>164.64220555248548</v>
      </c>
    </row>
    <row r="176" spans="1:45" x14ac:dyDescent="0.35">
      <c r="A176" s="16">
        <v>5043.9607020000003</v>
      </c>
      <c r="B176" s="14">
        <v>149.9493158156418</v>
      </c>
      <c r="C176" s="14">
        <v>148.56820738052022</v>
      </c>
      <c r="D176" s="14">
        <v>148.94260966718315</v>
      </c>
      <c r="E176" s="14">
        <v>154.4997436073858</v>
      </c>
      <c r="F176" s="14">
        <v>162.62459322991538</v>
      </c>
      <c r="G176" s="14">
        <v>172.74975506935485</v>
      </c>
      <c r="H176" s="14">
        <v>185.32893189669355</v>
      </c>
      <c r="I176" s="14">
        <v>183.89102311466348</v>
      </c>
      <c r="J176" s="14">
        <v>190.60876414327586</v>
      </c>
      <c r="K176" s="14">
        <v>188.03494842369278</v>
      </c>
      <c r="L176" s="14">
        <v>185.6317337460564</v>
      </c>
      <c r="M176" s="14">
        <v>183.04411794218942</v>
      </c>
      <c r="N176" s="14">
        <v>177.60148470129946</v>
      </c>
      <c r="O176" s="14">
        <v>174.44606542957226</v>
      </c>
      <c r="P176" s="14">
        <v>172.67155459174538</v>
      </c>
      <c r="Q176" s="14">
        <v>168.70143034420587</v>
      </c>
      <c r="R176" s="15">
        <v>164.52050480919758</v>
      </c>
      <c r="S176" s="14">
        <v>148.37920622619561</v>
      </c>
      <c r="T176" s="14">
        <v>148.56820738052022</v>
      </c>
      <c r="U176" s="14">
        <v>148.94260966718315</v>
      </c>
      <c r="V176" s="14">
        <v>154.4997436073858</v>
      </c>
      <c r="W176" s="14">
        <v>162.62459322991538</v>
      </c>
      <c r="X176" s="14">
        <v>172.74975506935485</v>
      </c>
      <c r="Y176" s="14">
        <v>185.32893189669355</v>
      </c>
      <c r="Z176" s="14">
        <v>183.89102311466348</v>
      </c>
      <c r="AA176" s="14">
        <v>190.60876414327586</v>
      </c>
      <c r="AB176" s="14">
        <v>188.03494842369278</v>
      </c>
      <c r="AC176" s="14">
        <v>185.6317337460564</v>
      </c>
      <c r="AD176" s="14">
        <v>183.04411794218942</v>
      </c>
      <c r="AE176" s="14">
        <v>177.60148470129946</v>
      </c>
      <c r="AF176" s="14">
        <v>174.44606542957226</v>
      </c>
      <c r="AG176" s="14">
        <v>172.67155459174538</v>
      </c>
      <c r="AH176" s="14">
        <v>168.70143034420587</v>
      </c>
      <c r="AI176" s="15">
        <v>164.52050480919758</v>
      </c>
      <c r="AJ176" s="14">
        <v>146.58189524911685</v>
      </c>
      <c r="AK176" s="14">
        <v>150.05171644105411</v>
      </c>
      <c r="AL176" s="14">
        <v>148.94260966718315</v>
      </c>
      <c r="AM176" s="14">
        <v>154.4997436073858</v>
      </c>
      <c r="AN176" s="14">
        <v>162.62459322991538</v>
      </c>
      <c r="AO176" s="14">
        <v>172.74975506935485</v>
      </c>
      <c r="AP176" s="14">
        <v>185.32893189669355</v>
      </c>
      <c r="AQ176" s="14">
        <v>183.89102311466348</v>
      </c>
      <c r="AR176" s="14">
        <v>168.70143034420587</v>
      </c>
      <c r="AS176" s="14">
        <v>164.52050480919758</v>
      </c>
    </row>
    <row r="177" spans="1:45" x14ac:dyDescent="0.35">
      <c r="A177" s="16">
        <v>5066.6911620000001</v>
      </c>
      <c r="B177" s="14">
        <v>149.86831532093117</v>
      </c>
      <c r="C177" s="14">
        <v>148.4828068589369</v>
      </c>
      <c r="D177" s="14">
        <v>148.85700914437786</v>
      </c>
      <c r="E177" s="14">
        <v>154.40434302472678</v>
      </c>
      <c r="F177" s="14">
        <v>162.51549256358308</v>
      </c>
      <c r="G177" s="14">
        <v>172.62395430102615</v>
      </c>
      <c r="H177" s="14">
        <v>185.18093099277746</v>
      </c>
      <c r="I177" s="14">
        <v>183.75742229869644</v>
      </c>
      <c r="J177" s="14">
        <v>190.47406332059049</v>
      </c>
      <c r="K177" s="14">
        <v>187.90194761139023</v>
      </c>
      <c r="L177" s="14">
        <v>185.49803292947806</v>
      </c>
      <c r="M177" s="14">
        <v>182.91031712500043</v>
      </c>
      <c r="N177" s="14">
        <v>177.46828388777564</v>
      </c>
      <c r="O177" s="14">
        <v>174.31326461849096</v>
      </c>
      <c r="P177" s="14">
        <v>172.53765377394578</v>
      </c>
      <c r="Q177" s="14">
        <v>168.56992954106488</v>
      </c>
      <c r="R177" s="15">
        <v>164.39140402071453</v>
      </c>
      <c r="S177" s="14">
        <v>148.30090574797552</v>
      </c>
      <c r="T177" s="14">
        <v>148.4828068589369</v>
      </c>
      <c r="U177" s="14">
        <v>148.85700914437786</v>
      </c>
      <c r="V177" s="14">
        <v>154.40434302472678</v>
      </c>
      <c r="W177" s="14">
        <v>162.51549256358308</v>
      </c>
      <c r="X177" s="14">
        <v>172.62395430102615</v>
      </c>
      <c r="Y177" s="14">
        <v>185.18093099277746</v>
      </c>
      <c r="Z177" s="14">
        <v>183.75742229869644</v>
      </c>
      <c r="AA177" s="14">
        <v>190.47406332059049</v>
      </c>
      <c r="AB177" s="14">
        <v>187.90194761139023</v>
      </c>
      <c r="AC177" s="14">
        <v>185.49803292947806</v>
      </c>
      <c r="AD177" s="14">
        <v>182.91031712500043</v>
      </c>
      <c r="AE177" s="14">
        <v>177.46828388777564</v>
      </c>
      <c r="AF177" s="14">
        <v>174.31326461849096</v>
      </c>
      <c r="AG177" s="14">
        <v>172.53765377394578</v>
      </c>
      <c r="AH177" s="14">
        <v>168.56992954106488</v>
      </c>
      <c r="AI177" s="15">
        <v>164.39140402071453</v>
      </c>
      <c r="AJ177" s="14">
        <v>146.50449477639313</v>
      </c>
      <c r="AK177" s="14">
        <v>149.97061594573282</v>
      </c>
      <c r="AL177" s="14">
        <v>148.85700914437786</v>
      </c>
      <c r="AM177" s="14">
        <v>154.40434302472678</v>
      </c>
      <c r="AN177" s="14">
        <v>162.51549256358308</v>
      </c>
      <c r="AO177" s="14">
        <v>172.62395430102615</v>
      </c>
      <c r="AP177" s="14">
        <v>185.18093099277746</v>
      </c>
      <c r="AQ177" s="14">
        <v>183.75742229869644</v>
      </c>
      <c r="AR177" s="14">
        <v>168.56992954106488</v>
      </c>
      <c r="AS177" s="14">
        <v>164.39140402071453</v>
      </c>
    </row>
    <row r="178" spans="1:45" x14ac:dyDescent="0.35">
      <c r="A178" s="16">
        <v>5089.4246700000003</v>
      </c>
      <c r="B178" s="14">
        <v>149.78111478835439</v>
      </c>
      <c r="C178" s="14">
        <v>148.39120629948607</v>
      </c>
      <c r="D178" s="14">
        <v>148.76530858431641</v>
      </c>
      <c r="E178" s="14">
        <v>154.30274240420093</v>
      </c>
      <c r="F178" s="14">
        <v>162.40019185938394</v>
      </c>
      <c r="G178" s="14">
        <v>172.49215349605259</v>
      </c>
      <c r="H178" s="14">
        <v>185.02663005038457</v>
      </c>
      <c r="I178" s="14">
        <v>183.61752144425196</v>
      </c>
      <c r="J178" s="14">
        <v>190.33346246187017</v>
      </c>
      <c r="K178" s="14">
        <v>187.76304676305344</v>
      </c>
      <c r="L178" s="14">
        <v>185.35853207747681</v>
      </c>
      <c r="M178" s="14">
        <v>182.77061627177721</v>
      </c>
      <c r="N178" s="14">
        <v>177.32918303821688</v>
      </c>
      <c r="O178" s="14">
        <v>174.17456377137546</v>
      </c>
      <c r="P178" s="14">
        <v>172.39805292133315</v>
      </c>
      <c r="Q178" s="14">
        <v>168.43262870249958</v>
      </c>
      <c r="R178" s="15">
        <v>164.2565031968079</v>
      </c>
      <c r="S178" s="14">
        <v>148.2168052343311</v>
      </c>
      <c r="T178" s="14">
        <v>148.39120629948607</v>
      </c>
      <c r="U178" s="14">
        <v>148.76530858431641</v>
      </c>
      <c r="V178" s="14">
        <v>154.30274240420093</v>
      </c>
      <c r="W178" s="14">
        <v>162.40019185938394</v>
      </c>
      <c r="X178" s="14">
        <v>172.49215349605259</v>
      </c>
      <c r="Y178" s="14">
        <v>185.02663005038457</v>
      </c>
      <c r="Z178" s="14">
        <v>183.61752144425196</v>
      </c>
      <c r="AA178" s="14">
        <v>190.33346246187017</v>
      </c>
      <c r="AB178" s="14">
        <v>187.76304676305344</v>
      </c>
      <c r="AC178" s="14">
        <v>185.35853207747681</v>
      </c>
      <c r="AD178" s="14">
        <v>182.77061627177721</v>
      </c>
      <c r="AE178" s="14">
        <v>177.32918303821688</v>
      </c>
      <c r="AF178" s="14">
        <v>174.17456377137546</v>
      </c>
      <c r="AG178" s="14">
        <v>172.39805292133315</v>
      </c>
      <c r="AH178" s="14">
        <v>168.43262870249958</v>
      </c>
      <c r="AI178" s="15">
        <v>164.2565031968079</v>
      </c>
      <c r="AJ178" s="14">
        <v>146.42119426763517</v>
      </c>
      <c r="AK178" s="14">
        <v>149.88351541376599</v>
      </c>
      <c r="AL178" s="14">
        <v>148.76530858431641</v>
      </c>
      <c r="AM178" s="14">
        <v>154.30274240420093</v>
      </c>
      <c r="AN178" s="14">
        <v>162.40019185938394</v>
      </c>
      <c r="AO178" s="14">
        <v>172.49215349605259</v>
      </c>
      <c r="AP178" s="14">
        <v>185.02663005038457</v>
      </c>
      <c r="AQ178" s="14">
        <v>183.61752144425196</v>
      </c>
      <c r="AR178" s="14">
        <v>168.43262870249958</v>
      </c>
      <c r="AS178" s="14">
        <v>164.2565031968079</v>
      </c>
    </row>
    <row r="179" spans="1:45" x14ac:dyDescent="0.35">
      <c r="A179" s="16">
        <v>5112.1612260000002</v>
      </c>
      <c r="B179" s="14">
        <v>149.68791421913136</v>
      </c>
      <c r="C179" s="14">
        <v>148.29360570339037</v>
      </c>
      <c r="D179" s="14">
        <v>148.66750798699874</v>
      </c>
      <c r="E179" s="14">
        <v>154.19504174641887</v>
      </c>
      <c r="F179" s="14">
        <v>162.27879111792862</v>
      </c>
      <c r="G179" s="14">
        <v>172.35435265443414</v>
      </c>
      <c r="H179" s="14">
        <v>184.86612907012488</v>
      </c>
      <c r="I179" s="14">
        <v>183.47152055255128</v>
      </c>
      <c r="J179" s="14">
        <v>190.18676156589439</v>
      </c>
      <c r="K179" s="14">
        <v>187.61834587929235</v>
      </c>
      <c r="L179" s="14">
        <v>185.21303118882994</v>
      </c>
      <c r="M179" s="14">
        <v>182.62511538313038</v>
      </c>
      <c r="N179" s="14">
        <v>177.18408215201327</v>
      </c>
      <c r="O179" s="14">
        <v>174.0299628882257</v>
      </c>
      <c r="P179" s="14">
        <v>172.25245203207569</v>
      </c>
      <c r="Q179" s="14">
        <v>168.28952782851073</v>
      </c>
      <c r="R179" s="15">
        <v>164.11580233747696</v>
      </c>
      <c r="S179" s="14">
        <v>148.12680468465319</v>
      </c>
      <c r="T179" s="14">
        <v>148.29360570339037</v>
      </c>
      <c r="U179" s="14">
        <v>148.66750798699874</v>
      </c>
      <c r="V179" s="14">
        <v>154.19504174641887</v>
      </c>
      <c r="W179" s="14">
        <v>162.27879111792862</v>
      </c>
      <c r="X179" s="14">
        <v>172.35435265443414</v>
      </c>
      <c r="Y179" s="14">
        <v>184.86612907012488</v>
      </c>
      <c r="Z179" s="14">
        <v>183.47152055255128</v>
      </c>
      <c r="AA179" s="14">
        <v>190.18676156589439</v>
      </c>
      <c r="AB179" s="14">
        <v>187.61834587929235</v>
      </c>
      <c r="AC179" s="14">
        <v>185.21303118882994</v>
      </c>
      <c r="AD179" s="14">
        <v>182.62511538313038</v>
      </c>
      <c r="AE179" s="14">
        <v>177.18408215201327</v>
      </c>
      <c r="AF179" s="14">
        <v>174.0299628882257</v>
      </c>
      <c r="AG179" s="14">
        <v>172.25245203207569</v>
      </c>
      <c r="AH179" s="14">
        <v>168.28952782851073</v>
      </c>
      <c r="AI179" s="15">
        <v>164.11580233747696</v>
      </c>
      <c r="AJ179" s="14">
        <v>146.3320937234536</v>
      </c>
      <c r="AK179" s="14">
        <v>149.79021484393303</v>
      </c>
      <c r="AL179" s="14">
        <v>148.66750798699874</v>
      </c>
      <c r="AM179" s="14">
        <v>154.19504174641887</v>
      </c>
      <c r="AN179" s="14">
        <v>162.27879111792862</v>
      </c>
      <c r="AO179" s="14">
        <v>172.35435265443414</v>
      </c>
      <c r="AP179" s="14">
        <v>184.86612907012488</v>
      </c>
      <c r="AQ179" s="14">
        <v>183.47152055255128</v>
      </c>
      <c r="AR179" s="14">
        <v>168.28952782851073</v>
      </c>
      <c r="AS179" s="14">
        <v>164.11580233747696</v>
      </c>
    </row>
    <row r="180" spans="1:45" x14ac:dyDescent="0.35">
      <c r="A180" s="16">
        <v>5142.5795040000003</v>
      </c>
      <c r="B180" s="14">
        <v>149.64331394673525</v>
      </c>
      <c r="C180" s="14">
        <v>148.24310539496</v>
      </c>
      <c r="D180" s="14">
        <v>148.61690767795778</v>
      </c>
      <c r="E180" s="14">
        <v>154.13104135553655</v>
      </c>
      <c r="F180" s="14">
        <v>162.19659061588902</v>
      </c>
      <c r="G180" s="14">
        <v>172.25005201741774</v>
      </c>
      <c r="H180" s="14">
        <v>184.73092824438567</v>
      </c>
      <c r="I180" s="14">
        <v>183.35441983735871</v>
      </c>
      <c r="J180" s="14">
        <v>190.06796084031893</v>
      </c>
      <c r="K180" s="14">
        <v>187.5019451683749</v>
      </c>
      <c r="L180" s="14">
        <v>185.09573047241543</v>
      </c>
      <c r="M180" s="14">
        <v>182.50761466549457</v>
      </c>
      <c r="N180" s="14">
        <v>177.0672814386526</v>
      </c>
      <c r="O180" s="14">
        <v>173.91366217791887</v>
      </c>
      <c r="P180" s="14">
        <v>172.1346513126073</v>
      </c>
      <c r="Q180" s="14">
        <v>168.17472712736546</v>
      </c>
      <c r="R180" s="15">
        <v>164.00350165160026</v>
      </c>
      <c r="S180" s="14">
        <v>148.08370442141796</v>
      </c>
      <c r="T180" s="14">
        <v>148.24310539496</v>
      </c>
      <c r="U180" s="14">
        <v>148.61690767795778</v>
      </c>
      <c r="V180" s="14">
        <v>154.13104135553655</v>
      </c>
      <c r="W180" s="14">
        <v>162.19659061588902</v>
      </c>
      <c r="X180" s="14">
        <v>172.25005201741774</v>
      </c>
      <c r="Y180" s="14">
        <v>184.73092824438567</v>
      </c>
      <c r="Z180" s="14">
        <v>183.35441983735871</v>
      </c>
      <c r="AA180" s="14">
        <v>190.06796084031893</v>
      </c>
      <c r="AB180" s="14">
        <v>187.5019451683749</v>
      </c>
      <c r="AC180" s="14">
        <v>185.09573047241543</v>
      </c>
      <c r="AD180" s="14">
        <v>182.50761466549457</v>
      </c>
      <c r="AE180" s="14">
        <v>177.0672814386526</v>
      </c>
      <c r="AF180" s="14">
        <v>173.91366217791887</v>
      </c>
      <c r="AG180" s="14">
        <v>172.1346513126073</v>
      </c>
      <c r="AH180" s="14">
        <v>168.17472712736546</v>
      </c>
      <c r="AI180" s="15">
        <v>164.00350165160026</v>
      </c>
      <c r="AJ180" s="14">
        <v>146.28949346327227</v>
      </c>
      <c r="AK180" s="14">
        <v>149.74561457153624</v>
      </c>
      <c r="AL180" s="14">
        <v>148.61690767795778</v>
      </c>
      <c r="AM180" s="14">
        <v>154.13104135553655</v>
      </c>
      <c r="AN180" s="14">
        <v>162.19659061588902</v>
      </c>
      <c r="AO180" s="14">
        <v>172.25005201741774</v>
      </c>
      <c r="AP180" s="14">
        <v>184.73092824438567</v>
      </c>
      <c r="AQ180" s="14">
        <v>183.35441983735871</v>
      </c>
      <c r="AR180" s="14">
        <v>168.17472712736546</v>
      </c>
      <c r="AS180" s="14">
        <v>164.00350165160026</v>
      </c>
    </row>
    <row r="181" spans="1:45" x14ac:dyDescent="0.35">
      <c r="A181" s="16">
        <v>5180.6795039999997</v>
      </c>
      <c r="B181" s="14">
        <v>149.6473139711654</v>
      </c>
      <c r="C181" s="14">
        <v>148.23980537480497</v>
      </c>
      <c r="D181" s="14">
        <v>148.61350765719209</v>
      </c>
      <c r="E181" s="14">
        <v>154.11134123521771</v>
      </c>
      <c r="F181" s="14">
        <v>162.15399035570766</v>
      </c>
      <c r="G181" s="14">
        <v>172.18045159233307</v>
      </c>
      <c r="H181" s="14">
        <v>184.62112757377756</v>
      </c>
      <c r="I181" s="14">
        <v>183.26631929928416</v>
      </c>
      <c r="J181" s="14">
        <v>189.97686028392198</v>
      </c>
      <c r="K181" s="14">
        <v>187.41374462968972</v>
      </c>
      <c r="L181" s="14">
        <v>185.00662992823385</v>
      </c>
      <c r="M181" s="14">
        <v>182.41811411886979</v>
      </c>
      <c r="N181" s="14">
        <v>176.97858089691357</v>
      </c>
      <c r="O181" s="14">
        <v>173.82546163923368</v>
      </c>
      <c r="P181" s="14">
        <v>172.04465076292934</v>
      </c>
      <c r="Q181" s="14">
        <v>168.08822659906312</v>
      </c>
      <c r="R181" s="15">
        <v>163.9195011385672</v>
      </c>
      <c r="S181" s="14">
        <v>148.08770444584812</v>
      </c>
      <c r="T181" s="14">
        <v>148.23980537480497</v>
      </c>
      <c r="U181" s="14">
        <v>148.61350765719209</v>
      </c>
      <c r="V181" s="14">
        <v>154.11134123521771</v>
      </c>
      <c r="W181" s="14">
        <v>162.15399035570766</v>
      </c>
      <c r="X181" s="14">
        <v>172.18045159233307</v>
      </c>
      <c r="Y181" s="14">
        <v>184.62112757377756</v>
      </c>
      <c r="Z181" s="14">
        <v>183.26631929928416</v>
      </c>
      <c r="AA181" s="14">
        <v>189.97686028392198</v>
      </c>
      <c r="AB181" s="14">
        <v>187.41374462968972</v>
      </c>
      <c r="AC181" s="14">
        <v>185.00662992823385</v>
      </c>
      <c r="AD181" s="14">
        <v>182.41811411886979</v>
      </c>
      <c r="AE181" s="14">
        <v>176.97858089691357</v>
      </c>
      <c r="AF181" s="14">
        <v>173.82546163923368</v>
      </c>
      <c r="AG181" s="14">
        <v>172.04465076292934</v>
      </c>
      <c r="AH181" s="14">
        <v>168.08822659906312</v>
      </c>
      <c r="AI181" s="15">
        <v>163.9195011385672</v>
      </c>
      <c r="AJ181" s="14">
        <v>146.29339348709178</v>
      </c>
      <c r="AK181" s="14">
        <v>149.74971459657772</v>
      </c>
      <c r="AL181" s="14">
        <v>148.61350765719209</v>
      </c>
      <c r="AM181" s="14">
        <v>154.11134123521771</v>
      </c>
      <c r="AN181" s="14">
        <v>162.15399035570766</v>
      </c>
      <c r="AO181" s="14">
        <v>172.18045159233307</v>
      </c>
      <c r="AP181" s="14">
        <v>184.62112757377756</v>
      </c>
      <c r="AQ181" s="14">
        <v>183.26631929928416</v>
      </c>
      <c r="AR181" s="14">
        <v>168.08822659906312</v>
      </c>
      <c r="AS181" s="14">
        <v>163.9195011385672</v>
      </c>
    </row>
    <row r="182" spans="1:45" x14ac:dyDescent="0.35">
      <c r="A182" s="16">
        <v>5211.0970200000011</v>
      </c>
      <c r="B182" s="14">
        <v>149.60471371098404</v>
      </c>
      <c r="C182" s="14">
        <v>148.19110507736741</v>
      </c>
      <c r="D182" s="14">
        <v>148.56470735914391</v>
      </c>
      <c r="E182" s="14">
        <v>154.04964085838267</v>
      </c>
      <c r="F182" s="14">
        <v>162.07388986649408</v>
      </c>
      <c r="G182" s="14">
        <v>172.07915097363909</v>
      </c>
      <c r="H182" s="14">
        <v>184.4874267571999</v>
      </c>
      <c r="I182" s="14">
        <v>183.15031859080989</v>
      </c>
      <c r="J182" s="14">
        <v>189.85945956689679</v>
      </c>
      <c r="K182" s="14">
        <v>187.29904392915509</v>
      </c>
      <c r="L182" s="14">
        <v>184.89112922281279</v>
      </c>
      <c r="M182" s="14">
        <v>182.30241341222813</v>
      </c>
      <c r="N182" s="14">
        <v>176.86348019393637</v>
      </c>
      <c r="O182" s="14">
        <v>173.71096093992102</v>
      </c>
      <c r="P182" s="14">
        <v>171.92865005445441</v>
      </c>
      <c r="Q182" s="14">
        <v>167.97522590891131</v>
      </c>
      <c r="R182" s="15">
        <v>163.80890046307337</v>
      </c>
      <c r="S182" s="14">
        <v>148.04640419360703</v>
      </c>
      <c r="T182" s="14">
        <v>148.19110507736741</v>
      </c>
      <c r="U182" s="14">
        <v>148.56470735914391</v>
      </c>
      <c r="V182" s="14">
        <v>154.04964085838267</v>
      </c>
      <c r="W182" s="14">
        <v>162.07388986649408</v>
      </c>
      <c r="X182" s="14">
        <v>172.07915097363909</v>
      </c>
      <c r="Y182" s="14">
        <v>184.4874267571999</v>
      </c>
      <c r="Z182" s="14">
        <v>183.15031859080989</v>
      </c>
      <c r="AA182" s="14">
        <v>189.85945956689679</v>
      </c>
      <c r="AB182" s="14">
        <v>187.29904392915509</v>
      </c>
      <c r="AC182" s="14">
        <v>184.89112922281279</v>
      </c>
      <c r="AD182" s="14">
        <v>182.30241341222813</v>
      </c>
      <c r="AE182" s="14">
        <v>176.86348019393637</v>
      </c>
      <c r="AF182" s="14">
        <v>173.71096093992102</v>
      </c>
      <c r="AG182" s="14">
        <v>171.92865005445441</v>
      </c>
      <c r="AH182" s="14">
        <v>167.97522590891131</v>
      </c>
      <c r="AI182" s="15">
        <v>163.80890046307337</v>
      </c>
      <c r="AJ182" s="14">
        <v>146.25249323729321</v>
      </c>
      <c r="AK182" s="14">
        <v>149.70701433578569</v>
      </c>
      <c r="AL182" s="14">
        <v>148.56470735914391</v>
      </c>
      <c r="AM182" s="14">
        <v>154.04964085838267</v>
      </c>
      <c r="AN182" s="14">
        <v>162.07388986649408</v>
      </c>
      <c r="AO182" s="14">
        <v>172.07915097363909</v>
      </c>
      <c r="AP182" s="14">
        <v>184.4874267571999</v>
      </c>
      <c r="AQ182" s="14">
        <v>183.15031859080989</v>
      </c>
      <c r="AR182" s="14">
        <v>167.97522590891131</v>
      </c>
      <c r="AS182" s="14">
        <v>163.80890046307337</v>
      </c>
    </row>
    <row r="183" spans="1:45" x14ac:dyDescent="0.35">
      <c r="A183" s="16">
        <v>5233.8320520000007</v>
      </c>
      <c r="B183" s="14">
        <v>149.51531316497056</v>
      </c>
      <c r="C183" s="14">
        <v>148.09720450386996</v>
      </c>
      <c r="D183" s="14">
        <v>148.47070678503582</v>
      </c>
      <c r="E183" s="14">
        <v>153.94584022442012</v>
      </c>
      <c r="F183" s="14">
        <v>161.95628914824766</v>
      </c>
      <c r="G183" s="14">
        <v>171.94565015828272</v>
      </c>
      <c r="H183" s="14">
        <v>184.33002579587327</v>
      </c>
      <c r="I183" s="14">
        <v>183.00691771498913</v>
      </c>
      <c r="J183" s="14">
        <v>189.71595869046538</v>
      </c>
      <c r="K183" s="14">
        <v>187.15794306738161</v>
      </c>
      <c r="L183" s="14">
        <v>184.74932835676418</v>
      </c>
      <c r="M183" s="14">
        <v>182.16051254556822</v>
      </c>
      <c r="N183" s="14">
        <v>176.72207933033036</v>
      </c>
      <c r="O183" s="14">
        <v>173.56996007875748</v>
      </c>
      <c r="P183" s="14">
        <v>171.78664918718388</v>
      </c>
      <c r="Q183" s="14">
        <v>167.83572505691004</v>
      </c>
      <c r="R183" s="15">
        <v>163.67189962634066</v>
      </c>
      <c r="S183" s="14">
        <v>147.96010366652595</v>
      </c>
      <c r="T183" s="14">
        <v>148.09720450386996</v>
      </c>
      <c r="U183" s="14">
        <v>148.47070678503582</v>
      </c>
      <c r="V183" s="14">
        <v>153.94584022442012</v>
      </c>
      <c r="W183" s="14">
        <v>161.95628914824766</v>
      </c>
      <c r="X183" s="14">
        <v>171.94565015828272</v>
      </c>
      <c r="Y183" s="14">
        <v>184.33002579587327</v>
      </c>
      <c r="Z183" s="14">
        <v>183.00691771498913</v>
      </c>
      <c r="AA183" s="14">
        <v>189.71595869046538</v>
      </c>
      <c r="AB183" s="14">
        <v>187.15794306738161</v>
      </c>
      <c r="AC183" s="14">
        <v>184.74932835676418</v>
      </c>
      <c r="AD183" s="14">
        <v>182.16051254556822</v>
      </c>
      <c r="AE183" s="14">
        <v>176.72207933033036</v>
      </c>
      <c r="AF183" s="14">
        <v>173.56996007875748</v>
      </c>
      <c r="AG183" s="14">
        <v>171.78664918718388</v>
      </c>
      <c r="AH183" s="14">
        <v>167.83572505691004</v>
      </c>
      <c r="AI183" s="15">
        <v>163.67189962634066</v>
      </c>
      <c r="AJ183" s="14">
        <v>146.16699271509859</v>
      </c>
      <c r="AK183" s="14">
        <v>149.61761378977155</v>
      </c>
      <c r="AL183" s="14">
        <v>148.47070678503582</v>
      </c>
      <c r="AM183" s="14">
        <v>153.94584022442012</v>
      </c>
      <c r="AN183" s="14">
        <v>161.95628914824766</v>
      </c>
      <c r="AO183" s="14">
        <v>171.94565015828272</v>
      </c>
      <c r="AP183" s="14">
        <v>184.33002579587327</v>
      </c>
      <c r="AQ183" s="14">
        <v>183.00691771498913</v>
      </c>
      <c r="AR183" s="14">
        <v>167.83572505691004</v>
      </c>
      <c r="AS183" s="14">
        <v>163.67189962634066</v>
      </c>
    </row>
    <row r="184" spans="1:45" x14ac:dyDescent="0.35">
      <c r="A184" s="16">
        <v>5256.563274000001</v>
      </c>
      <c r="B184" s="14">
        <v>149.43231265804454</v>
      </c>
      <c r="C184" s="14">
        <v>148.00980397007123</v>
      </c>
      <c r="D184" s="14">
        <v>148.38320625062576</v>
      </c>
      <c r="E184" s="14">
        <v>153.84863963076768</v>
      </c>
      <c r="F184" s="14">
        <v>161.84508846908932</v>
      </c>
      <c r="G184" s="14">
        <v>171.81864938262504</v>
      </c>
      <c r="H184" s="14">
        <v>184.17892487302407</v>
      </c>
      <c r="I184" s="14">
        <v>182.86951687581322</v>
      </c>
      <c r="J184" s="14">
        <v>189.57845785067883</v>
      </c>
      <c r="K184" s="14">
        <v>187.02304224347429</v>
      </c>
      <c r="L184" s="14">
        <v>184.61372752858176</v>
      </c>
      <c r="M184" s="14">
        <v>182.02471171616452</v>
      </c>
      <c r="N184" s="14">
        <v>176.58687850459114</v>
      </c>
      <c r="O184" s="14">
        <v>173.43525925607213</v>
      </c>
      <c r="P184" s="14">
        <v>171.6509483583915</v>
      </c>
      <c r="Q184" s="14">
        <v>167.70242424277492</v>
      </c>
      <c r="R184" s="15">
        <v>163.54089882625286</v>
      </c>
      <c r="S184" s="14">
        <v>147.88000317731237</v>
      </c>
      <c r="T184" s="14">
        <v>148.00980397007123</v>
      </c>
      <c r="U184" s="14">
        <v>148.38320625062576</v>
      </c>
      <c r="V184" s="14">
        <v>153.84863963076768</v>
      </c>
      <c r="W184" s="14">
        <v>161.84508846908932</v>
      </c>
      <c r="X184" s="14">
        <v>171.81864938262504</v>
      </c>
      <c r="Y184" s="14">
        <v>184.17892487302407</v>
      </c>
      <c r="Z184" s="14">
        <v>182.86951687581322</v>
      </c>
      <c r="AA184" s="14">
        <v>189.57845785067883</v>
      </c>
      <c r="AB184" s="14">
        <v>187.02304224347429</v>
      </c>
      <c r="AC184" s="14">
        <v>184.61372752858176</v>
      </c>
      <c r="AD184" s="14">
        <v>182.02471171616452</v>
      </c>
      <c r="AE184" s="14">
        <v>176.58687850459114</v>
      </c>
      <c r="AF184" s="14">
        <v>173.43525925607213</v>
      </c>
      <c r="AG184" s="14">
        <v>171.6509483583915</v>
      </c>
      <c r="AH184" s="14">
        <v>167.70242424277492</v>
      </c>
      <c r="AI184" s="15">
        <v>163.54089882625286</v>
      </c>
      <c r="AJ184" s="14">
        <v>146.08769223077078</v>
      </c>
      <c r="AK184" s="14">
        <v>149.5346132828455</v>
      </c>
      <c r="AL184" s="14">
        <v>148.38320625062576</v>
      </c>
      <c r="AM184" s="14">
        <v>153.84863963076768</v>
      </c>
      <c r="AN184" s="14">
        <v>161.84508846908932</v>
      </c>
      <c r="AO184" s="14">
        <v>171.81864938262504</v>
      </c>
      <c r="AP184" s="14">
        <v>184.17892487302407</v>
      </c>
      <c r="AQ184" s="14">
        <v>182.86951687581322</v>
      </c>
      <c r="AR184" s="14">
        <v>167.70242424277492</v>
      </c>
      <c r="AS184" s="14">
        <v>163.54089882625286</v>
      </c>
    </row>
    <row r="185" spans="1:45" x14ac:dyDescent="0.35">
      <c r="A185" s="16">
        <v>5279.2906860000003</v>
      </c>
      <c r="B185" s="14">
        <v>149.35581219081789</v>
      </c>
      <c r="C185" s="14">
        <v>147.92890347597123</v>
      </c>
      <c r="D185" s="14">
        <v>148.3021057553045</v>
      </c>
      <c r="E185" s="14">
        <v>153.75783907620257</v>
      </c>
      <c r="F185" s="14">
        <v>161.74038782962967</v>
      </c>
      <c r="G185" s="14">
        <v>171.69814864666679</v>
      </c>
      <c r="H185" s="14">
        <v>184.03422398926298</v>
      </c>
      <c r="I185" s="14">
        <v>182.73831607450413</v>
      </c>
      <c r="J185" s="14">
        <v>189.44725704936977</v>
      </c>
      <c r="K185" s="14">
        <v>186.89434145743448</v>
      </c>
      <c r="L185" s="14">
        <v>184.48442673887746</v>
      </c>
      <c r="M185" s="14">
        <v>181.89521092523827</v>
      </c>
      <c r="N185" s="14">
        <v>176.45787771671871</v>
      </c>
      <c r="O185" s="14">
        <v>173.30665847064293</v>
      </c>
      <c r="P185" s="14">
        <v>171.52144756746526</v>
      </c>
      <c r="Q185" s="14">
        <v>167.57522346589596</v>
      </c>
      <c r="R185" s="15">
        <v>163.41609806403255</v>
      </c>
      <c r="S185" s="14">
        <v>147.80610272596564</v>
      </c>
      <c r="T185" s="14">
        <v>147.92890347597123</v>
      </c>
      <c r="U185" s="14">
        <v>148.3021057553045</v>
      </c>
      <c r="V185" s="14">
        <v>153.75783907620257</v>
      </c>
      <c r="W185" s="14">
        <v>161.74038782962967</v>
      </c>
      <c r="X185" s="14">
        <v>171.69814864666679</v>
      </c>
      <c r="Y185" s="14">
        <v>184.03422398926298</v>
      </c>
      <c r="Z185" s="14">
        <v>182.73831607450413</v>
      </c>
      <c r="AA185" s="14">
        <v>189.44725704936977</v>
      </c>
      <c r="AB185" s="14">
        <v>186.89434145743448</v>
      </c>
      <c r="AC185" s="14">
        <v>184.48442673887746</v>
      </c>
      <c r="AD185" s="14">
        <v>181.89521092523827</v>
      </c>
      <c r="AE185" s="14">
        <v>176.45787771671871</v>
      </c>
      <c r="AF185" s="14">
        <v>173.30665847064293</v>
      </c>
      <c r="AG185" s="14">
        <v>171.52144756746526</v>
      </c>
      <c r="AH185" s="14">
        <v>167.57522346589596</v>
      </c>
      <c r="AI185" s="15">
        <v>163.41609806403255</v>
      </c>
      <c r="AJ185" s="14">
        <v>146.0145917843098</v>
      </c>
      <c r="AK185" s="14">
        <v>149.45811281561885</v>
      </c>
      <c r="AL185" s="14">
        <v>148.3021057553045</v>
      </c>
      <c r="AM185" s="14">
        <v>153.75783907620257</v>
      </c>
      <c r="AN185" s="14">
        <v>161.74038782962967</v>
      </c>
      <c r="AO185" s="14">
        <v>171.69814864666679</v>
      </c>
      <c r="AP185" s="14">
        <v>184.03422398926298</v>
      </c>
      <c r="AQ185" s="14">
        <v>182.73831607450413</v>
      </c>
      <c r="AR185" s="14">
        <v>167.57522346589596</v>
      </c>
      <c r="AS185" s="14">
        <v>163.41609806403255</v>
      </c>
    </row>
    <row r="186" spans="1:45" x14ac:dyDescent="0.35">
      <c r="A186" s="16">
        <v>5302.01505</v>
      </c>
      <c r="B186" s="14">
        <v>149.28621176573321</v>
      </c>
      <c r="C186" s="14">
        <v>147.85490302401314</v>
      </c>
      <c r="D186" s="14">
        <v>148.22790530212515</v>
      </c>
      <c r="E186" s="14">
        <v>153.67393856378013</v>
      </c>
      <c r="F186" s="14">
        <v>161.64248723170209</v>
      </c>
      <c r="G186" s="14">
        <v>171.58464795346114</v>
      </c>
      <c r="H186" s="14">
        <v>183.89622314642261</v>
      </c>
      <c r="I186" s="14">
        <v>182.61371531350443</v>
      </c>
      <c r="J186" s="14">
        <v>189.32245628714881</v>
      </c>
      <c r="K186" s="14">
        <v>186.77224071170403</v>
      </c>
      <c r="L186" s="14">
        <v>184.3616259888712</v>
      </c>
      <c r="M186" s="14">
        <v>181.77231017462137</v>
      </c>
      <c r="N186" s="14">
        <v>176.33557696976632</v>
      </c>
      <c r="O186" s="14">
        <v>173.1847577261338</v>
      </c>
      <c r="P186" s="14">
        <v>171.39844681623774</v>
      </c>
      <c r="Q186" s="14">
        <v>167.45472272993774</v>
      </c>
      <c r="R186" s="15">
        <v>163.29779734151032</v>
      </c>
      <c r="S186" s="14">
        <v>147.73890231553892</v>
      </c>
      <c r="T186" s="14">
        <v>147.85490302401314</v>
      </c>
      <c r="U186" s="14">
        <v>148.22790530212515</v>
      </c>
      <c r="V186" s="14">
        <v>153.67393856378013</v>
      </c>
      <c r="W186" s="14">
        <v>161.64248723170209</v>
      </c>
      <c r="X186" s="14">
        <v>171.58464795346114</v>
      </c>
      <c r="Y186" s="14">
        <v>183.89622314642261</v>
      </c>
      <c r="Z186" s="14">
        <v>182.61371531350443</v>
      </c>
      <c r="AA186" s="14">
        <v>189.32245628714881</v>
      </c>
      <c r="AB186" s="14">
        <v>186.77224071170403</v>
      </c>
      <c r="AC186" s="14">
        <v>184.3616259888712</v>
      </c>
      <c r="AD186" s="14">
        <v>181.77231017462137</v>
      </c>
      <c r="AE186" s="14">
        <v>176.33557696976632</v>
      </c>
      <c r="AF186" s="14">
        <v>173.1847577261338</v>
      </c>
      <c r="AG186" s="14">
        <v>171.39844681623774</v>
      </c>
      <c r="AH186" s="14">
        <v>167.45472272993774</v>
      </c>
      <c r="AI186" s="15">
        <v>163.29779734151032</v>
      </c>
      <c r="AJ186" s="14">
        <v>145.94799137754754</v>
      </c>
      <c r="AK186" s="14">
        <v>149.38851239053417</v>
      </c>
      <c r="AL186" s="14">
        <v>148.22790530212515</v>
      </c>
      <c r="AM186" s="14">
        <v>153.67393856378013</v>
      </c>
      <c r="AN186" s="14">
        <v>161.64248723170209</v>
      </c>
      <c r="AO186" s="14">
        <v>171.58464795346114</v>
      </c>
      <c r="AP186" s="14">
        <v>183.89622314642261</v>
      </c>
      <c r="AQ186" s="14">
        <v>182.61371531350443</v>
      </c>
      <c r="AR186" s="14">
        <v>167.45472272993774</v>
      </c>
      <c r="AS186" s="14">
        <v>163.29779734151032</v>
      </c>
    </row>
    <row r="187" spans="1:45" x14ac:dyDescent="0.35">
      <c r="A187" s="16">
        <v>5324.7363660000001</v>
      </c>
      <c r="B187" s="14">
        <v>149.2233113815692</v>
      </c>
      <c r="C187" s="14">
        <v>147.78770261358642</v>
      </c>
      <c r="D187" s="14">
        <v>148.16040488986656</v>
      </c>
      <c r="E187" s="14">
        <v>153.59683809288902</v>
      </c>
      <c r="F187" s="14">
        <v>161.55148667591575</v>
      </c>
      <c r="G187" s="14">
        <v>171.47814730300874</v>
      </c>
      <c r="H187" s="14">
        <v>183.76492234450291</v>
      </c>
      <c r="I187" s="14">
        <v>182.49551459159352</v>
      </c>
      <c r="J187" s="14">
        <v>189.20425556523787</v>
      </c>
      <c r="K187" s="14">
        <v>186.65664000567233</v>
      </c>
      <c r="L187" s="14">
        <v>184.24552527978634</v>
      </c>
      <c r="M187" s="14">
        <v>181.65600946431525</v>
      </c>
      <c r="N187" s="14">
        <v>176.21977626251336</v>
      </c>
      <c r="O187" s="14">
        <v>173.06935702132404</v>
      </c>
      <c r="P187" s="14">
        <v>171.28204610532029</v>
      </c>
      <c r="Q187" s="14">
        <v>167.34062203306758</v>
      </c>
      <c r="R187" s="15">
        <v>163.18589665807684</v>
      </c>
      <c r="S187" s="14">
        <v>147.67820194481092</v>
      </c>
      <c r="T187" s="14">
        <v>147.78770261358642</v>
      </c>
      <c r="U187" s="14">
        <v>148.16040488986656</v>
      </c>
      <c r="V187" s="14">
        <v>153.59683809288902</v>
      </c>
      <c r="W187" s="14">
        <v>161.55148667591575</v>
      </c>
      <c r="X187" s="14">
        <v>171.47814730300874</v>
      </c>
      <c r="Y187" s="14">
        <v>183.76492234450291</v>
      </c>
      <c r="Z187" s="14">
        <v>182.49551459159352</v>
      </c>
      <c r="AA187" s="14">
        <v>189.20425556523787</v>
      </c>
      <c r="AB187" s="14">
        <v>186.65664000567233</v>
      </c>
      <c r="AC187" s="14">
        <v>184.24552527978634</v>
      </c>
      <c r="AD187" s="14">
        <v>181.65600946431525</v>
      </c>
      <c r="AE187" s="14">
        <v>176.21977626251336</v>
      </c>
      <c r="AF187" s="14">
        <v>173.06935702132404</v>
      </c>
      <c r="AG187" s="14">
        <v>171.28204610532029</v>
      </c>
      <c r="AH187" s="14">
        <v>167.34062203306758</v>
      </c>
      <c r="AI187" s="15">
        <v>163.18589665807684</v>
      </c>
      <c r="AJ187" s="14">
        <v>145.88799101109535</v>
      </c>
      <c r="AK187" s="14">
        <v>149.32571200698081</v>
      </c>
      <c r="AL187" s="14">
        <v>148.16040488986656</v>
      </c>
      <c r="AM187" s="14">
        <v>153.59683809288902</v>
      </c>
      <c r="AN187" s="14">
        <v>161.55148667591575</v>
      </c>
      <c r="AO187" s="14">
        <v>171.47814730300874</v>
      </c>
      <c r="AP187" s="14">
        <v>183.76492234450291</v>
      </c>
      <c r="AQ187" s="14">
        <v>182.49551459159352</v>
      </c>
      <c r="AR187" s="14">
        <v>167.34062203306758</v>
      </c>
      <c r="AS187" s="14">
        <v>163.18589665807684</v>
      </c>
    </row>
    <row r="188" spans="1:45" x14ac:dyDescent="0.35">
      <c r="A188" s="16">
        <v>5347.453872</v>
      </c>
      <c r="B188" s="14">
        <v>149.17091106153407</v>
      </c>
      <c r="C188" s="14">
        <v>147.73100226728926</v>
      </c>
      <c r="D188" s="14">
        <v>148.10340454173678</v>
      </c>
      <c r="E188" s="14">
        <v>153.53013768551614</v>
      </c>
      <c r="F188" s="14">
        <v>161.47088618364833</v>
      </c>
      <c r="G188" s="14">
        <v>171.38204671607392</v>
      </c>
      <c r="H188" s="14">
        <v>183.64392160549079</v>
      </c>
      <c r="I188" s="14">
        <v>182.38751393197956</v>
      </c>
      <c r="J188" s="14">
        <v>189.09595490379132</v>
      </c>
      <c r="K188" s="14">
        <v>186.55113936132699</v>
      </c>
      <c r="L188" s="14">
        <v>184.13942463177648</v>
      </c>
      <c r="M188" s="14">
        <v>181.54970881508342</v>
      </c>
      <c r="N188" s="14">
        <v>176.11397561633609</v>
      </c>
      <c r="O188" s="14">
        <v>172.9640563781999</v>
      </c>
      <c r="P188" s="14">
        <v>171.17564545547782</v>
      </c>
      <c r="Q188" s="14">
        <v>167.23652139727244</v>
      </c>
      <c r="R188" s="15">
        <v>163.08389603510778</v>
      </c>
      <c r="S188" s="14">
        <v>147.62760163576993</v>
      </c>
      <c r="T188" s="14">
        <v>147.73100226728926</v>
      </c>
      <c r="U188" s="14">
        <v>148.10340454173678</v>
      </c>
      <c r="V188" s="14">
        <v>153.53013768551614</v>
      </c>
      <c r="W188" s="14">
        <v>161.47088618364833</v>
      </c>
      <c r="X188" s="14">
        <v>171.38204671607392</v>
      </c>
      <c r="Y188" s="14">
        <v>183.64392160549079</v>
      </c>
      <c r="Z188" s="14">
        <v>182.38751393197956</v>
      </c>
      <c r="AA188" s="14">
        <v>189.09595490379132</v>
      </c>
      <c r="AB188" s="14">
        <v>186.55113936132699</v>
      </c>
      <c r="AC188" s="14">
        <v>184.13942463177648</v>
      </c>
      <c r="AD188" s="14">
        <v>181.54970881508342</v>
      </c>
      <c r="AE188" s="14">
        <v>176.11397561633609</v>
      </c>
      <c r="AF188" s="14">
        <v>172.9640563781999</v>
      </c>
      <c r="AG188" s="14">
        <v>171.17564545547782</v>
      </c>
      <c r="AH188" s="14">
        <v>167.23652139727244</v>
      </c>
      <c r="AI188" s="15">
        <v>163.08389603510778</v>
      </c>
      <c r="AJ188" s="14">
        <v>145.83789070510755</v>
      </c>
      <c r="AK188" s="14">
        <v>149.2733116869457</v>
      </c>
      <c r="AL188" s="14">
        <v>148.10340454173678</v>
      </c>
      <c r="AM188" s="14">
        <v>153.53013768551614</v>
      </c>
      <c r="AN188" s="14">
        <v>161.47088618364833</v>
      </c>
      <c r="AO188" s="14">
        <v>171.38204671607392</v>
      </c>
      <c r="AP188" s="14">
        <v>183.64392160549079</v>
      </c>
      <c r="AQ188" s="14">
        <v>182.38751393197956</v>
      </c>
      <c r="AR188" s="14">
        <v>167.23652139727244</v>
      </c>
      <c r="AS188" s="14">
        <v>163.08389603510778</v>
      </c>
    </row>
    <row r="189" spans="1:45" x14ac:dyDescent="0.35">
      <c r="A189" s="16">
        <v>5370.1675679999998</v>
      </c>
      <c r="B189" s="14">
        <v>149.1289108050172</v>
      </c>
      <c r="C189" s="14">
        <v>147.68470198451033</v>
      </c>
      <c r="D189" s="14">
        <v>148.05680425712529</v>
      </c>
      <c r="E189" s="14">
        <v>153.47383734166218</v>
      </c>
      <c r="F189" s="14">
        <v>161.40068575489914</v>
      </c>
      <c r="G189" s="14">
        <v>171.29644619326865</v>
      </c>
      <c r="H189" s="14">
        <v>183.53312092877567</v>
      </c>
      <c r="I189" s="14">
        <v>182.28951333344062</v>
      </c>
      <c r="J189" s="14">
        <v>188.99765430342049</v>
      </c>
      <c r="K189" s="14">
        <v>186.45563877805731</v>
      </c>
      <c r="L189" s="14">
        <v>184.04332404484165</v>
      </c>
      <c r="M189" s="14">
        <v>181.45350822753863</v>
      </c>
      <c r="N189" s="14">
        <v>176.01817503123382</v>
      </c>
      <c r="O189" s="14">
        <v>172.86865579554086</v>
      </c>
      <c r="P189" s="14">
        <v>171.07914486610045</v>
      </c>
      <c r="Q189" s="14">
        <v>167.14242082255302</v>
      </c>
      <c r="R189" s="15">
        <v>162.99179547260377</v>
      </c>
      <c r="S189" s="14">
        <v>147.58710138841462</v>
      </c>
      <c r="T189" s="14">
        <v>147.68470198451033</v>
      </c>
      <c r="U189" s="14">
        <v>148.05680425712529</v>
      </c>
      <c r="V189" s="14">
        <v>153.47383734166218</v>
      </c>
      <c r="W189" s="14">
        <v>161.40068575489914</v>
      </c>
      <c r="X189" s="14">
        <v>171.29644619326865</v>
      </c>
      <c r="Y189" s="14">
        <v>183.53312092877567</v>
      </c>
      <c r="Z189" s="14">
        <v>182.28951333344062</v>
      </c>
      <c r="AA189" s="14">
        <v>188.99765430342049</v>
      </c>
      <c r="AB189" s="14">
        <v>186.45563877805731</v>
      </c>
      <c r="AC189" s="14">
        <v>184.04332404484165</v>
      </c>
      <c r="AD189" s="14">
        <v>181.45350822753863</v>
      </c>
      <c r="AE189" s="14">
        <v>176.01817503123382</v>
      </c>
      <c r="AF189" s="14">
        <v>172.86865579554086</v>
      </c>
      <c r="AG189" s="14">
        <v>171.07914486610045</v>
      </c>
      <c r="AH189" s="14">
        <v>167.14242082255302</v>
      </c>
      <c r="AI189" s="15">
        <v>162.99179547260377</v>
      </c>
      <c r="AJ189" s="14">
        <v>145.7976904595848</v>
      </c>
      <c r="AK189" s="14">
        <v>149.23131143042949</v>
      </c>
      <c r="AL189" s="14">
        <v>148.05680425712529</v>
      </c>
      <c r="AM189" s="14">
        <v>153.47383734166218</v>
      </c>
      <c r="AN189" s="14">
        <v>161.40068575489914</v>
      </c>
      <c r="AO189" s="14">
        <v>171.29644619326865</v>
      </c>
      <c r="AP189" s="14">
        <v>183.53312092877567</v>
      </c>
      <c r="AQ189" s="14">
        <v>182.28951333344062</v>
      </c>
      <c r="AR189" s="14">
        <v>167.14242082255302</v>
      </c>
      <c r="AS189" s="14">
        <v>162.99179547260377</v>
      </c>
    </row>
    <row r="190" spans="1:45" x14ac:dyDescent="0.35">
      <c r="A190" s="16">
        <v>5392.8957420000006</v>
      </c>
      <c r="B190" s="14">
        <v>148.99030995851231</v>
      </c>
      <c r="C190" s="14">
        <v>147.54160111052144</v>
      </c>
      <c r="D190" s="14">
        <v>147.91340338130448</v>
      </c>
      <c r="E190" s="14">
        <v>153.32083640720822</v>
      </c>
      <c r="F190" s="14">
        <v>161.23368473494</v>
      </c>
      <c r="G190" s="14">
        <v>171.11434508108601</v>
      </c>
      <c r="H190" s="14">
        <v>183.32571966207186</v>
      </c>
      <c r="I190" s="14">
        <v>182.0958121504101</v>
      </c>
      <c r="J190" s="14">
        <v>188.80525312833024</v>
      </c>
      <c r="K190" s="14">
        <v>186.26693762556459</v>
      </c>
      <c r="L190" s="14">
        <v>183.85392288807384</v>
      </c>
      <c r="M190" s="14">
        <v>181.26390706954888</v>
      </c>
      <c r="N190" s="14">
        <v>175.82927387751988</v>
      </c>
      <c r="O190" s="14">
        <v>172.68025464488079</v>
      </c>
      <c r="P190" s="14">
        <v>170.88984370994328</v>
      </c>
      <c r="Q190" s="14">
        <v>166.95571968227577</v>
      </c>
      <c r="R190" s="15">
        <v>162.80809435064893</v>
      </c>
      <c r="S190" s="14">
        <v>147.45320057061502</v>
      </c>
      <c r="T190" s="14">
        <v>147.54160111052144</v>
      </c>
      <c r="U190" s="14">
        <v>147.91340338130448</v>
      </c>
      <c r="V190" s="14">
        <v>153.32083640720822</v>
      </c>
      <c r="W190" s="14">
        <v>161.23368473494</v>
      </c>
      <c r="X190" s="14">
        <v>171.11434508108601</v>
      </c>
      <c r="Y190" s="14">
        <v>183.32571966207186</v>
      </c>
      <c r="Z190" s="14">
        <v>182.0958121504101</v>
      </c>
      <c r="AA190" s="14">
        <v>188.80525312833024</v>
      </c>
      <c r="AB190" s="14">
        <v>186.26693762556459</v>
      </c>
      <c r="AC190" s="14">
        <v>183.85392288807384</v>
      </c>
      <c r="AD190" s="14">
        <v>181.26390706954888</v>
      </c>
      <c r="AE190" s="14">
        <v>175.82927387751988</v>
      </c>
      <c r="AF190" s="14">
        <v>172.68025464488079</v>
      </c>
      <c r="AG190" s="14">
        <v>170.88984370994328</v>
      </c>
      <c r="AH190" s="14">
        <v>166.95571968227577</v>
      </c>
      <c r="AI190" s="15">
        <v>162.80809435064893</v>
      </c>
      <c r="AJ190" s="14">
        <v>145.66518965033615</v>
      </c>
      <c r="AK190" s="14">
        <v>149.09261058331398</v>
      </c>
      <c r="AL190" s="14">
        <v>147.91340338130448</v>
      </c>
      <c r="AM190" s="14">
        <v>153.32083640720822</v>
      </c>
      <c r="AN190" s="14">
        <v>161.23368473494</v>
      </c>
      <c r="AO190" s="14">
        <v>171.11434508108601</v>
      </c>
      <c r="AP190" s="14">
        <v>183.32571966207186</v>
      </c>
      <c r="AQ190" s="14">
        <v>182.0958121504101</v>
      </c>
      <c r="AR190" s="14">
        <v>166.95571968227577</v>
      </c>
      <c r="AS190" s="14">
        <v>162.80809435064893</v>
      </c>
    </row>
    <row r="191" spans="1:45" x14ac:dyDescent="0.35">
      <c r="A191" s="16">
        <v>5415.6383939999996</v>
      </c>
      <c r="B191" s="14">
        <v>148.75490852079815</v>
      </c>
      <c r="C191" s="14">
        <v>147.30169964532263</v>
      </c>
      <c r="D191" s="14">
        <v>147.67340191549502</v>
      </c>
      <c r="E191" s="14">
        <v>153.07113488215631</v>
      </c>
      <c r="F191" s="14">
        <v>160.9696831225497</v>
      </c>
      <c r="G191" s="14">
        <v>170.83544337769342</v>
      </c>
      <c r="H191" s="14">
        <v>183.02161780476942</v>
      </c>
      <c r="I191" s="14">
        <v>181.80641038288863</v>
      </c>
      <c r="J191" s="14">
        <v>188.51895137974182</v>
      </c>
      <c r="K191" s="14">
        <v>185.98493590323895</v>
      </c>
      <c r="L191" s="14">
        <v>183.57122116147306</v>
      </c>
      <c r="M191" s="14">
        <v>180.98110534233678</v>
      </c>
      <c r="N191" s="14">
        <v>175.54717215458291</v>
      </c>
      <c r="O191" s="14">
        <v>172.39875292560828</v>
      </c>
      <c r="P191" s="14">
        <v>170.6075419857857</v>
      </c>
      <c r="Q191" s="14">
        <v>166.67641797644066</v>
      </c>
      <c r="R191" s="15">
        <v>162.53279266924329</v>
      </c>
      <c r="S191" s="14">
        <v>147.22589918237111</v>
      </c>
      <c r="T191" s="14">
        <v>147.30169964532263</v>
      </c>
      <c r="U191" s="14">
        <v>147.67340191549502</v>
      </c>
      <c r="V191" s="14">
        <v>153.07113488215631</v>
      </c>
      <c r="W191" s="14">
        <v>160.9696831225497</v>
      </c>
      <c r="X191" s="14">
        <v>170.83544337769342</v>
      </c>
      <c r="Y191" s="14">
        <v>183.02161780476942</v>
      </c>
      <c r="Z191" s="14">
        <v>181.80641038288863</v>
      </c>
      <c r="AA191" s="14">
        <v>188.51895137974182</v>
      </c>
      <c r="AB191" s="14">
        <v>185.98493590323895</v>
      </c>
      <c r="AC191" s="14">
        <v>183.57122116147306</v>
      </c>
      <c r="AD191" s="14">
        <v>180.98110534233678</v>
      </c>
      <c r="AE191" s="14">
        <v>175.54717215458291</v>
      </c>
      <c r="AF191" s="14">
        <v>172.39875292560828</v>
      </c>
      <c r="AG191" s="14">
        <v>170.6075419857857</v>
      </c>
      <c r="AH191" s="14">
        <v>166.67641797644066</v>
      </c>
      <c r="AI191" s="15">
        <v>162.53279266924329</v>
      </c>
      <c r="AJ191" s="14">
        <v>145.44028827675018</v>
      </c>
      <c r="AK191" s="14">
        <v>148.85720914559917</v>
      </c>
      <c r="AL191" s="14">
        <v>147.67340191549502</v>
      </c>
      <c r="AM191" s="14">
        <v>153.07113488215631</v>
      </c>
      <c r="AN191" s="14">
        <v>160.9696831225497</v>
      </c>
      <c r="AO191" s="14">
        <v>170.83544337769342</v>
      </c>
      <c r="AP191" s="14">
        <v>183.02161780476942</v>
      </c>
      <c r="AQ191" s="14">
        <v>181.80641038288863</v>
      </c>
      <c r="AR191" s="14">
        <v>166.67641797644066</v>
      </c>
      <c r="AS191" s="14">
        <v>162.53279266924329</v>
      </c>
    </row>
    <row r="192" spans="1:45" x14ac:dyDescent="0.35">
      <c r="A192" s="16">
        <v>5438.3650440000001</v>
      </c>
      <c r="B192" s="14">
        <v>148.62220771032753</v>
      </c>
      <c r="C192" s="14">
        <v>147.16449880736866</v>
      </c>
      <c r="D192" s="14">
        <v>147.53600107631911</v>
      </c>
      <c r="E192" s="14">
        <v>152.92413398434792</v>
      </c>
      <c r="F192" s="14">
        <v>160.80848213801485</v>
      </c>
      <c r="G192" s="14">
        <v>170.65894229971312</v>
      </c>
      <c r="H192" s="14">
        <v>182.82001657348991</v>
      </c>
      <c r="I192" s="14">
        <v>181.61820923344979</v>
      </c>
      <c r="J192" s="14">
        <v>188.33215023885325</v>
      </c>
      <c r="K192" s="14">
        <v>185.8018347849486</v>
      </c>
      <c r="L192" s="14">
        <v>183.38762004012884</v>
      </c>
      <c r="M192" s="14">
        <v>180.79730421977132</v>
      </c>
      <c r="N192" s="14">
        <v>175.36407103629256</v>
      </c>
      <c r="O192" s="14">
        <v>172.21605180976118</v>
      </c>
      <c r="P192" s="14">
        <v>170.42394086444151</v>
      </c>
      <c r="Q192" s="14">
        <v>166.49541687097567</v>
      </c>
      <c r="R192" s="15">
        <v>162.35479158210143</v>
      </c>
      <c r="S192" s="14">
        <v>147.09709839572068</v>
      </c>
      <c r="T192" s="14">
        <v>147.16449880736866</v>
      </c>
      <c r="U192" s="14">
        <v>147.53600107631911</v>
      </c>
      <c r="V192" s="14">
        <v>152.92413398434792</v>
      </c>
      <c r="W192" s="14">
        <v>160.80848213801485</v>
      </c>
      <c r="X192" s="14">
        <v>170.65894229971312</v>
      </c>
      <c r="Y192" s="14">
        <v>182.82001657348991</v>
      </c>
      <c r="Z192" s="14">
        <v>181.61820923344979</v>
      </c>
      <c r="AA192" s="14">
        <v>188.33215023885325</v>
      </c>
      <c r="AB192" s="14">
        <v>185.8018347849486</v>
      </c>
      <c r="AC192" s="14">
        <v>183.38762004012884</v>
      </c>
      <c r="AD192" s="14">
        <v>180.79730421977132</v>
      </c>
      <c r="AE192" s="14">
        <v>175.36407103629256</v>
      </c>
      <c r="AF192" s="14">
        <v>172.21605180976118</v>
      </c>
      <c r="AG192" s="14">
        <v>170.42394086444151</v>
      </c>
      <c r="AH192" s="14">
        <v>166.49541687097567</v>
      </c>
      <c r="AI192" s="15">
        <v>162.35479158210143</v>
      </c>
      <c r="AJ192" s="14">
        <v>145.31278749803934</v>
      </c>
      <c r="AK192" s="14">
        <v>148.72450833512849</v>
      </c>
      <c r="AL192" s="14">
        <v>147.53600107631911</v>
      </c>
      <c r="AM192" s="14">
        <v>152.92413398434792</v>
      </c>
      <c r="AN192" s="14">
        <v>160.80848213801485</v>
      </c>
      <c r="AO192" s="14">
        <v>170.65894229971312</v>
      </c>
      <c r="AP192" s="14">
        <v>182.82001657348991</v>
      </c>
      <c r="AQ192" s="14">
        <v>181.61820923344979</v>
      </c>
      <c r="AR192" s="14">
        <v>166.49541687097567</v>
      </c>
      <c r="AS192" s="14">
        <v>162.35479158210143</v>
      </c>
    </row>
    <row r="193" spans="1:45" x14ac:dyDescent="0.35">
      <c r="A193" s="16">
        <v>5461.0756920000003</v>
      </c>
      <c r="B193" s="14">
        <v>148.59230752771239</v>
      </c>
      <c r="C193" s="14">
        <v>147.1301985978802</v>
      </c>
      <c r="D193" s="14">
        <v>147.50140086499803</v>
      </c>
      <c r="E193" s="14">
        <v>152.87993371439507</v>
      </c>
      <c r="F193" s="14">
        <v>160.7502817825561</v>
      </c>
      <c r="G193" s="14">
        <v>170.58564185203019</v>
      </c>
      <c r="H193" s="14">
        <v>182.72101596884326</v>
      </c>
      <c r="I193" s="14">
        <v>181.53120870209426</v>
      </c>
      <c r="J193" s="14">
        <v>188.24504970688713</v>
      </c>
      <c r="K193" s="14">
        <v>185.71793427252618</v>
      </c>
      <c r="L193" s="14">
        <v>183.3031195240419</v>
      </c>
      <c r="M193" s="14">
        <v>180.71270370307374</v>
      </c>
      <c r="N193" s="14">
        <v>175.27987052203821</v>
      </c>
      <c r="O193" s="14">
        <v>172.13235129855997</v>
      </c>
      <c r="P193" s="14">
        <v>170.33904034591137</v>
      </c>
      <c r="Q193" s="14">
        <v>166.41291636710415</v>
      </c>
      <c r="R193" s="15">
        <v>162.27409108922336</v>
      </c>
      <c r="S193" s="14">
        <v>147.06819821921255</v>
      </c>
      <c r="T193" s="14">
        <v>147.1301985978802</v>
      </c>
      <c r="U193" s="14">
        <v>147.50140086499803</v>
      </c>
      <c r="V193" s="14">
        <v>152.87993371439507</v>
      </c>
      <c r="W193" s="14">
        <v>160.7502817825561</v>
      </c>
      <c r="X193" s="14">
        <v>170.58564185203019</v>
      </c>
      <c r="Y193" s="14">
        <v>182.72101596884326</v>
      </c>
      <c r="Z193" s="14">
        <v>181.53120870209426</v>
      </c>
      <c r="AA193" s="14">
        <v>188.24504970688713</v>
      </c>
      <c r="AB193" s="14">
        <v>185.71793427252618</v>
      </c>
      <c r="AC193" s="14">
        <v>183.3031195240419</v>
      </c>
      <c r="AD193" s="14">
        <v>180.71270370307374</v>
      </c>
      <c r="AE193" s="14">
        <v>175.27987052203821</v>
      </c>
      <c r="AF193" s="14">
        <v>172.13235129855997</v>
      </c>
      <c r="AG193" s="14">
        <v>170.33904034591137</v>
      </c>
      <c r="AH193" s="14">
        <v>166.41291636710415</v>
      </c>
      <c r="AI193" s="15">
        <v>162.27409108922336</v>
      </c>
      <c r="AJ193" s="14">
        <v>145.28418732336385</v>
      </c>
      <c r="AK193" s="14">
        <v>148.69460815251338</v>
      </c>
      <c r="AL193" s="14">
        <v>147.50140086499803</v>
      </c>
      <c r="AM193" s="14">
        <v>152.87993371439507</v>
      </c>
      <c r="AN193" s="14">
        <v>160.7502817825561</v>
      </c>
      <c r="AO193" s="14">
        <v>170.58564185203019</v>
      </c>
      <c r="AP193" s="14">
        <v>182.72101596884326</v>
      </c>
      <c r="AQ193" s="14">
        <v>181.53120870209426</v>
      </c>
      <c r="AR193" s="14">
        <v>166.41291636710415</v>
      </c>
      <c r="AS193" s="14">
        <v>162.27409108922336</v>
      </c>
    </row>
    <row r="194" spans="1:45" x14ac:dyDescent="0.35">
      <c r="A194" s="16">
        <v>5483.7878640000008</v>
      </c>
      <c r="B194" s="14">
        <v>148.55500729990078</v>
      </c>
      <c r="C194" s="14">
        <v>147.08849834319588</v>
      </c>
      <c r="D194" s="14">
        <v>147.45950060909246</v>
      </c>
      <c r="E194" s="14">
        <v>152.82843339985632</v>
      </c>
      <c r="F194" s="14">
        <v>160.6847813825122</v>
      </c>
      <c r="G194" s="14">
        <v>170.50504135976277</v>
      </c>
      <c r="H194" s="14">
        <v>182.61451531839086</v>
      </c>
      <c r="I194" s="14">
        <v>181.43680812554226</v>
      </c>
      <c r="J194" s="14">
        <v>188.15054912972448</v>
      </c>
      <c r="K194" s="14">
        <v>185.62693371673984</v>
      </c>
      <c r="L194" s="14">
        <v>183.21161896520169</v>
      </c>
      <c r="M194" s="14">
        <v>180.62090314240166</v>
      </c>
      <c r="N194" s="14">
        <v>175.18856996441997</v>
      </c>
      <c r="O194" s="14">
        <v>172.04145074338496</v>
      </c>
      <c r="P194" s="14">
        <v>170.24713978462862</v>
      </c>
      <c r="Q194" s="14">
        <v>166.3232158192574</v>
      </c>
      <c r="R194" s="15">
        <v>162.18639055359205</v>
      </c>
      <c r="S194" s="14">
        <v>147.03219799934124</v>
      </c>
      <c r="T194" s="14">
        <v>147.08849834319588</v>
      </c>
      <c r="U194" s="14">
        <v>147.45950060909246</v>
      </c>
      <c r="V194" s="14">
        <v>152.82843339985632</v>
      </c>
      <c r="W194" s="14">
        <v>160.6847813825122</v>
      </c>
      <c r="X194" s="14">
        <v>170.50504135976277</v>
      </c>
      <c r="Y194" s="14">
        <v>182.61451531839086</v>
      </c>
      <c r="Z194" s="14">
        <v>181.43680812554226</v>
      </c>
      <c r="AA194" s="14">
        <v>188.15054912972448</v>
      </c>
      <c r="AB194" s="14">
        <v>185.62693371673984</v>
      </c>
      <c r="AC194" s="14">
        <v>183.21161896520169</v>
      </c>
      <c r="AD194" s="14">
        <v>180.62090314240166</v>
      </c>
      <c r="AE194" s="14">
        <v>175.18856996441997</v>
      </c>
      <c r="AF194" s="14">
        <v>172.04145074338496</v>
      </c>
      <c r="AG194" s="14">
        <v>170.24713978462862</v>
      </c>
      <c r="AH194" s="14">
        <v>166.3232158192574</v>
      </c>
      <c r="AI194" s="15">
        <v>162.18639055359205</v>
      </c>
      <c r="AJ194" s="14">
        <v>145.24848710532441</v>
      </c>
      <c r="AK194" s="14">
        <v>148.65730792470245</v>
      </c>
      <c r="AL194" s="14">
        <v>147.45950060909246</v>
      </c>
      <c r="AM194" s="14">
        <v>152.82843339985632</v>
      </c>
      <c r="AN194" s="14">
        <v>160.6847813825122</v>
      </c>
      <c r="AO194" s="14">
        <v>170.50504135976277</v>
      </c>
      <c r="AP194" s="14">
        <v>182.61451531839086</v>
      </c>
      <c r="AQ194" s="14">
        <v>181.43680812554226</v>
      </c>
      <c r="AR194" s="14">
        <v>166.3232158192574</v>
      </c>
      <c r="AS194" s="14">
        <v>162.18639055359205</v>
      </c>
    </row>
    <row r="195" spans="1:45" x14ac:dyDescent="0.35">
      <c r="A195" s="16">
        <v>5506.5015600000006</v>
      </c>
      <c r="B195" s="14">
        <v>148.51030702689405</v>
      </c>
      <c r="C195" s="14">
        <v>147.03929804270444</v>
      </c>
      <c r="D195" s="14">
        <v>147.41020030799112</v>
      </c>
      <c r="E195" s="14">
        <v>152.76953304012244</v>
      </c>
      <c r="F195" s="14">
        <v>160.61178093666189</v>
      </c>
      <c r="G195" s="14">
        <v>170.4171408229102</v>
      </c>
      <c r="H195" s="14">
        <v>182.50051462213133</v>
      </c>
      <c r="I195" s="14">
        <v>181.3349075031845</v>
      </c>
      <c r="J195" s="14">
        <v>188.04884850858798</v>
      </c>
      <c r="K195" s="14">
        <v>185.52873311697962</v>
      </c>
      <c r="L195" s="14">
        <v>183.11281836177702</v>
      </c>
      <c r="M195" s="14">
        <v>180.52200253836634</v>
      </c>
      <c r="N195" s="14">
        <v>175.09006936282717</v>
      </c>
      <c r="O195" s="14">
        <v>171.94345014484605</v>
      </c>
      <c r="P195" s="14">
        <v>170.14803917937135</v>
      </c>
      <c r="Q195" s="14">
        <v>166.22651522865877</v>
      </c>
      <c r="R195" s="15">
        <v>162.09158997459753</v>
      </c>
      <c r="S195" s="14">
        <v>146.98899773549539</v>
      </c>
      <c r="T195" s="14">
        <v>147.03929804270444</v>
      </c>
      <c r="U195" s="14">
        <v>147.41020030799112</v>
      </c>
      <c r="V195" s="14">
        <v>152.76953304012244</v>
      </c>
      <c r="W195" s="14">
        <v>160.61178093666189</v>
      </c>
      <c r="X195" s="14">
        <v>170.4171408229102</v>
      </c>
      <c r="Y195" s="14">
        <v>182.50051462213133</v>
      </c>
      <c r="Z195" s="14">
        <v>181.3349075031845</v>
      </c>
      <c r="AA195" s="14">
        <v>188.04884850858798</v>
      </c>
      <c r="AB195" s="14">
        <v>185.52873311697962</v>
      </c>
      <c r="AC195" s="14">
        <v>183.11281836177702</v>
      </c>
      <c r="AD195" s="14">
        <v>180.52200253836634</v>
      </c>
      <c r="AE195" s="14">
        <v>175.09006936282717</v>
      </c>
      <c r="AF195" s="14">
        <v>171.94345014484605</v>
      </c>
      <c r="AG195" s="14">
        <v>170.14803917937135</v>
      </c>
      <c r="AH195" s="14">
        <v>166.22651522865877</v>
      </c>
      <c r="AI195" s="15">
        <v>162.09158997459753</v>
      </c>
      <c r="AJ195" s="14">
        <v>145.2056868439218</v>
      </c>
      <c r="AK195" s="14">
        <v>148.61260765169504</v>
      </c>
      <c r="AL195" s="14">
        <v>147.41020030799112</v>
      </c>
      <c r="AM195" s="14">
        <v>152.76953304012244</v>
      </c>
      <c r="AN195" s="14">
        <v>160.61178093666189</v>
      </c>
      <c r="AO195" s="14">
        <v>170.4171408229102</v>
      </c>
      <c r="AP195" s="14">
        <v>182.50051462213133</v>
      </c>
      <c r="AQ195" s="14">
        <v>181.3349075031845</v>
      </c>
      <c r="AR195" s="14">
        <v>166.22651522865877</v>
      </c>
      <c r="AS195" s="14">
        <v>162.09158997459753</v>
      </c>
    </row>
    <row r="196" spans="1:45" x14ac:dyDescent="0.35">
      <c r="A196" s="16">
        <v>5529.218304</v>
      </c>
      <c r="B196" s="14">
        <v>148.45830670930215</v>
      </c>
      <c r="C196" s="14">
        <v>146.98269769701793</v>
      </c>
      <c r="D196" s="14">
        <v>147.35359996230389</v>
      </c>
      <c r="E196" s="14">
        <v>152.70333263580343</v>
      </c>
      <c r="F196" s="14">
        <v>160.53148044622634</v>
      </c>
      <c r="G196" s="14">
        <v>170.32194024147245</v>
      </c>
      <c r="H196" s="14">
        <v>182.37921388128666</v>
      </c>
      <c r="I196" s="14">
        <v>181.22550683501962</v>
      </c>
      <c r="J196" s="14">
        <v>187.9398478428663</v>
      </c>
      <c r="K196" s="14">
        <v>185.42343247385551</v>
      </c>
      <c r="L196" s="14">
        <v>183.00711771621039</v>
      </c>
      <c r="M196" s="14">
        <v>180.41600189096712</v>
      </c>
      <c r="N196" s="14">
        <v>174.98466871909247</v>
      </c>
      <c r="O196" s="14">
        <v>171.83834950294388</v>
      </c>
      <c r="P196" s="14">
        <v>170.04193853136152</v>
      </c>
      <c r="Q196" s="14">
        <v>166.12281459530686</v>
      </c>
      <c r="R196" s="15">
        <v>161.98998935407167</v>
      </c>
      <c r="S196" s="14">
        <v>146.93889742950756</v>
      </c>
      <c r="T196" s="14">
        <v>146.98269769701793</v>
      </c>
      <c r="U196" s="14">
        <v>147.35359996230389</v>
      </c>
      <c r="V196" s="14">
        <v>152.70333263580343</v>
      </c>
      <c r="W196" s="14">
        <v>160.53148044622634</v>
      </c>
      <c r="X196" s="14">
        <v>170.32194024147245</v>
      </c>
      <c r="Y196" s="14">
        <v>182.37921388128666</v>
      </c>
      <c r="Z196" s="14">
        <v>181.22550683501962</v>
      </c>
      <c r="AA196" s="14">
        <v>187.9398478428663</v>
      </c>
      <c r="AB196" s="14">
        <v>185.42343247385551</v>
      </c>
      <c r="AC196" s="14">
        <v>183.00711771621039</v>
      </c>
      <c r="AD196" s="14">
        <v>180.41600189096712</v>
      </c>
      <c r="AE196" s="14">
        <v>174.98466871909247</v>
      </c>
      <c r="AF196" s="14">
        <v>171.83834950294388</v>
      </c>
      <c r="AG196" s="14">
        <v>170.04193853136152</v>
      </c>
      <c r="AH196" s="14">
        <v>166.12281459530686</v>
      </c>
      <c r="AI196" s="15">
        <v>161.98998935407167</v>
      </c>
      <c r="AJ196" s="14">
        <v>145.15608654098784</v>
      </c>
      <c r="AK196" s="14">
        <v>148.56060733410311</v>
      </c>
      <c r="AL196" s="14">
        <v>147.35359996230389</v>
      </c>
      <c r="AM196" s="14">
        <v>152.70333263580343</v>
      </c>
      <c r="AN196" s="14">
        <v>160.53148044622634</v>
      </c>
      <c r="AO196" s="14">
        <v>170.32194024147245</v>
      </c>
      <c r="AP196" s="14">
        <v>182.37921388128666</v>
      </c>
      <c r="AQ196" s="14">
        <v>181.22550683501962</v>
      </c>
      <c r="AR196" s="14">
        <v>166.12281459530686</v>
      </c>
      <c r="AS196" s="14">
        <v>161.98998935407167</v>
      </c>
    </row>
    <row r="197" spans="1:45" x14ac:dyDescent="0.35">
      <c r="A197" s="16">
        <v>5551.9380960000008</v>
      </c>
      <c r="B197" s="14">
        <v>148.39910634773571</v>
      </c>
      <c r="C197" s="14">
        <v>146.91879730674623</v>
      </c>
      <c r="D197" s="14">
        <v>147.28969957203216</v>
      </c>
      <c r="E197" s="14">
        <v>152.62993218750987</v>
      </c>
      <c r="F197" s="14">
        <v>160.44377991059503</v>
      </c>
      <c r="G197" s="14">
        <v>170.21943961544949</v>
      </c>
      <c r="H197" s="14">
        <v>182.25051309524687</v>
      </c>
      <c r="I197" s="14">
        <v>181.10880612226958</v>
      </c>
      <c r="J197" s="14">
        <v>187.82364713317011</v>
      </c>
      <c r="K197" s="14">
        <v>185.31123178859016</v>
      </c>
      <c r="L197" s="14">
        <v>182.89431702727984</v>
      </c>
      <c r="M197" s="14">
        <v>180.30300120081532</v>
      </c>
      <c r="N197" s="14">
        <v>174.87216803199451</v>
      </c>
      <c r="O197" s="14">
        <v>171.72634881889979</v>
      </c>
      <c r="P197" s="14">
        <v>169.92883784059904</v>
      </c>
      <c r="Q197" s="14">
        <v>166.01211391920236</v>
      </c>
      <c r="R197" s="15">
        <v>161.88148869140318</v>
      </c>
      <c r="S197" s="14">
        <v>146.88169708015656</v>
      </c>
      <c r="T197" s="14">
        <v>146.91879730674623</v>
      </c>
      <c r="U197" s="14">
        <v>147.28969957203216</v>
      </c>
      <c r="V197" s="14">
        <v>152.62993218750987</v>
      </c>
      <c r="W197" s="14">
        <v>160.44377991059503</v>
      </c>
      <c r="X197" s="14">
        <v>170.21943961544949</v>
      </c>
      <c r="Y197" s="14">
        <v>182.25051309524687</v>
      </c>
      <c r="Z197" s="14">
        <v>181.10880612226958</v>
      </c>
      <c r="AA197" s="14">
        <v>187.82364713317011</v>
      </c>
      <c r="AB197" s="14">
        <v>185.31123178859016</v>
      </c>
      <c r="AC197" s="14">
        <v>182.89431702727984</v>
      </c>
      <c r="AD197" s="14">
        <v>180.30300120081532</v>
      </c>
      <c r="AE197" s="14">
        <v>174.87216803199451</v>
      </c>
      <c r="AF197" s="14">
        <v>171.72634881889979</v>
      </c>
      <c r="AG197" s="14">
        <v>169.92883784059904</v>
      </c>
      <c r="AH197" s="14">
        <v>166.01211391920236</v>
      </c>
      <c r="AI197" s="15">
        <v>161.88148869140318</v>
      </c>
      <c r="AJ197" s="14">
        <v>145.09938619469068</v>
      </c>
      <c r="AK197" s="14">
        <v>148.5014069725367</v>
      </c>
      <c r="AL197" s="14">
        <v>147.28969957203216</v>
      </c>
      <c r="AM197" s="14">
        <v>152.62993218750987</v>
      </c>
      <c r="AN197" s="14">
        <v>160.44377991059503</v>
      </c>
      <c r="AO197" s="14">
        <v>170.21943961544949</v>
      </c>
      <c r="AP197" s="14">
        <v>182.25051309524687</v>
      </c>
      <c r="AQ197" s="14">
        <v>181.10880612226958</v>
      </c>
      <c r="AR197" s="14">
        <v>166.01211391920236</v>
      </c>
      <c r="AS197" s="14">
        <v>161.88148869140318</v>
      </c>
    </row>
    <row r="198" spans="1:45" x14ac:dyDescent="0.35">
      <c r="A198" s="16">
        <v>5574.6556020000007</v>
      </c>
      <c r="B198" s="14">
        <v>148.34460601487453</v>
      </c>
      <c r="C198" s="14">
        <v>146.85959694517976</v>
      </c>
      <c r="D198" s="14">
        <v>147.23059921107705</v>
      </c>
      <c r="E198" s="14">
        <v>152.56123176792227</v>
      </c>
      <c r="F198" s="14">
        <v>160.3608794042803</v>
      </c>
      <c r="G198" s="14">
        <v>170.12173901874317</v>
      </c>
      <c r="H198" s="14">
        <v>182.12651233791163</v>
      </c>
      <c r="I198" s="14">
        <v>180.99650543639288</v>
      </c>
      <c r="J198" s="14">
        <v>187.71184645034728</v>
      </c>
      <c r="K198" s="14">
        <v>185.20343113019746</v>
      </c>
      <c r="L198" s="14">
        <v>182.78611636644465</v>
      </c>
      <c r="M198" s="14">
        <v>180.19460053875815</v>
      </c>
      <c r="N198" s="14">
        <v>174.76426737299116</v>
      </c>
      <c r="O198" s="14">
        <v>171.61884816233902</v>
      </c>
      <c r="P198" s="14">
        <v>169.82033717793124</v>
      </c>
      <c r="Q198" s="14">
        <v>165.90601327119251</v>
      </c>
      <c r="R198" s="15">
        <v>161.77748805621934</v>
      </c>
      <c r="S198" s="14">
        <v>146.82909675890016</v>
      </c>
      <c r="T198" s="14">
        <v>146.85959694517976</v>
      </c>
      <c r="U198" s="14">
        <v>147.23059921107705</v>
      </c>
      <c r="V198" s="14">
        <v>152.56123176792227</v>
      </c>
      <c r="W198" s="14">
        <v>160.3608794042803</v>
      </c>
      <c r="X198" s="14">
        <v>170.12173901874317</v>
      </c>
      <c r="Y198" s="14">
        <v>182.12651233791163</v>
      </c>
      <c r="Z198" s="14">
        <v>180.99650543639288</v>
      </c>
      <c r="AA198" s="14">
        <v>187.71184645034728</v>
      </c>
      <c r="AB198" s="14">
        <v>185.20343113019746</v>
      </c>
      <c r="AC198" s="14">
        <v>182.78611636644465</v>
      </c>
      <c r="AD198" s="14">
        <v>180.19460053875815</v>
      </c>
      <c r="AE198" s="14">
        <v>174.76426737299116</v>
      </c>
      <c r="AF198" s="14">
        <v>171.61884816233902</v>
      </c>
      <c r="AG198" s="14">
        <v>169.82033717793124</v>
      </c>
      <c r="AH198" s="14">
        <v>165.90601327119251</v>
      </c>
      <c r="AI198" s="15">
        <v>161.77748805621934</v>
      </c>
      <c r="AJ198" s="14">
        <v>145.04728587648813</v>
      </c>
      <c r="AK198" s="14">
        <v>148.44690663967623</v>
      </c>
      <c r="AL198" s="14">
        <v>147.23059921107705</v>
      </c>
      <c r="AM198" s="14">
        <v>152.56123176792227</v>
      </c>
      <c r="AN198" s="14">
        <v>160.3608794042803</v>
      </c>
      <c r="AO198" s="14">
        <v>170.12173901874317</v>
      </c>
      <c r="AP198" s="14">
        <v>182.12651233791163</v>
      </c>
      <c r="AQ198" s="14">
        <v>180.99650543639288</v>
      </c>
      <c r="AR198" s="14">
        <v>165.90601327119251</v>
      </c>
      <c r="AS198" s="14">
        <v>161.77748805621934</v>
      </c>
    </row>
    <row r="199" spans="1:45" x14ac:dyDescent="0.35">
      <c r="A199" s="16">
        <v>5597.3708219999999</v>
      </c>
      <c r="B199" s="14">
        <v>148.29480571071934</v>
      </c>
      <c r="C199" s="14">
        <v>146.80499661170865</v>
      </c>
      <c r="D199" s="14">
        <v>147.17629887943784</v>
      </c>
      <c r="E199" s="14">
        <v>152.49723137703992</v>
      </c>
      <c r="F199" s="14">
        <v>160.28267892667083</v>
      </c>
      <c r="G199" s="14">
        <v>170.02883845135273</v>
      </c>
      <c r="H199" s="14">
        <v>182.00721160928236</v>
      </c>
      <c r="I199" s="14">
        <v>180.88870477800086</v>
      </c>
      <c r="J199" s="14">
        <v>187.60454579500845</v>
      </c>
      <c r="K199" s="14">
        <v>185.10033050051004</v>
      </c>
      <c r="L199" s="14">
        <v>182.68251573370335</v>
      </c>
      <c r="M199" s="14">
        <v>180.0907999047956</v>
      </c>
      <c r="N199" s="14">
        <v>174.66086674147186</v>
      </c>
      <c r="O199" s="14">
        <v>171.51594753387354</v>
      </c>
      <c r="P199" s="14">
        <v>169.71643654335739</v>
      </c>
      <c r="Q199" s="14">
        <v>165.80441265066665</v>
      </c>
      <c r="R199" s="15">
        <v>161.67798744851956</v>
      </c>
      <c r="S199" s="14">
        <v>146.78099646512777</v>
      </c>
      <c r="T199" s="14">
        <v>146.80499661170865</v>
      </c>
      <c r="U199" s="14">
        <v>147.17629887943784</v>
      </c>
      <c r="V199" s="14">
        <v>152.49723137703992</v>
      </c>
      <c r="W199" s="14">
        <v>160.28267892667083</v>
      </c>
      <c r="X199" s="14">
        <v>170.02883845135273</v>
      </c>
      <c r="Y199" s="14">
        <v>182.00721160928236</v>
      </c>
      <c r="Z199" s="14">
        <v>180.88870477800086</v>
      </c>
      <c r="AA199" s="14">
        <v>187.60454579500845</v>
      </c>
      <c r="AB199" s="14">
        <v>185.10033050051004</v>
      </c>
      <c r="AC199" s="14">
        <v>182.68251573370335</v>
      </c>
      <c r="AD199" s="14">
        <v>180.0907999047956</v>
      </c>
      <c r="AE199" s="14">
        <v>174.66086674147186</v>
      </c>
      <c r="AF199" s="14">
        <v>171.51594753387354</v>
      </c>
      <c r="AG199" s="14">
        <v>169.71643654335739</v>
      </c>
      <c r="AH199" s="14">
        <v>165.80441265066665</v>
      </c>
      <c r="AI199" s="15">
        <v>161.67798744851956</v>
      </c>
      <c r="AJ199" s="14">
        <v>144.99978558637955</v>
      </c>
      <c r="AK199" s="14">
        <v>148.39710633552031</v>
      </c>
      <c r="AL199" s="14">
        <v>147.17629887943784</v>
      </c>
      <c r="AM199" s="14">
        <v>152.49723137703992</v>
      </c>
      <c r="AN199" s="14">
        <v>160.28267892667083</v>
      </c>
      <c r="AO199" s="14">
        <v>170.02883845135273</v>
      </c>
      <c r="AP199" s="14">
        <v>182.00721160928236</v>
      </c>
      <c r="AQ199" s="14">
        <v>180.88870477800086</v>
      </c>
      <c r="AR199" s="14">
        <v>165.80441265066665</v>
      </c>
      <c r="AS199" s="14">
        <v>161.67798744851956</v>
      </c>
    </row>
    <row r="200" spans="1:45" x14ac:dyDescent="0.35">
      <c r="A200" s="16">
        <v>5620.1561460000003</v>
      </c>
      <c r="B200" s="14">
        <v>148.05890426995131</v>
      </c>
      <c r="C200" s="14">
        <v>146.56409514040212</v>
      </c>
      <c r="D200" s="14">
        <v>146.93349739652717</v>
      </c>
      <c r="E200" s="14">
        <v>152.24692984832285</v>
      </c>
      <c r="F200" s="14">
        <v>160.01787730939472</v>
      </c>
      <c r="G200" s="14">
        <v>169.74983674734949</v>
      </c>
      <c r="H200" s="14">
        <v>181.70140974159708</v>
      </c>
      <c r="I200" s="14">
        <v>180.59620299154565</v>
      </c>
      <c r="J200" s="14">
        <v>187.31554402992953</v>
      </c>
      <c r="K200" s="14">
        <v>184.81722877146606</v>
      </c>
      <c r="L200" s="14">
        <v>182.39901400221612</v>
      </c>
      <c r="M200" s="14">
        <v>179.80709817208708</v>
      </c>
      <c r="N200" s="14">
        <v>174.37796501364912</v>
      </c>
      <c r="O200" s="14">
        <v>171.23364580971528</v>
      </c>
      <c r="P200" s="14">
        <v>169.43323481370274</v>
      </c>
      <c r="Q200" s="14">
        <v>165.52431093994511</v>
      </c>
      <c r="R200" s="15">
        <v>161.40198576283876</v>
      </c>
      <c r="S200" s="14">
        <v>146.55309507321937</v>
      </c>
      <c r="T200" s="14">
        <v>146.56409514040212</v>
      </c>
      <c r="U200" s="14">
        <v>146.93349739652717</v>
      </c>
      <c r="V200" s="14">
        <v>152.24692984832285</v>
      </c>
      <c r="W200" s="14">
        <v>160.01787730939472</v>
      </c>
      <c r="X200" s="14">
        <v>169.74983674734949</v>
      </c>
      <c r="Y200" s="14">
        <v>181.70140974159708</v>
      </c>
      <c r="Z200" s="14">
        <v>180.59620299154565</v>
      </c>
      <c r="AA200" s="14">
        <v>187.31554402992953</v>
      </c>
      <c r="AB200" s="14">
        <v>184.81722877146606</v>
      </c>
      <c r="AC200" s="14">
        <v>182.39901400221612</v>
      </c>
      <c r="AD200" s="14">
        <v>179.80709817208708</v>
      </c>
      <c r="AE200" s="14">
        <v>174.37796501364912</v>
      </c>
      <c r="AF200" s="14">
        <v>171.23364580971528</v>
      </c>
      <c r="AG200" s="14">
        <v>169.43323481370274</v>
      </c>
      <c r="AH200" s="14">
        <v>165.52431093994511</v>
      </c>
      <c r="AI200" s="15">
        <v>161.40198576283876</v>
      </c>
      <c r="AJ200" s="14">
        <v>144.77418420851913</v>
      </c>
      <c r="AK200" s="14">
        <v>148.1612048947523</v>
      </c>
      <c r="AL200" s="14">
        <v>146.93349739652717</v>
      </c>
      <c r="AM200" s="14">
        <v>152.24692984832285</v>
      </c>
      <c r="AN200" s="14">
        <v>160.01787730939472</v>
      </c>
      <c r="AO200" s="14">
        <v>169.74983674734949</v>
      </c>
      <c r="AP200" s="14">
        <v>181.70140974159708</v>
      </c>
      <c r="AQ200" s="14">
        <v>180.59620299154565</v>
      </c>
      <c r="AR200" s="14">
        <v>165.52431093994511</v>
      </c>
      <c r="AS200" s="14">
        <v>161.40198576283876</v>
      </c>
    </row>
    <row r="201" spans="1:45" x14ac:dyDescent="0.35">
      <c r="A201" s="16">
        <v>5643.011574000001</v>
      </c>
      <c r="B201" s="14">
        <v>147.63670169134858</v>
      </c>
      <c r="C201" s="14">
        <v>146.13709253248345</v>
      </c>
      <c r="D201" s="14">
        <v>146.50479477822503</v>
      </c>
      <c r="E201" s="14">
        <v>151.81022718116037</v>
      </c>
      <c r="F201" s="14">
        <v>159.5664745524513</v>
      </c>
      <c r="G201" s="14">
        <v>169.28453390551152</v>
      </c>
      <c r="H201" s="14">
        <v>181.20910673485582</v>
      </c>
      <c r="I201" s="14">
        <v>180.11900007702786</v>
      </c>
      <c r="J201" s="14">
        <v>186.84504115633246</v>
      </c>
      <c r="K201" s="14">
        <v>184.35442594489734</v>
      </c>
      <c r="L201" s="14">
        <v>181.93571117259361</v>
      </c>
      <c r="M201" s="14">
        <v>179.34369534185322</v>
      </c>
      <c r="N201" s="14">
        <v>173.91556218952297</v>
      </c>
      <c r="O201" s="14">
        <v>170.77204299047557</v>
      </c>
      <c r="P201" s="14">
        <v>168.97113199140918</v>
      </c>
      <c r="Q201" s="14">
        <v>165.06590814024909</v>
      </c>
      <c r="R201" s="15">
        <v>160.9495829997883</v>
      </c>
      <c r="S201" s="14">
        <v>146.14549258378696</v>
      </c>
      <c r="T201" s="14">
        <v>146.13709253248345</v>
      </c>
      <c r="U201" s="14">
        <v>146.50479477822503</v>
      </c>
      <c r="V201" s="14">
        <v>151.81022718116037</v>
      </c>
      <c r="W201" s="14">
        <v>159.5664745524513</v>
      </c>
      <c r="X201" s="14">
        <v>169.28453390551152</v>
      </c>
      <c r="Y201" s="14">
        <v>181.20910673485582</v>
      </c>
      <c r="Z201" s="14">
        <v>180.11900007702786</v>
      </c>
      <c r="AA201" s="14">
        <v>186.84504115633246</v>
      </c>
      <c r="AB201" s="14">
        <v>184.35442594489734</v>
      </c>
      <c r="AC201" s="14">
        <v>181.93571117259361</v>
      </c>
      <c r="AD201" s="14">
        <v>179.34369534185322</v>
      </c>
      <c r="AE201" s="14">
        <v>173.91556218952297</v>
      </c>
      <c r="AF201" s="14">
        <v>170.77204299047557</v>
      </c>
      <c r="AG201" s="14">
        <v>168.97113199140918</v>
      </c>
      <c r="AH201" s="14">
        <v>165.06590814024909</v>
      </c>
      <c r="AI201" s="15">
        <v>160.9495829997883</v>
      </c>
      <c r="AJ201" s="14">
        <v>144.3705817435162</v>
      </c>
      <c r="AK201" s="14">
        <v>147.73900231614954</v>
      </c>
      <c r="AL201" s="14">
        <v>146.50479477822503</v>
      </c>
      <c r="AM201" s="14">
        <v>151.81022718116037</v>
      </c>
      <c r="AN201" s="14">
        <v>159.5664745524513</v>
      </c>
      <c r="AO201" s="14">
        <v>169.28453390551152</v>
      </c>
      <c r="AP201" s="14">
        <v>181.20910673485582</v>
      </c>
      <c r="AQ201" s="14">
        <v>180.11900007702786</v>
      </c>
      <c r="AR201" s="14">
        <v>165.06590814024909</v>
      </c>
      <c r="AS201" s="14">
        <v>160.9495829997883</v>
      </c>
    </row>
    <row r="202" spans="1:45" x14ac:dyDescent="0.35">
      <c r="A202" s="16">
        <v>5665.8014700000003</v>
      </c>
      <c r="B202" s="14">
        <v>147.38990018400779</v>
      </c>
      <c r="C202" s="14">
        <v>145.88519099399417</v>
      </c>
      <c r="D202" s="14">
        <v>146.25309324095772</v>
      </c>
      <c r="E202" s="14">
        <v>151.54882558464993</v>
      </c>
      <c r="F202" s="14">
        <v>159.29037286615986</v>
      </c>
      <c r="G202" s="14">
        <v>168.99413213188237</v>
      </c>
      <c r="H202" s="14">
        <v>180.89230479998781</v>
      </c>
      <c r="I202" s="14">
        <v>179.81509822094739</v>
      </c>
      <c r="J202" s="14">
        <v>186.54503932407144</v>
      </c>
      <c r="K202" s="14">
        <v>184.06072415111313</v>
      </c>
      <c r="L202" s="14">
        <v>181.64160937636615</v>
      </c>
      <c r="M202" s="14">
        <v>179.04939354440455</v>
      </c>
      <c r="N202" s="14">
        <v>173.62206039696071</v>
      </c>
      <c r="O202" s="14">
        <v>170.47914120157714</v>
      </c>
      <c r="P202" s="14">
        <v>168.67743019762497</v>
      </c>
      <c r="Q202" s="14">
        <v>164.775206364788</v>
      </c>
      <c r="R202" s="15">
        <v>160.66328125119992</v>
      </c>
      <c r="S202" s="14">
        <v>145.90539111736689</v>
      </c>
      <c r="T202" s="14">
        <v>145.88519099399417</v>
      </c>
      <c r="U202" s="14">
        <v>146.25309324095772</v>
      </c>
      <c r="V202" s="14">
        <v>151.54882558464993</v>
      </c>
      <c r="W202" s="14">
        <v>159.29037286615986</v>
      </c>
      <c r="X202" s="14">
        <v>168.99413213188237</v>
      </c>
      <c r="Y202" s="14">
        <v>180.89230479998781</v>
      </c>
      <c r="Z202" s="14">
        <v>179.81509822094739</v>
      </c>
      <c r="AA202" s="14">
        <v>186.54503932407144</v>
      </c>
      <c r="AB202" s="14">
        <v>184.06072415111313</v>
      </c>
      <c r="AC202" s="14">
        <v>181.64160937636615</v>
      </c>
      <c r="AD202" s="14">
        <v>179.04939354440455</v>
      </c>
      <c r="AE202" s="14">
        <v>173.62206039696071</v>
      </c>
      <c r="AF202" s="14">
        <v>170.47914120157714</v>
      </c>
      <c r="AG202" s="14">
        <v>168.67743019762497</v>
      </c>
      <c r="AH202" s="14">
        <v>164.775206364788</v>
      </c>
      <c r="AI202" s="15">
        <v>160.66328125119992</v>
      </c>
      <c r="AJ202" s="14">
        <v>144.13308029297602</v>
      </c>
      <c r="AK202" s="14">
        <v>147.49210080819813</v>
      </c>
      <c r="AL202" s="14">
        <v>146.25309324095772</v>
      </c>
      <c r="AM202" s="14">
        <v>151.54882558464993</v>
      </c>
      <c r="AN202" s="14">
        <v>159.29037286615986</v>
      </c>
      <c r="AO202" s="14">
        <v>168.99413213188237</v>
      </c>
      <c r="AP202" s="14">
        <v>180.89230479998781</v>
      </c>
      <c r="AQ202" s="14">
        <v>179.81509822094739</v>
      </c>
      <c r="AR202" s="14">
        <v>164.775206364788</v>
      </c>
      <c r="AS202" s="14">
        <v>160.66328125119992</v>
      </c>
    </row>
    <row r="203" spans="1:45" x14ac:dyDescent="0.35">
      <c r="A203" s="16">
        <v>5688.5258340000009</v>
      </c>
      <c r="B203" s="14">
        <v>147.31859974854027</v>
      </c>
      <c r="C203" s="14">
        <v>145.80899052860016</v>
      </c>
      <c r="D203" s="14">
        <v>146.17719277739556</v>
      </c>
      <c r="E203" s="14">
        <v>151.46332506245531</v>
      </c>
      <c r="F203" s="14">
        <v>159.19047225601685</v>
      </c>
      <c r="G203" s="14">
        <v>168.87973143318032</v>
      </c>
      <c r="H203" s="14">
        <v>180.75110393760303</v>
      </c>
      <c r="I203" s="14">
        <v>179.6850974269673</v>
      </c>
      <c r="J203" s="14">
        <v>186.41603853619836</v>
      </c>
      <c r="K203" s="14">
        <v>183.93662339316728</v>
      </c>
      <c r="L203" s="14">
        <v>181.51720861658842</v>
      </c>
      <c r="M203" s="14">
        <v>178.92469278279486</v>
      </c>
      <c r="N203" s="14">
        <v>173.49785963840421</v>
      </c>
      <c r="O203" s="14">
        <v>170.35544044607516</v>
      </c>
      <c r="P203" s="14">
        <v>168.55262943540401</v>
      </c>
      <c r="Q203" s="14">
        <v>164.65300561844694</v>
      </c>
      <c r="R203" s="15">
        <v>160.54338051890613</v>
      </c>
      <c r="S203" s="14">
        <v>145.83649069655729</v>
      </c>
      <c r="T203" s="14">
        <v>145.80899052860016</v>
      </c>
      <c r="U203" s="14">
        <v>146.17719277739556</v>
      </c>
      <c r="V203" s="14">
        <v>151.46332506245531</v>
      </c>
      <c r="W203" s="14">
        <v>159.19047225601685</v>
      </c>
      <c r="X203" s="14">
        <v>168.87973143318032</v>
      </c>
      <c r="Y203" s="14">
        <v>180.75110393760303</v>
      </c>
      <c r="Z203" s="14">
        <v>179.6850974269673</v>
      </c>
      <c r="AA203" s="14">
        <v>186.41603853619836</v>
      </c>
      <c r="AB203" s="14">
        <v>183.93662339316728</v>
      </c>
      <c r="AC203" s="14">
        <v>181.51720861658842</v>
      </c>
      <c r="AD203" s="14">
        <v>178.92469278279486</v>
      </c>
      <c r="AE203" s="14">
        <v>173.49785963840421</v>
      </c>
      <c r="AF203" s="14">
        <v>170.35544044607516</v>
      </c>
      <c r="AG203" s="14">
        <v>168.55262943540401</v>
      </c>
      <c r="AH203" s="14">
        <v>164.65300561844694</v>
      </c>
      <c r="AI203" s="15">
        <v>160.54338051890613</v>
      </c>
      <c r="AJ203" s="14">
        <v>144.06487987644158</v>
      </c>
      <c r="AK203" s="14">
        <v>147.42080037273064</v>
      </c>
      <c r="AL203" s="14">
        <v>146.17719277739556</v>
      </c>
      <c r="AM203" s="14">
        <v>151.46332506245531</v>
      </c>
      <c r="AN203" s="14">
        <v>159.19047225601685</v>
      </c>
      <c r="AO203" s="14">
        <v>168.87973143318032</v>
      </c>
      <c r="AP203" s="14">
        <v>180.75110393760303</v>
      </c>
      <c r="AQ203" s="14">
        <v>179.6850974269673</v>
      </c>
      <c r="AR203" s="14">
        <v>164.65300561844694</v>
      </c>
      <c r="AS203" s="14">
        <v>160.54338051890613</v>
      </c>
    </row>
    <row r="204" spans="1:45" x14ac:dyDescent="0.35">
      <c r="A204" s="16">
        <v>5711.251722</v>
      </c>
      <c r="B204" s="14">
        <v>147.24449929597159</v>
      </c>
      <c r="C204" s="14">
        <v>145.72999004610423</v>
      </c>
      <c r="D204" s="14">
        <v>146.09849229673227</v>
      </c>
      <c r="E204" s="14">
        <v>151.37502452316016</v>
      </c>
      <c r="F204" s="14">
        <v>159.08777162877266</v>
      </c>
      <c r="G204" s="14">
        <v>168.76263071798769</v>
      </c>
      <c r="H204" s="14">
        <v>180.60710305811776</v>
      </c>
      <c r="I204" s="14">
        <v>179.55219661527539</v>
      </c>
      <c r="J204" s="14">
        <v>186.28423773122481</v>
      </c>
      <c r="K204" s="14">
        <v>183.80982261873157</v>
      </c>
      <c r="L204" s="14">
        <v>181.39000783970948</v>
      </c>
      <c r="M204" s="14">
        <v>178.79729200469401</v>
      </c>
      <c r="N204" s="14">
        <v>173.37095886335786</v>
      </c>
      <c r="O204" s="14">
        <v>170.229039674082</v>
      </c>
      <c r="P204" s="14">
        <v>168.42522865730379</v>
      </c>
      <c r="Q204" s="14">
        <v>164.52810485561531</v>
      </c>
      <c r="R204" s="15">
        <v>160.42077977012184</v>
      </c>
      <c r="S204" s="14">
        <v>145.76499025986854</v>
      </c>
      <c r="T204" s="14">
        <v>145.72999004610423</v>
      </c>
      <c r="U204" s="14">
        <v>146.09849229673227</v>
      </c>
      <c r="V204" s="14">
        <v>151.37502452316016</v>
      </c>
      <c r="W204" s="14">
        <v>159.08777162877266</v>
      </c>
      <c r="X204" s="14">
        <v>168.76263071798769</v>
      </c>
      <c r="Y204" s="14">
        <v>180.60710305811776</v>
      </c>
      <c r="Z204" s="14">
        <v>179.55219661527539</v>
      </c>
      <c r="AA204" s="14">
        <v>186.28423773122481</v>
      </c>
      <c r="AB204" s="14">
        <v>183.80982261873157</v>
      </c>
      <c r="AC204" s="14">
        <v>181.39000783970948</v>
      </c>
      <c r="AD204" s="14">
        <v>178.79729200469401</v>
      </c>
      <c r="AE204" s="14">
        <v>173.37095886335786</v>
      </c>
      <c r="AF204" s="14">
        <v>170.229039674082</v>
      </c>
      <c r="AG204" s="14">
        <v>168.42522865730379</v>
      </c>
      <c r="AH204" s="14">
        <v>164.52810485561531</v>
      </c>
      <c r="AI204" s="15">
        <v>160.42077977012184</v>
      </c>
      <c r="AJ204" s="14">
        <v>143.9940794440279</v>
      </c>
      <c r="AK204" s="14">
        <v>147.34679992077255</v>
      </c>
      <c r="AL204" s="14">
        <v>146.09849229673227</v>
      </c>
      <c r="AM204" s="14">
        <v>151.37502452316016</v>
      </c>
      <c r="AN204" s="14">
        <v>159.08777162877266</v>
      </c>
      <c r="AO204" s="14">
        <v>168.76263071798769</v>
      </c>
      <c r="AP204" s="14">
        <v>180.60710305811776</v>
      </c>
      <c r="AQ204" s="14">
        <v>179.55219661527539</v>
      </c>
      <c r="AR204" s="14">
        <v>164.52810485561531</v>
      </c>
      <c r="AS204" s="14">
        <v>160.42077977012184</v>
      </c>
    </row>
    <row r="205" spans="1:45" x14ac:dyDescent="0.35">
      <c r="A205" s="16">
        <v>5733.9791340000011</v>
      </c>
      <c r="B205" s="14">
        <v>147.16769882691239</v>
      </c>
      <c r="C205" s="14">
        <v>145.64818954650784</v>
      </c>
      <c r="D205" s="14">
        <v>146.01709179957908</v>
      </c>
      <c r="E205" s="14">
        <v>151.28402396737383</v>
      </c>
      <c r="F205" s="14">
        <v>158.98227098442729</v>
      </c>
      <c r="G205" s="14">
        <v>168.64272998569325</v>
      </c>
      <c r="H205" s="14">
        <v>180.46020216092001</v>
      </c>
      <c r="I205" s="14">
        <v>179.41619578464972</v>
      </c>
      <c r="J205" s="14">
        <v>186.14953690853943</v>
      </c>
      <c r="K205" s="14">
        <v>183.68032182780533</v>
      </c>
      <c r="L205" s="14">
        <v>181.26020704695131</v>
      </c>
      <c r="M205" s="14">
        <v>178.66719121010325</v>
      </c>
      <c r="N205" s="14">
        <v>173.24145807243161</v>
      </c>
      <c r="O205" s="14">
        <v>170.1000388862096</v>
      </c>
      <c r="P205" s="14">
        <v>168.29512786271309</v>
      </c>
      <c r="Q205" s="14">
        <v>164.40050407629317</v>
      </c>
      <c r="R205" s="15">
        <v>160.29557900545834</v>
      </c>
      <c r="S205" s="14">
        <v>145.69078980668922</v>
      </c>
      <c r="T205" s="14">
        <v>145.64818954650784</v>
      </c>
      <c r="U205" s="14">
        <v>146.01709179957908</v>
      </c>
      <c r="V205" s="14">
        <v>151.28402396737383</v>
      </c>
      <c r="W205" s="14">
        <v>158.98227098442729</v>
      </c>
      <c r="X205" s="14">
        <v>168.64272998569325</v>
      </c>
      <c r="Y205" s="14">
        <v>180.46020216092001</v>
      </c>
      <c r="Z205" s="14">
        <v>179.41619578464972</v>
      </c>
      <c r="AA205" s="14">
        <v>186.14953690853943</v>
      </c>
      <c r="AB205" s="14">
        <v>183.68032182780533</v>
      </c>
      <c r="AC205" s="14">
        <v>181.26020704695131</v>
      </c>
      <c r="AD205" s="14">
        <v>178.66719121010325</v>
      </c>
      <c r="AE205" s="14">
        <v>173.24145807243161</v>
      </c>
      <c r="AF205" s="14">
        <v>170.1000388862096</v>
      </c>
      <c r="AG205" s="14">
        <v>168.29512786271309</v>
      </c>
      <c r="AH205" s="14">
        <v>164.40050407629317</v>
      </c>
      <c r="AI205" s="15">
        <v>160.29557900545834</v>
      </c>
      <c r="AJ205" s="14">
        <v>143.9205789951244</v>
      </c>
      <c r="AK205" s="14">
        <v>147.26989945110338</v>
      </c>
      <c r="AL205" s="14">
        <v>146.01709179957908</v>
      </c>
      <c r="AM205" s="14">
        <v>151.28402396737383</v>
      </c>
      <c r="AN205" s="14">
        <v>158.98227098442729</v>
      </c>
      <c r="AO205" s="14">
        <v>168.64272998569325</v>
      </c>
      <c r="AP205" s="14">
        <v>180.46020216092001</v>
      </c>
      <c r="AQ205" s="14">
        <v>179.41619578464972</v>
      </c>
      <c r="AR205" s="14">
        <v>164.40050407629317</v>
      </c>
      <c r="AS205" s="14">
        <v>160.29557900545834</v>
      </c>
    </row>
    <row r="206" spans="1:45" x14ac:dyDescent="0.35">
      <c r="A206" s="16">
        <v>5756.7088320000003</v>
      </c>
      <c r="B206" s="14">
        <v>147.08679833281306</v>
      </c>
      <c r="C206" s="14">
        <v>145.5623890224806</v>
      </c>
      <c r="D206" s="14">
        <v>145.93149127677313</v>
      </c>
      <c r="E206" s="14">
        <v>151.18892338654672</v>
      </c>
      <c r="F206" s="14">
        <v>158.87267031504112</v>
      </c>
      <c r="G206" s="14">
        <v>168.51872922835872</v>
      </c>
      <c r="H206" s="14">
        <v>180.30930123929278</v>
      </c>
      <c r="I206" s="14">
        <v>179.27609492898398</v>
      </c>
      <c r="J206" s="14">
        <v>186.01063606020264</v>
      </c>
      <c r="K206" s="14">
        <v>183.54682101244893</v>
      </c>
      <c r="L206" s="14">
        <v>181.12640622976235</v>
      </c>
      <c r="M206" s="14">
        <v>178.53329039230434</v>
      </c>
      <c r="N206" s="14">
        <v>173.10795725707521</v>
      </c>
      <c r="O206" s="14">
        <v>169.96703807390708</v>
      </c>
      <c r="P206" s="14">
        <v>168.16112704430282</v>
      </c>
      <c r="Q206" s="14">
        <v>164.26900327315218</v>
      </c>
      <c r="R206" s="15">
        <v>160.16647821697464</v>
      </c>
      <c r="S206" s="14">
        <v>145.61258932907904</v>
      </c>
      <c r="T206" s="14">
        <v>145.5623890224806</v>
      </c>
      <c r="U206" s="14">
        <v>145.93149127677313</v>
      </c>
      <c r="V206" s="14">
        <v>151.18892338654672</v>
      </c>
      <c r="W206" s="14">
        <v>158.87267031504112</v>
      </c>
      <c r="X206" s="14">
        <v>168.51872922835872</v>
      </c>
      <c r="Y206" s="14">
        <v>180.30930123929278</v>
      </c>
      <c r="Z206" s="14">
        <v>179.27609492898398</v>
      </c>
      <c r="AA206" s="14">
        <v>186.01063606020264</v>
      </c>
      <c r="AB206" s="14">
        <v>183.54682101244893</v>
      </c>
      <c r="AC206" s="14">
        <v>181.12640622976235</v>
      </c>
      <c r="AD206" s="14">
        <v>178.53329039230434</v>
      </c>
      <c r="AE206" s="14">
        <v>173.10795725707521</v>
      </c>
      <c r="AF206" s="14">
        <v>169.96703807390708</v>
      </c>
      <c r="AG206" s="14">
        <v>168.16112704430282</v>
      </c>
      <c r="AH206" s="14">
        <v>164.26900327315218</v>
      </c>
      <c r="AI206" s="15">
        <v>160.16647821697464</v>
      </c>
      <c r="AJ206" s="14">
        <v>143.84327852301129</v>
      </c>
      <c r="AK206" s="14">
        <v>147.18899895700341</v>
      </c>
      <c r="AL206" s="14">
        <v>145.93149127677313</v>
      </c>
      <c r="AM206" s="14">
        <v>151.18892338654672</v>
      </c>
      <c r="AN206" s="14">
        <v>158.87267031504112</v>
      </c>
      <c r="AO206" s="14">
        <v>168.51872922835872</v>
      </c>
      <c r="AP206" s="14">
        <v>180.30930123929278</v>
      </c>
      <c r="AQ206" s="14">
        <v>179.27609492898398</v>
      </c>
      <c r="AR206" s="14">
        <v>164.26900327315218</v>
      </c>
      <c r="AS206" s="14">
        <v>160.16647821697464</v>
      </c>
    </row>
    <row r="207" spans="1:45" x14ac:dyDescent="0.35">
      <c r="A207" s="16">
        <v>5779.4408159999994</v>
      </c>
      <c r="B207" s="14">
        <v>147.00179781367228</v>
      </c>
      <c r="C207" s="14">
        <v>145.47248847341331</v>
      </c>
      <c r="D207" s="14">
        <v>145.84199073014901</v>
      </c>
      <c r="E207" s="14">
        <v>151.08972278067878</v>
      </c>
      <c r="F207" s="14">
        <v>158.75886962000357</v>
      </c>
      <c r="G207" s="14">
        <v>168.39072844659404</v>
      </c>
      <c r="H207" s="14">
        <v>180.15410029140281</v>
      </c>
      <c r="I207" s="14">
        <v>179.13159404644415</v>
      </c>
      <c r="J207" s="14">
        <v>185.8676351868244</v>
      </c>
      <c r="K207" s="14">
        <v>183.40942017327302</v>
      </c>
      <c r="L207" s="14">
        <v>180.98880538936515</v>
      </c>
      <c r="M207" s="14">
        <v>178.39528954946394</v>
      </c>
      <c r="N207" s="14">
        <v>172.97055641789933</v>
      </c>
      <c r="O207" s="14">
        <v>169.83013723778498</v>
      </c>
      <c r="P207" s="14">
        <v>168.02322620207306</v>
      </c>
      <c r="Q207" s="14">
        <v>164.13360244619102</v>
      </c>
      <c r="R207" s="15">
        <v>160.03357740528273</v>
      </c>
      <c r="S207" s="14">
        <v>145.53058882826141</v>
      </c>
      <c r="T207" s="14">
        <v>145.47248847341331</v>
      </c>
      <c r="U207" s="14">
        <v>145.84199073014901</v>
      </c>
      <c r="V207" s="14">
        <v>151.08972278067878</v>
      </c>
      <c r="W207" s="14">
        <v>158.75886962000357</v>
      </c>
      <c r="X207" s="14">
        <v>168.39072844659404</v>
      </c>
      <c r="Y207" s="14">
        <v>180.15410029140281</v>
      </c>
      <c r="Z207" s="14">
        <v>179.13159404644415</v>
      </c>
      <c r="AA207" s="14">
        <v>185.8676351868244</v>
      </c>
      <c r="AB207" s="14">
        <v>183.40942017327302</v>
      </c>
      <c r="AC207" s="14">
        <v>180.98880538936515</v>
      </c>
      <c r="AD207" s="14">
        <v>178.39528954946394</v>
      </c>
      <c r="AE207" s="14">
        <v>172.97055641789933</v>
      </c>
      <c r="AF207" s="14">
        <v>169.83013723778498</v>
      </c>
      <c r="AG207" s="14">
        <v>168.02322620207306</v>
      </c>
      <c r="AH207" s="14">
        <v>164.13360244619102</v>
      </c>
      <c r="AI207" s="15">
        <v>160.03357740528273</v>
      </c>
      <c r="AJ207" s="14">
        <v>143.7619780264688</v>
      </c>
      <c r="AK207" s="14">
        <v>147.10409843847324</v>
      </c>
      <c r="AL207" s="14">
        <v>145.84199073014901</v>
      </c>
      <c r="AM207" s="14">
        <v>151.08972278067878</v>
      </c>
      <c r="AN207" s="14">
        <v>158.75886962000357</v>
      </c>
      <c r="AO207" s="14">
        <v>168.39072844659404</v>
      </c>
      <c r="AP207" s="14">
        <v>180.15410029140281</v>
      </c>
      <c r="AQ207" s="14">
        <v>179.13159404644415</v>
      </c>
      <c r="AR207" s="14">
        <v>164.13360244619102</v>
      </c>
      <c r="AS207" s="14">
        <v>160.03357740528273</v>
      </c>
    </row>
    <row r="208" spans="1:45" x14ac:dyDescent="0.35">
      <c r="A208" s="16">
        <v>5802.1674659999999</v>
      </c>
      <c r="B208" s="14">
        <v>146.92669735499589</v>
      </c>
      <c r="C208" s="14">
        <v>145.39238798419905</v>
      </c>
      <c r="D208" s="14">
        <v>145.76219024276736</v>
      </c>
      <c r="E208" s="14">
        <v>151.00042223527598</v>
      </c>
      <c r="F208" s="14">
        <v>158.65506898604104</v>
      </c>
      <c r="G208" s="14">
        <v>168.27252772468242</v>
      </c>
      <c r="H208" s="14">
        <v>180.00889940458788</v>
      </c>
      <c r="I208" s="14">
        <v>178.99679322314816</v>
      </c>
      <c r="J208" s="14">
        <v>185.73403437085736</v>
      </c>
      <c r="K208" s="14">
        <v>183.28151939211898</v>
      </c>
      <c r="L208" s="14">
        <v>180.86060460637853</v>
      </c>
      <c r="M208" s="14">
        <v>178.26688876525606</v>
      </c>
      <c r="N208" s="14">
        <v>172.84265563674458</v>
      </c>
      <c r="O208" s="14">
        <v>169.70263645907349</v>
      </c>
      <c r="P208" s="14">
        <v>167.89482541786515</v>
      </c>
      <c r="Q208" s="14">
        <v>164.00770167725238</v>
      </c>
      <c r="R208" s="15">
        <v>159.9099766503914</v>
      </c>
      <c r="S208" s="14">
        <v>145.45798838485359</v>
      </c>
      <c r="T208" s="14">
        <v>145.39238798419905</v>
      </c>
      <c r="U208" s="14">
        <v>145.76219024276736</v>
      </c>
      <c r="V208" s="14">
        <v>151.00042223527598</v>
      </c>
      <c r="W208" s="14">
        <v>158.65506898604104</v>
      </c>
      <c r="X208" s="14">
        <v>168.27252772468242</v>
      </c>
      <c r="Y208" s="14">
        <v>180.00889940458788</v>
      </c>
      <c r="Z208" s="14">
        <v>178.99679322314816</v>
      </c>
      <c r="AA208" s="14">
        <v>185.73403437085736</v>
      </c>
      <c r="AB208" s="14">
        <v>183.28151939211898</v>
      </c>
      <c r="AC208" s="14">
        <v>180.86060460637853</v>
      </c>
      <c r="AD208" s="14">
        <v>178.26688876525606</v>
      </c>
      <c r="AE208" s="14">
        <v>172.84265563674458</v>
      </c>
      <c r="AF208" s="14">
        <v>169.70263645907349</v>
      </c>
      <c r="AG208" s="14">
        <v>167.89482541786515</v>
      </c>
      <c r="AH208" s="14">
        <v>164.00770167725238</v>
      </c>
      <c r="AI208" s="15">
        <v>159.9099766503914</v>
      </c>
      <c r="AJ208" s="14">
        <v>143.6901775879474</v>
      </c>
      <c r="AK208" s="14">
        <v>147.02889797918621</v>
      </c>
      <c r="AL208" s="14">
        <v>145.76219024276736</v>
      </c>
      <c r="AM208" s="14">
        <v>151.00042223527598</v>
      </c>
      <c r="AN208" s="14">
        <v>158.65506898604104</v>
      </c>
      <c r="AO208" s="14">
        <v>168.27252772468242</v>
      </c>
      <c r="AP208" s="14">
        <v>180.00889940458788</v>
      </c>
      <c r="AQ208" s="14">
        <v>178.99679322314816</v>
      </c>
      <c r="AR208" s="14">
        <v>164.00770167725238</v>
      </c>
      <c r="AS208" s="14">
        <v>159.9099766503914</v>
      </c>
    </row>
    <row r="209" spans="1:45" x14ac:dyDescent="0.35">
      <c r="A209" s="16">
        <v>5824.888782</v>
      </c>
      <c r="B209" s="14">
        <v>146.86139695617393</v>
      </c>
      <c r="C209" s="14">
        <v>145.32208755483927</v>
      </c>
      <c r="D209" s="14">
        <v>145.69238981646072</v>
      </c>
      <c r="E209" s="14">
        <v>150.92092174972689</v>
      </c>
      <c r="F209" s="14">
        <v>158.56106841193224</v>
      </c>
      <c r="G209" s="14">
        <v>168.16422706323658</v>
      </c>
      <c r="H209" s="14">
        <v>179.87339857701676</v>
      </c>
      <c r="I209" s="14">
        <v>178.8714924578733</v>
      </c>
      <c r="J209" s="14">
        <v>185.60983361230089</v>
      </c>
      <c r="K209" s="14">
        <v>183.1631186689861</v>
      </c>
      <c r="L209" s="14">
        <v>180.74190388141375</v>
      </c>
      <c r="M209" s="14">
        <v>178.14798803906928</v>
      </c>
      <c r="N209" s="14">
        <v>172.72425491361241</v>
      </c>
      <c r="O209" s="14">
        <v>169.58473573899514</v>
      </c>
      <c r="P209" s="14">
        <v>167.77582469106849</v>
      </c>
      <c r="Q209" s="14">
        <v>163.89120096572361</v>
      </c>
      <c r="R209" s="15">
        <v>159.79567595229929</v>
      </c>
      <c r="S209" s="14">
        <v>145.39498800007897</v>
      </c>
      <c r="T209" s="14">
        <v>145.32208755483927</v>
      </c>
      <c r="U209" s="14">
        <v>145.69238981646072</v>
      </c>
      <c r="V209" s="14">
        <v>150.92092174972689</v>
      </c>
      <c r="W209" s="14">
        <v>158.56106841193224</v>
      </c>
      <c r="X209" s="14">
        <v>168.16422706323658</v>
      </c>
      <c r="Y209" s="14">
        <v>179.87339857701676</v>
      </c>
      <c r="Z209" s="14">
        <v>178.8714924578733</v>
      </c>
      <c r="AA209" s="14">
        <v>185.60983361230089</v>
      </c>
      <c r="AB209" s="14">
        <v>183.1631186689861</v>
      </c>
      <c r="AC209" s="14">
        <v>180.74190388141375</v>
      </c>
      <c r="AD209" s="14">
        <v>178.14798803906928</v>
      </c>
      <c r="AE209" s="14">
        <v>172.72425491361241</v>
      </c>
      <c r="AF209" s="14">
        <v>169.58473573899514</v>
      </c>
      <c r="AG209" s="14">
        <v>167.77582469106849</v>
      </c>
      <c r="AH209" s="14">
        <v>163.89120096572361</v>
      </c>
      <c r="AI209" s="15">
        <v>159.79567595229929</v>
      </c>
      <c r="AJ209" s="14">
        <v>143.62777720683658</v>
      </c>
      <c r="AK209" s="14">
        <v>146.96369758097489</v>
      </c>
      <c r="AL209" s="14">
        <v>145.69238981646072</v>
      </c>
      <c r="AM209" s="14">
        <v>150.92092174972689</v>
      </c>
      <c r="AN209" s="14">
        <v>158.56106841193224</v>
      </c>
      <c r="AO209" s="14">
        <v>168.16422706323658</v>
      </c>
      <c r="AP209" s="14">
        <v>179.87339857701676</v>
      </c>
      <c r="AQ209" s="14">
        <v>178.8714924578733</v>
      </c>
      <c r="AR209" s="14">
        <v>163.89120096572361</v>
      </c>
      <c r="AS209" s="14">
        <v>159.79567595229929</v>
      </c>
    </row>
    <row r="210" spans="1:45" x14ac:dyDescent="0.35">
      <c r="A210" s="16">
        <v>5847.6078120000002</v>
      </c>
      <c r="B210" s="14">
        <v>146.80279659827198</v>
      </c>
      <c r="C210" s="14">
        <v>145.25858716701077</v>
      </c>
      <c r="D210" s="14">
        <v>145.62918943046481</v>
      </c>
      <c r="E210" s="14">
        <v>150.84812130509783</v>
      </c>
      <c r="F210" s="14">
        <v>158.47366787813351</v>
      </c>
      <c r="G210" s="14">
        <v>168.06262644271004</v>
      </c>
      <c r="H210" s="14">
        <v>179.744497789755</v>
      </c>
      <c r="I210" s="14">
        <v>178.7526917322979</v>
      </c>
      <c r="J210" s="14">
        <v>185.49203289283321</v>
      </c>
      <c r="K210" s="14">
        <v>183.05101798433137</v>
      </c>
      <c r="L210" s="14">
        <v>180.62960319553707</v>
      </c>
      <c r="M210" s="14">
        <v>178.03548735197137</v>
      </c>
      <c r="N210" s="14">
        <v>172.61225422956829</v>
      </c>
      <c r="O210" s="14">
        <v>169.47313505739359</v>
      </c>
      <c r="P210" s="14">
        <v>167.6632240033592</v>
      </c>
      <c r="Q210" s="14">
        <v>163.78100029267296</v>
      </c>
      <c r="R210" s="15">
        <v>159.687775293296</v>
      </c>
      <c r="S210" s="14">
        <v>145.33838765439242</v>
      </c>
      <c r="T210" s="14">
        <v>145.25858716701077</v>
      </c>
      <c r="U210" s="14">
        <v>145.62918943046481</v>
      </c>
      <c r="V210" s="14">
        <v>150.84812130509783</v>
      </c>
      <c r="W210" s="14">
        <v>158.47366787813351</v>
      </c>
      <c r="X210" s="14">
        <v>168.06262644271004</v>
      </c>
      <c r="Y210" s="14">
        <v>179.744497789755</v>
      </c>
      <c r="Z210" s="14">
        <v>178.7526917322979</v>
      </c>
      <c r="AA210" s="14">
        <v>185.49203289283321</v>
      </c>
      <c r="AB210" s="14">
        <v>183.05101798433137</v>
      </c>
      <c r="AC210" s="14">
        <v>180.62960319553707</v>
      </c>
      <c r="AD210" s="14">
        <v>178.03548735197137</v>
      </c>
      <c r="AE210" s="14">
        <v>172.61225422956829</v>
      </c>
      <c r="AF210" s="14">
        <v>169.47313505739359</v>
      </c>
      <c r="AG210" s="14">
        <v>167.6632240033592</v>
      </c>
      <c r="AH210" s="14">
        <v>163.78100029267296</v>
      </c>
      <c r="AI210" s="15">
        <v>159.687775293296</v>
      </c>
      <c r="AJ210" s="14">
        <v>143.57167686420388</v>
      </c>
      <c r="AK210" s="14">
        <v>146.90509722307294</v>
      </c>
      <c r="AL210" s="14">
        <v>145.62918943046481</v>
      </c>
      <c r="AM210" s="14">
        <v>150.84812130509783</v>
      </c>
      <c r="AN210" s="14">
        <v>158.47366787813351</v>
      </c>
      <c r="AO210" s="14">
        <v>168.06262644271004</v>
      </c>
      <c r="AP210" s="14">
        <v>179.744497789755</v>
      </c>
      <c r="AQ210" s="14">
        <v>178.7526917322979</v>
      </c>
      <c r="AR210" s="14">
        <v>163.78100029267296</v>
      </c>
      <c r="AS210" s="14">
        <v>159.687775293296</v>
      </c>
    </row>
    <row r="211" spans="1:45" x14ac:dyDescent="0.35">
      <c r="A211" s="16">
        <v>5870.3245560000005</v>
      </c>
      <c r="B211" s="14">
        <v>146.75079628068008</v>
      </c>
      <c r="C211" s="14">
        <v>145.201586818881</v>
      </c>
      <c r="D211" s="14">
        <v>145.5725890847776</v>
      </c>
      <c r="E211" s="14">
        <v>150.7819209007788</v>
      </c>
      <c r="F211" s="14">
        <v>158.39296738525476</v>
      </c>
      <c r="G211" s="14">
        <v>167.96762586249423</v>
      </c>
      <c r="H211" s="14">
        <v>179.62229704341394</v>
      </c>
      <c r="I211" s="14">
        <v>178.64019104519994</v>
      </c>
      <c r="J211" s="14">
        <v>185.38043221123161</v>
      </c>
      <c r="K211" s="14">
        <v>182.94531733876474</v>
      </c>
      <c r="L211" s="14">
        <v>180.5238025493598</v>
      </c>
      <c r="M211" s="14">
        <v>177.92938670396148</v>
      </c>
      <c r="N211" s="14">
        <v>172.50655358400095</v>
      </c>
      <c r="O211" s="14">
        <v>169.36793441488078</v>
      </c>
      <c r="P211" s="14">
        <v>167.5570233547387</v>
      </c>
      <c r="Q211" s="14">
        <v>163.67729965932105</v>
      </c>
      <c r="R211" s="15">
        <v>159.5860746721595</v>
      </c>
      <c r="S211" s="14">
        <v>145.28818734779398</v>
      </c>
      <c r="T211" s="14">
        <v>145.201586818881</v>
      </c>
      <c r="U211" s="14">
        <v>145.5725890847776</v>
      </c>
      <c r="V211" s="14">
        <v>150.7819209007788</v>
      </c>
      <c r="W211" s="14">
        <v>158.39296738525476</v>
      </c>
      <c r="X211" s="14">
        <v>167.96762586249423</v>
      </c>
      <c r="Y211" s="14">
        <v>179.62229704341394</v>
      </c>
      <c r="Z211" s="14">
        <v>178.64019104519994</v>
      </c>
      <c r="AA211" s="14">
        <v>185.38043221123161</v>
      </c>
      <c r="AB211" s="14">
        <v>182.94531733876474</v>
      </c>
      <c r="AC211" s="14">
        <v>180.5238025493598</v>
      </c>
      <c r="AD211" s="14">
        <v>177.92938670396148</v>
      </c>
      <c r="AE211" s="14">
        <v>172.50655358400095</v>
      </c>
      <c r="AF211" s="14">
        <v>169.36793441488078</v>
      </c>
      <c r="AG211" s="14">
        <v>167.5570233547387</v>
      </c>
      <c r="AH211" s="14">
        <v>163.67729965932105</v>
      </c>
      <c r="AI211" s="15">
        <v>159.5860746721595</v>
      </c>
      <c r="AJ211" s="14">
        <v>143.52197656065928</v>
      </c>
      <c r="AK211" s="14">
        <v>146.85309690548107</v>
      </c>
      <c r="AL211" s="14">
        <v>145.5725890847776</v>
      </c>
      <c r="AM211" s="14">
        <v>150.7819209007788</v>
      </c>
      <c r="AN211" s="14">
        <v>158.39296738525476</v>
      </c>
      <c r="AO211" s="14">
        <v>167.96762586249423</v>
      </c>
      <c r="AP211" s="14">
        <v>179.62229704341394</v>
      </c>
      <c r="AQ211" s="14">
        <v>178.64019104519994</v>
      </c>
      <c r="AR211" s="14">
        <v>163.67729965932105</v>
      </c>
      <c r="AS211" s="14">
        <v>159.5860746721595</v>
      </c>
    </row>
    <row r="212" spans="1:45" x14ac:dyDescent="0.35">
      <c r="A212" s="16">
        <v>5893.0397759999996</v>
      </c>
      <c r="B212" s="14">
        <v>146.70339599118279</v>
      </c>
      <c r="C212" s="14">
        <v>145.14928649945654</v>
      </c>
      <c r="D212" s="14">
        <v>145.52058876718567</v>
      </c>
      <c r="E212" s="14">
        <v>150.72032052455441</v>
      </c>
      <c r="F212" s="14">
        <v>158.31676691986075</v>
      </c>
      <c r="G212" s="14">
        <v>167.87722531037235</v>
      </c>
      <c r="H212" s="14">
        <v>179.50449632394555</v>
      </c>
      <c r="I212" s="14">
        <v>178.53199038436404</v>
      </c>
      <c r="J212" s="14">
        <v>185.27313155589277</v>
      </c>
      <c r="K212" s="14">
        <v>182.84401672007078</v>
      </c>
      <c r="L212" s="14">
        <v>180.4224019300552</v>
      </c>
      <c r="M212" s="14">
        <v>177.82768608282498</v>
      </c>
      <c r="N212" s="14">
        <v>172.40535296591835</v>
      </c>
      <c r="O212" s="14">
        <v>169.2671337992407</v>
      </c>
      <c r="P212" s="14">
        <v>167.45512273238094</v>
      </c>
      <c r="Q212" s="14">
        <v>163.57779905162124</v>
      </c>
      <c r="R212" s="15">
        <v>159.4887740778957</v>
      </c>
      <c r="S212" s="14">
        <v>145.24238706806892</v>
      </c>
      <c r="T212" s="14">
        <v>145.14928649945654</v>
      </c>
      <c r="U212" s="14">
        <v>145.52058876718567</v>
      </c>
      <c r="V212" s="14">
        <v>150.72032052455441</v>
      </c>
      <c r="W212" s="14">
        <v>158.31676691986075</v>
      </c>
      <c r="X212" s="14">
        <v>167.87722531037235</v>
      </c>
      <c r="Y212" s="14">
        <v>179.50449632394555</v>
      </c>
      <c r="Z212" s="14">
        <v>178.53199038436404</v>
      </c>
      <c r="AA212" s="14">
        <v>185.27313155589277</v>
      </c>
      <c r="AB212" s="14">
        <v>182.84401672007078</v>
      </c>
      <c r="AC212" s="14">
        <v>180.4224019300552</v>
      </c>
      <c r="AD212" s="14">
        <v>177.82768608282498</v>
      </c>
      <c r="AE212" s="14">
        <v>172.40535296591835</v>
      </c>
      <c r="AF212" s="14">
        <v>169.2671337992407</v>
      </c>
      <c r="AG212" s="14">
        <v>167.45512273238094</v>
      </c>
      <c r="AH212" s="14">
        <v>163.57779905162124</v>
      </c>
      <c r="AI212" s="15">
        <v>159.4887740778957</v>
      </c>
      <c r="AJ212" s="14">
        <v>143.47667628398742</v>
      </c>
      <c r="AK212" s="14">
        <v>146.80569661598378</v>
      </c>
      <c r="AL212" s="14">
        <v>145.52058876718567</v>
      </c>
      <c r="AM212" s="14">
        <v>150.72032052455441</v>
      </c>
      <c r="AN212" s="14">
        <v>158.31676691986075</v>
      </c>
      <c r="AO212" s="14">
        <v>167.87722531037235</v>
      </c>
      <c r="AP212" s="14">
        <v>179.50449632394555</v>
      </c>
      <c r="AQ212" s="14">
        <v>178.53199038436404</v>
      </c>
      <c r="AR212" s="14">
        <v>163.57779905162124</v>
      </c>
      <c r="AS212" s="14">
        <v>159.4887740778957</v>
      </c>
    </row>
    <row r="213" spans="1:45" x14ac:dyDescent="0.35">
      <c r="A213" s="16">
        <v>5915.7534720000003</v>
      </c>
      <c r="B213" s="14">
        <v>146.66059572978014</v>
      </c>
      <c r="C213" s="14">
        <v>145.10138620690537</v>
      </c>
      <c r="D213" s="14">
        <v>145.47318847768841</v>
      </c>
      <c r="E213" s="14">
        <v>150.66322017581402</v>
      </c>
      <c r="F213" s="14">
        <v>158.24516648256062</v>
      </c>
      <c r="G213" s="14">
        <v>167.79142478634586</v>
      </c>
      <c r="H213" s="14">
        <v>179.39129563257248</v>
      </c>
      <c r="I213" s="14">
        <v>178.42818975040151</v>
      </c>
      <c r="J213" s="14">
        <v>185.170130926816</v>
      </c>
      <c r="K213" s="14">
        <v>182.74711612825021</v>
      </c>
      <c r="L213" s="14">
        <v>180.32530133701337</v>
      </c>
      <c r="M213" s="14">
        <v>177.73038548856118</v>
      </c>
      <c r="N213" s="14">
        <v>172.30845237409775</v>
      </c>
      <c r="O213" s="14">
        <v>169.17073321047397</v>
      </c>
      <c r="P213" s="14">
        <v>167.3577221375065</v>
      </c>
      <c r="Q213" s="14">
        <v>163.48279847140475</v>
      </c>
      <c r="R213" s="15">
        <v>159.39577350989461</v>
      </c>
      <c r="S213" s="14">
        <v>145.20108681582715</v>
      </c>
      <c r="T213" s="14">
        <v>145.10138620690537</v>
      </c>
      <c r="U213" s="14">
        <v>145.47318847768841</v>
      </c>
      <c r="V213" s="14">
        <v>150.66322017581402</v>
      </c>
      <c r="W213" s="14">
        <v>158.24516648256062</v>
      </c>
      <c r="X213" s="14">
        <v>167.79142478634586</v>
      </c>
      <c r="Y213" s="14">
        <v>179.39129563257248</v>
      </c>
      <c r="Z213" s="14">
        <v>178.42818975040151</v>
      </c>
      <c r="AA213" s="14">
        <v>185.170130926816</v>
      </c>
      <c r="AB213" s="14">
        <v>182.74711612825021</v>
      </c>
      <c r="AC213" s="14">
        <v>180.32530133701337</v>
      </c>
      <c r="AD213" s="14">
        <v>177.73038548856118</v>
      </c>
      <c r="AE213" s="14">
        <v>172.30845237409775</v>
      </c>
      <c r="AF213" s="14">
        <v>169.17073321047397</v>
      </c>
      <c r="AG213" s="14">
        <v>167.3577221375065</v>
      </c>
      <c r="AH213" s="14">
        <v>163.48279847140475</v>
      </c>
      <c r="AI213" s="15">
        <v>159.39577350989461</v>
      </c>
      <c r="AJ213" s="14">
        <v>143.43567603357891</v>
      </c>
      <c r="AK213" s="14">
        <v>146.76279635397051</v>
      </c>
      <c r="AL213" s="14">
        <v>145.47318847768841</v>
      </c>
      <c r="AM213" s="14">
        <v>150.66322017581402</v>
      </c>
      <c r="AN213" s="14">
        <v>158.24516648256062</v>
      </c>
      <c r="AO213" s="14">
        <v>167.79142478634586</v>
      </c>
      <c r="AP213" s="14">
        <v>179.39129563257248</v>
      </c>
      <c r="AQ213" s="14">
        <v>178.42818975040151</v>
      </c>
      <c r="AR213" s="14">
        <v>163.48279847140475</v>
      </c>
      <c r="AS213" s="14">
        <v>159.39577350989461</v>
      </c>
    </row>
    <row r="214" spans="1:45" x14ac:dyDescent="0.35">
      <c r="A214" s="16">
        <v>5938.4641200000005</v>
      </c>
      <c r="B214" s="14">
        <v>146.63169555327207</v>
      </c>
      <c r="C214" s="14">
        <v>145.06748599986014</v>
      </c>
      <c r="D214" s="14">
        <v>145.43968827308569</v>
      </c>
      <c r="E214" s="14">
        <v>150.62011991257879</v>
      </c>
      <c r="F214" s="14">
        <v>158.18756613076638</v>
      </c>
      <c r="G214" s="14">
        <v>167.7194243466032</v>
      </c>
      <c r="H214" s="14">
        <v>179.2919950260939</v>
      </c>
      <c r="I214" s="14">
        <v>178.33798919950161</v>
      </c>
      <c r="J214" s="14">
        <v>185.08063038019191</v>
      </c>
      <c r="K214" s="14">
        <v>182.663615618271</v>
      </c>
      <c r="L214" s="14">
        <v>180.24170082642283</v>
      </c>
      <c r="M214" s="14">
        <v>177.64648497613877</v>
      </c>
      <c r="N214" s="14">
        <v>172.22505186472915</v>
      </c>
      <c r="O214" s="14">
        <v>169.08773270354791</v>
      </c>
      <c r="P214" s="14">
        <v>167.27362162386211</v>
      </c>
      <c r="Q214" s="14">
        <v>163.40109797241902</v>
      </c>
      <c r="R214" s="15">
        <v>159.31587302190232</v>
      </c>
      <c r="S214" s="14">
        <v>145.17308664481612</v>
      </c>
      <c r="T214" s="14">
        <v>145.06748599986014</v>
      </c>
      <c r="U214" s="14">
        <v>145.43968827308569</v>
      </c>
      <c r="V214" s="14">
        <v>150.62011991257879</v>
      </c>
      <c r="W214" s="14">
        <v>158.18756613076638</v>
      </c>
      <c r="X214" s="14">
        <v>167.7194243466032</v>
      </c>
      <c r="Y214" s="14">
        <v>179.2919950260939</v>
      </c>
      <c r="Z214" s="14">
        <v>178.33798919950161</v>
      </c>
      <c r="AA214" s="14">
        <v>185.08063038019191</v>
      </c>
      <c r="AB214" s="14">
        <v>182.663615618271</v>
      </c>
      <c r="AC214" s="14">
        <v>180.24170082642283</v>
      </c>
      <c r="AD214" s="14">
        <v>177.64648497613877</v>
      </c>
      <c r="AE214" s="14">
        <v>172.22505186472915</v>
      </c>
      <c r="AF214" s="14">
        <v>169.08773270354791</v>
      </c>
      <c r="AG214" s="14">
        <v>167.27362162386211</v>
      </c>
      <c r="AH214" s="14">
        <v>163.40109797241902</v>
      </c>
      <c r="AI214" s="15">
        <v>159.31587302190232</v>
      </c>
      <c r="AJ214" s="14">
        <v>143.40807586501043</v>
      </c>
      <c r="AK214" s="14">
        <v>146.73389617746241</v>
      </c>
      <c r="AL214" s="14">
        <v>145.43968827308569</v>
      </c>
      <c r="AM214" s="14">
        <v>150.62011991257879</v>
      </c>
      <c r="AN214" s="14">
        <v>158.18756613076638</v>
      </c>
      <c r="AO214" s="14">
        <v>167.7194243466032</v>
      </c>
      <c r="AP214" s="14">
        <v>179.2919950260939</v>
      </c>
      <c r="AQ214" s="14">
        <v>178.33798919950161</v>
      </c>
      <c r="AR214" s="14">
        <v>163.40109797241902</v>
      </c>
      <c r="AS214" s="14">
        <v>159.31587302190232</v>
      </c>
    </row>
    <row r="215" spans="1:45" x14ac:dyDescent="0.35">
      <c r="A215" s="16">
        <v>5961.1717200000012</v>
      </c>
      <c r="B215" s="14">
        <v>146.61659546104787</v>
      </c>
      <c r="C215" s="14">
        <v>145.04748587770939</v>
      </c>
      <c r="D215" s="14">
        <v>145.42018815398882</v>
      </c>
      <c r="E215" s="14">
        <v>150.59091973423878</v>
      </c>
      <c r="F215" s="14">
        <v>158.14386586386735</v>
      </c>
      <c r="G215" s="14">
        <v>167.66142399236571</v>
      </c>
      <c r="H215" s="14">
        <v>179.20659450450992</v>
      </c>
      <c r="I215" s="14">
        <v>178.26138873166434</v>
      </c>
      <c r="J215" s="14">
        <v>185.00442991479716</v>
      </c>
      <c r="K215" s="14">
        <v>182.59351519013242</v>
      </c>
      <c r="L215" s="14">
        <v>180.17150039767364</v>
      </c>
      <c r="M215" s="14">
        <v>177.57598454555767</v>
      </c>
      <c r="N215" s="14">
        <v>172.15495143659064</v>
      </c>
      <c r="O215" s="14">
        <v>169.0180322778526</v>
      </c>
      <c r="P215" s="14">
        <v>167.20292119205979</v>
      </c>
      <c r="Q215" s="14">
        <v>163.33259755405265</v>
      </c>
      <c r="R215" s="15">
        <v>159.24927261514009</v>
      </c>
      <c r="S215" s="14">
        <v>145.15858655625709</v>
      </c>
      <c r="T215" s="14">
        <v>145.04748587770939</v>
      </c>
      <c r="U215" s="14">
        <v>145.42018815398882</v>
      </c>
      <c r="V215" s="14">
        <v>150.59091973423878</v>
      </c>
      <c r="W215" s="14">
        <v>158.14386586386735</v>
      </c>
      <c r="X215" s="14">
        <v>167.66142399236571</v>
      </c>
      <c r="Y215" s="14">
        <v>179.20659450450992</v>
      </c>
      <c r="Z215" s="14">
        <v>178.26138873166434</v>
      </c>
      <c r="AA215" s="14">
        <v>185.00442991479716</v>
      </c>
      <c r="AB215" s="14">
        <v>182.59351519013242</v>
      </c>
      <c r="AC215" s="14">
        <v>180.17150039767364</v>
      </c>
      <c r="AD215" s="14">
        <v>177.57598454555767</v>
      </c>
      <c r="AE215" s="14">
        <v>172.15495143659064</v>
      </c>
      <c r="AF215" s="14">
        <v>169.0180322778526</v>
      </c>
      <c r="AG215" s="14">
        <v>167.20292119205979</v>
      </c>
      <c r="AH215" s="14">
        <v>163.33259755405265</v>
      </c>
      <c r="AI215" s="15">
        <v>159.24927261514009</v>
      </c>
      <c r="AJ215" s="14">
        <v>143.39367577706201</v>
      </c>
      <c r="AK215" s="14">
        <v>146.71889608584954</v>
      </c>
      <c r="AL215" s="14">
        <v>145.42018815398882</v>
      </c>
      <c r="AM215" s="14">
        <v>150.59091973423878</v>
      </c>
      <c r="AN215" s="14">
        <v>158.14386586386735</v>
      </c>
      <c r="AO215" s="14">
        <v>167.66142399236571</v>
      </c>
      <c r="AP215" s="14">
        <v>179.20659450450992</v>
      </c>
      <c r="AQ215" s="14">
        <v>178.26138873166434</v>
      </c>
      <c r="AR215" s="14">
        <v>163.33259755405265</v>
      </c>
      <c r="AS215" s="14">
        <v>159.24927261514009</v>
      </c>
    </row>
    <row r="216" spans="1:45" x14ac:dyDescent="0.35">
      <c r="A216" s="16">
        <v>5987.5369200000005</v>
      </c>
      <c r="B216" s="14">
        <v>146.60379538287168</v>
      </c>
      <c r="C216" s="14">
        <v>145.02888576410891</v>
      </c>
      <c r="D216" s="14">
        <v>145.40208804344218</v>
      </c>
      <c r="E216" s="14">
        <v>150.56161955528816</v>
      </c>
      <c r="F216" s="14">
        <v>158.09766558169906</v>
      </c>
      <c r="G216" s="14">
        <v>167.59872360942299</v>
      </c>
      <c r="H216" s="14">
        <v>179.11199392673663</v>
      </c>
      <c r="I216" s="14">
        <v>178.17688821557741</v>
      </c>
      <c r="J216" s="14">
        <v>184.92022940054215</v>
      </c>
      <c r="K216" s="14">
        <v>182.51651471985195</v>
      </c>
      <c r="L216" s="14">
        <v>180.09439992678253</v>
      </c>
      <c r="M216" s="14">
        <v>177.49858407283398</v>
      </c>
      <c r="N216" s="14">
        <v>172.07805096692076</v>
      </c>
      <c r="O216" s="14">
        <v>168.94163181123659</v>
      </c>
      <c r="P216" s="14">
        <v>167.12522071750348</v>
      </c>
      <c r="Q216" s="14">
        <v>163.25769709659824</v>
      </c>
      <c r="R216" s="15">
        <v>159.17627216928972</v>
      </c>
      <c r="S216" s="14">
        <v>145.14628648113407</v>
      </c>
      <c r="T216" s="14">
        <v>145.02888576410891</v>
      </c>
      <c r="U216" s="14">
        <v>145.40208804344218</v>
      </c>
      <c r="V216" s="14">
        <v>150.56161955528816</v>
      </c>
      <c r="W216" s="14">
        <v>158.09766558169906</v>
      </c>
      <c r="X216" s="14">
        <v>167.59872360942299</v>
      </c>
      <c r="Y216" s="14">
        <v>179.11199392673663</v>
      </c>
      <c r="Z216" s="14">
        <v>178.17688821557741</v>
      </c>
      <c r="AA216" s="14">
        <v>184.92022940054215</v>
      </c>
      <c r="AB216" s="14">
        <v>182.51651471985195</v>
      </c>
      <c r="AC216" s="14">
        <v>180.09439992678253</v>
      </c>
      <c r="AD216" s="14">
        <v>177.49858407283398</v>
      </c>
      <c r="AE216" s="14">
        <v>172.07805096692076</v>
      </c>
      <c r="AF216" s="14">
        <v>168.94163181123659</v>
      </c>
      <c r="AG216" s="14">
        <v>167.12522071750348</v>
      </c>
      <c r="AH216" s="14">
        <v>163.25769709659824</v>
      </c>
      <c r="AI216" s="15">
        <v>159.17627216928972</v>
      </c>
      <c r="AJ216" s="14">
        <v>143.38137570193899</v>
      </c>
      <c r="AK216" s="14">
        <v>146.70609600767264</v>
      </c>
      <c r="AL216" s="14">
        <v>145.40208804344218</v>
      </c>
      <c r="AM216" s="14">
        <v>150.56161955528816</v>
      </c>
      <c r="AN216" s="14">
        <v>158.09766558169906</v>
      </c>
      <c r="AO216" s="14">
        <v>167.59872360942299</v>
      </c>
      <c r="AP216" s="14">
        <v>179.11199392673663</v>
      </c>
      <c r="AQ216" s="14">
        <v>178.17688821557741</v>
      </c>
      <c r="AR216" s="14">
        <v>163.25769709659824</v>
      </c>
      <c r="AS216" s="14">
        <v>159.17627216928972</v>
      </c>
    </row>
    <row r="217" spans="1:45" x14ac:dyDescent="0.35">
      <c r="A217" s="16">
        <v>6017.5597200000011</v>
      </c>
      <c r="B217" s="14">
        <v>146.59319531813148</v>
      </c>
      <c r="C217" s="14">
        <v>145.01178565966998</v>
      </c>
      <c r="D217" s="14">
        <v>145.3854879420571</v>
      </c>
      <c r="E217" s="14">
        <v>150.53221937572621</v>
      </c>
      <c r="F217" s="14">
        <v>158.04916528548344</v>
      </c>
      <c r="G217" s="14">
        <v>167.53132319777501</v>
      </c>
      <c r="H217" s="14">
        <v>179.00819329277408</v>
      </c>
      <c r="I217" s="14">
        <v>178.08418764940825</v>
      </c>
      <c r="J217" s="14">
        <v>184.82802883742752</v>
      </c>
      <c r="K217" s="14">
        <v>182.43261420742951</v>
      </c>
      <c r="L217" s="14">
        <v>180.01049941436005</v>
      </c>
      <c r="M217" s="14">
        <v>177.41438355857892</v>
      </c>
      <c r="N217" s="14">
        <v>171.99435045571957</v>
      </c>
      <c r="O217" s="14">
        <v>168.85843130308928</v>
      </c>
      <c r="P217" s="14">
        <v>167.0406202008059</v>
      </c>
      <c r="Q217" s="14">
        <v>163.1760965982231</v>
      </c>
      <c r="R217" s="15">
        <v>159.09687168435127</v>
      </c>
      <c r="S217" s="14">
        <v>145.1360864188371</v>
      </c>
      <c r="T217" s="14">
        <v>145.01178565966998</v>
      </c>
      <c r="U217" s="14">
        <v>145.3854879420571</v>
      </c>
      <c r="V217" s="14">
        <v>150.53221937572621</v>
      </c>
      <c r="W217" s="14">
        <v>158.04916528548344</v>
      </c>
      <c r="X217" s="14">
        <v>167.53132319777501</v>
      </c>
      <c r="Y217" s="14">
        <v>179.00819329277408</v>
      </c>
      <c r="Z217" s="14">
        <v>178.08418764940825</v>
      </c>
      <c r="AA217" s="14">
        <v>184.82802883742752</v>
      </c>
      <c r="AB217" s="14">
        <v>182.43261420742951</v>
      </c>
      <c r="AC217" s="14">
        <v>180.01049941436005</v>
      </c>
      <c r="AD217" s="14">
        <v>177.41438355857892</v>
      </c>
      <c r="AE217" s="14">
        <v>171.99435045571957</v>
      </c>
      <c r="AF217" s="14">
        <v>168.85843130308928</v>
      </c>
      <c r="AG217" s="14">
        <v>167.0406202008059</v>
      </c>
      <c r="AH217" s="14">
        <v>163.1760965982231</v>
      </c>
      <c r="AI217" s="15">
        <v>159.09687168435127</v>
      </c>
      <c r="AJ217" s="14">
        <v>143.37127564025334</v>
      </c>
      <c r="AK217" s="14">
        <v>146.69549594293312</v>
      </c>
      <c r="AL217" s="14">
        <v>145.3854879420571</v>
      </c>
      <c r="AM217" s="14">
        <v>150.53221937572621</v>
      </c>
      <c r="AN217" s="14">
        <v>158.04916528548344</v>
      </c>
      <c r="AO217" s="14">
        <v>167.53132319777501</v>
      </c>
      <c r="AP217" s="14">
        <v>179.00819329277408</v>
      </c>
      <c r="AQ217" s="14">
        <v>178.08418764940825</v>
      </c>
      <c r="AR217" s="14">
        <v>163.1760965982231</v>
      </c>
      <c r="AS217" s="14">
        <v>159.09687168435127</v>
      </c>
    </row>
    <row r="218" spans="1:45" x14ac:dyDescent="0.35">
      <c r="A218" s="16">
        <v>6051.6211200000007</v>
      </c>
      <c r="B218" s="14">
        <v>146.60779540730181</v>
      </c>
      <c r="C218" s="14">
        <v>145.01878570242326</v>
      </c>
      <c r="D218" s="14">
        <v>145.3931879890855</v>
      </c>
      <c r="E218" s="14">
        <v>150.52541933419488</v>
      </c>
      <c r="F218" s="14">
        <v>158.02066511141859</v>
      </c>
      <c r="G218" s="14">
        <v>167.48122289178718</v>
      </c>
      <c r="H218" s="14">
        <v>178.91689273515587</v>
      </c>
      <c r="I218" s="14">
        <v>178.00508716630239</v>
      </c>
      <c r="J218" s="14">
        <v>184.74892835432098</v>
      </c>
      <c r="K218" s="14">
        <v>182.36301378234484</v>
      </c>
      <c r="L218" s="14">
        <v>179.94089898927538</v>
      </c>
      <c r="M218" s="14">
        <v>177.3442831304404</v>
      </c>
      <c r="N218" s="14">
        <v>171.92485003124622</v>
      </c>
      <c r="O218" s="14">
        <v>168.78963088289103</v>
      </c>
      <c r="P218" s="14">
        <v>166.97011977022416</v>
      </c>
      <c r="Q218" s="14">
        <v>163.10889618779638</v>
      </c>
      <c r="R218" s="15">
        <v>159.03197128797257</v>
      </c>
      <c r="S218" s="14">
        <v>145.15008650434297</v>
      </c>
      <c r="T218" s="14">
        <v>145.01878570242326</v>
      </c>
      <c r="U218" s="14">
        <v>145.3931879890855</v>
      </c>
      <c r="V218" s="14">
        <v>150.52541933419488</v>
      </c>
      <c r="W218" s="14">
        <v>158.02066511141859</v>
      </c>
      <c r="X218" s="14">
        <v>167.48122289178718</v>
      </c>
      <c r="Y218" s="14">
        <v>178.91689273515587</v>
      </c>
      <c r="Z218" s="14">
        <v>178.00508716630239</v>
      </c>
      <c r="AA218" s="14">
        <v>184.74892835432098</v>
      </c>
      <c r="AB218" s="14">
        <v>182.36301378234484</v>
      </c>
      <c r="AC218" s="14">
        <v>179.94089898927538</v>
      </c>
      <c r="AD218" s="14">
        <v>177.3442831304404</v>
      </c>
      <c r="AE218" s="14">
        <v>171.92485003124622</v>
      </c>
      <c r="AF218" s="14">
        <v>168.78963088289103</v>
      </c>
      <c r="AG218" s="14">
        <v>166.97011977022416</v>
      </c>
      <c r="AH218" s="14">
        <v>163.10889618779638</v>
      </c>
      <c r="AI218" s="15">
        <v>159.03197128797257</v>
      </c>
      <c r="AJ218" s="14">
        <v>143.38517572514789</v>
      </c>
      <c r="AK218" s="14">
        <v>146.70999603149218</v>
      </c>
      <c r="AL218" s="14">
        <v>145.3931879890855</v>
      </c>
      <c r="AM218" s="14">
        <v>150.52541933419488</v>
      </c>
      <c r="AN218" s="14">
        <v>158.02066511141859</v>
      </c>
      <c r="AO218" s="14">
        <v>167.48122289178718</v>
      </c>
      <c r="AP218" s="14">
        <v>178.91689273515587</v>
      </c>
      <c r="AQ218" s="14">
        <v>178.00508716630239</v>
      </c>
      <c r="AR218" s="14">
        <v>163.10889618779638</v>
      </c>
      <c r="AS218" s="14">
        <v>159.03197128797257</v>
      </c>
    </row>
    <row r="219" spans="1:45" x14ac:dyDescent="0.35">
      <c r="A219" s="16">
        <v>6089.7211200000011</v>
      </c>
      <c r="B219" s="14">
        <v>146.64739564916007</v>
      </c>
      <c r="C219" s="14">
        <v>145.0500858935886</v>
      </c>
      <c r="D219" s="14">
        <v>145.42518818452669</v>
      </c>
      <c r="E219" s="14">
        <v>150.54121943069418</v>
      </c>
      <c r="F219" s="14">
        <v>158.01226506011506</v>
      </c>
      <c r="G219" s="14">
        <v>167.4485226920709</v>
      </c>
      <c r="H219" s="14">
        <v>178.83819225449253</v>
      </c>
      <c r="I219" s="14">
        <v>177.9393867650372</v>
      </c>
      <c r="J219" s="14">
        <v>184.68292795122321</v>
      </c>
      <c r="K219" s="14">
        <v>182.30761344398726</v>
      </c>
      <c r="L219" s="14">
        <v>179.88559865152848</v>
      </c>
      <c r="M219" s="14">
        <v>177.28858279025096</v>
      </c>
      <c r="N219" s="14">
        <v>171.86974969472058</v>
      </c>
      <c r="O219" s="14">
        <v>168.73513055002988</v>
      </c>
      <c r="P219" s="14">
        <v>166.91361942514826</v>
      </c>
      <c r="Q219" s="14">
        <v>163.05619586592934</v>
      </c>
      <c r="R219" s="15">
        <v>158.98147097954151</v>
      </c>
      <c r="S219" s="14">
        <v>145.18838673826161</v>
      </c>
      <c r="T219" s="14">
        <v>145.0500858935886</v>
      </c>
      <c r="U219" s="14">
        <v>145.42518818452669</v>
      </c>
      <c r="V219" s="14">
        <v>150.54121943069418</v>
      </c>
      <c r="W219" s="14">
        <v>158.01226506011506</v>
      </c>
      <c r="X219" s="14">
        <v>167.4485226920709</v>
      </c>
      <c r="Y219" s="14">
        <v>178.83819225449253</v>
      </c>
      <c r="Z219" s="14">
        <v>177.9393867650372</v>
      </c>
      <c r="AA219" s="14">
        <v>184.68292795122321</v>
      </c>
      <c r="AB219" s="14">
        <v>182.30761344398726</v>
      </c>
      <c r="AC219" s="14">
        <v>179.88559865152848</v>
      </c>
      <c r="AD219" s="14">
        <v>177.28858279025096</v>
      </c>
      <c r="AE219" s="14">
        <v>171.86974969472058</v>
      </c>
      <c r="AF219" s="14">
        <v>168.73513055002988</v>
      </c>
      <c r="AG219" s="14">
        <v>166.91361942514826</v>
      </c>
      <c r="AH219" s="14">
        <v>163.05619586592934</v>
      </c>
      <c r="AI219" s="15">
        <v>158.98147097954151</v>
      </c>
      <c r="AJ219" s="14">
        <v>143.42307595662328</v>
      </c>
      <c r="AK219" s="14">
        <v>146.74969627396172</v>
      </c>
      <c r="AL219" s="14">
        <v>145.42518818452669</v>
      </c>
      <c r="AM219" s="14">
        <v>150.54121943069418</v>
      </c>
      <c r="AN219" s="14">
        <v>158.01226506011506</v>
      </c>
      <c r="AO219" s="14">
        <v>167.4485226920709</v>
      </c>
      <c r="AP219" s="14">
        <v>178.83819225449253</v>
      </c>
      <c r="AQ219" s="14">
        <v>177.9393867650372</v>
      </c>
      <c r="AR219" s="14">
        <v>163.05619586592934</v>
      </c>
      <c r="AS219" s="14">
        <v>158.98147097954151</v>
      </c>
    </row>
    <row r="220" spans="1:45" x14ac:dyDescent="0.35">
      <c r="A220" s="16">
        <v>6120.1249200000011</v>
      </c>
      <c r="B220" s="14">
        <v>146.65989572550436</v>
      </c>
      <c r="C220" s="14">
        <v>145.05608593023419</v>
      </c>
      <c r="D220" s="14">
        <v>145.43148822300412</v>
      </c>
      <c r="E220" s="14">
        <v>150.53461939038417</v>
      </c>
      <c r="F220" s="14">
        <v>157.98626490131878</v>
      </c>
      <c r="G220" s="14">
        <v>167.40302241417774</v>
      </c>
      <c r="H220" s="14">
        <v>178.75609175306354</v>
      </c>
      <c r="I220" s="14">
        <v>177.86748632590522</v>
      </c>
      <c r="J220" s="14">
        <v>184.61102751209123</v>
      </c>
      <c r="K220" s="14">
        <v>182.24471305982257</v>
      </c>
      <c r="L220" s="14">
        <v>179.82289826858573</v>
      </c>
      <c r="M220" s="14">
        <v>177.22538240425433</v>
      </c>
      <c r="N220" s="14">
        <v>171.80704931177783</v>
      </c>
      <c r="O220" s="14">
        <v>168.67303017075162</v>
      </c>
      <c r="P220" s="14">
        <v>166.85011903731976</v>
      </c>
      <c r="Q220" s="14">
        <v>162.99569549642328</v>
      </c>
      <c r="R220" s="15">
        <v>158.9229706222502</v>
      </c>
      <c r="S220" s="14">
        <v>145.20038681155202</v>
      </c>
      <c r="T220" s="14">
        <v>145.05608593023419</v>
      </c>
      <c r="U220" s="14">
        <v>145.43148822300412</v>
      </c>
      <c r="V220" s="14">
        <v>150.53461939038417</v>
      </c>
      <c r="W220" s="14">
        <v>157.98626490131878</v>
      </c>
      <c r="X220" s="14">
        <v>167.40302241417774</v>
      </c>
      <c r="Y220" s="14">
        <v>178.75609175306354</v>
      </c>
      <c r="Z220" s="14">
        <v>177.86748632590522</v>
      </c>
      <c r="AA220" s="14">
        <v>184.61102751209123</v>
      </c>
      <c r="AB220" s="14">
        <v>182.24471305982257</v>
      </c>
      <c r="AC220" s="14">
        <v>179.82289826858573</v>
      </c>
      <c r="AD220" s="14">
        <v>177.22538240425433</v>
      </c>
      <c r="AE220" s="14">
        <v>171.80704931177783</v>
      </c>
      <c r="AF220" s="14">
        <v>168.67303017075162</v>
      </c>
      <c r="AG220" s="14">
        <v>166.85011903731976</v>
      </c>
      <c r="AH220" s="14">
        <v>162.99569549642328</v>
      </c>
      <c r="AI220" s="15">
        <v>158.9229706222502</v>
      </c>
      <c r="AJ220" s="14">
        <v>143.4349760293031</v>
      </c>
      <c r="AK220" s="14">
        <v>146.7620963496947</v>
      </c>
      <c r="AL220" s="14">
        <v>145.43148822300412</v>
      </c>
      <c r="AM220" s="14">
        <v>150.53461939038417</v>
      </c>
      <c r="AN220" s="14">
        <v>157.98626490131878</v>
      </c>
      <c r="AO220" s="14">
        <v>167.40302241417774</v>
      </c>
      <c r="AP220" s="14">
        <v>178.75609175306354</v>
      </c>
      <c r="AQ220" s="14">
        <v>177.86748632590522</v>
      </c>
      <c r="AR220" s="14">
        <v>162.99569549642328</v>
      </c>
      <c r="AS220" s="14">
        <v>158.9229706222502</v>
      </c>
    </row>
    <row r="221" spans="1:45" x14ac:dyDescent="0.35">
      <c r="A221" s="16">
        <v>6142.8325200000008</v>
      </c>
      <c r="B221" s="14">
        <v>146.6449956345021</v>
      </c>
      <c r="C221" s="14">
        <v>145.03648581052667</v>
      </c>
      <c r="D221" s="14">
        <v>145.4118881032966</v>
      </c>
      <c r="E221" s="14">
        <v>150.5055192126548</v>
      </c>
      <c r="F221" s="14">
        <v>157.94266463503038</v>
      </c>
      <c r="G221" s="14">
        <v>167.34502205994096</v>
      </c>
      <c r="H221" s="14">
        <v>178.67049123025831</v>
      </c>
      <c r="I221" s="14">
        <v>177.78958585012765</v>
      </c>
      <c r="J221" s="14">
        <v>184.53352703875754</v>
      </c>
      <c r="K221" s="14">
        <v>182.17441263046277</v>
      </c>
      <c r="L221" s="14">
        <v>179.75279784044719</v>
      </c>
      <c r="M221" s="14">
        <v>177.15498197428391</v>
      </c>
      <c r="N221" s="14">
        <v>171.7370488842499</v>
      </c>
      <c r="O221" s="14">
        <v>168.60342974566692</v>
      </c>
      <c r="P221" s="14">
        <v>166.77941860551675</v>
      </c>
      <c r="Q221" s="14">
        <v>162.92729507866758</v>
      </c>
      <c r="R221" s="15">
        <v>158.85637021548865</v>
      </c>
      <c r="S221" s="14">
        <v>145.18608672421428</v>
      </c>
      <c r="T221" s="14">
        <v>145.03648581052667</v>
      </c>
      <c r="U221" s="14">
        <v>145.4118881032966</v>
      </c>
      <c r="V221" s="14">
        <v>150.5055192126548</v>
      </c>
      <c r="W221" s="14">
        <v>157.94266463503038</v>
      </c>
      <c r="X221" s="14">
        <v>167.34502205994096</v>
      </c>
      <c r="Y221" s="14">
        <v>178.67049123025831</v>
      </c>
      <c r="Z221" s="14">
        <v>177.78958585012765</v>
      </c>
      <c r="AA221" s="14">
        <v>184.53352703875754</v>
      </c>
      <c r="AB221" s="14">
        <v>182.17441263046277</v>
      </c>
      <c r="AC221" s="14">
        <v>179.75279784044719</v>
      </c>
      <c r="AD221" s="14">
        <v>177.15498197428391</v>
      </c>
      <c r="AE221" s="14">
        <v>171.7370488842499</v>
      </c>
      <c r="AF221" s="14">
        <v>168.60342974566692</v>
      </c>
      <c r="AG221" s="14">
        <v>166.77941860551675</v>
      </c>
      <c r="AH221" s="14">
        <v>162.92729507866758</v>
      </c>
      <c r="AI221" s="15">
        <v>158.85637021548865</v>
      </c>
      <c r="AJ221" s="14">
        <v>143.420775942576</v>
      </c>
      <c r="AK221" s="14">
        <v>146.74719625869247</v>
      </c>
      <c r="AL221" s="14">
        <v>145.4118881032966</v>
      </c>
      <c r="AM221" s="14">
        <v>150.5055192126548</v>
      </c>
      <c r="AN221" s="14">
        <v>157.94266463503038</v>
      </c>
      <c r="AO221" s="14">
        <v>167.34502205994096</v>
      </c>
      <c r="AP221" s="14">
        <v>178.67049123025831</v>
      </c>
      <c r="AQ221" s="14">
        <v>177.78958585012765</v>
      </c>
      <c r="AR221" s="14">
        <v>162.92729507866758</v>
      </c>
      <c r="AS221" s="14">
        <v>158.85637021548865</v>
      </c>
    </row>
    <row r="222" spans="1:45" x14ac:dyDescent="0.35">
      <c r="A222" s="16">
        <v>6165.5408820000002</v>
      </c>
      <c r="B222" s="14">
        <v>146.62499551235138</v>
      </c>
      <c r="C222" s="14">
        <v>145.01188566028131</v>
      </c>
      <c r="D222" s="14">
        <v>145.38728795305127</v>
      </c>
      <c r="E222" s="14">
        <v>150.47121900316631</v>
      </c>
      <c r="F222" s="14">
        <v>157.8939643375935</v>
      </c>
      <c r="G222" s="14">
        <v>167.28182167394436</v>
      </c>
      <c r="H222" s="14">
        <v>178.57979067630455</v>
      </c>
      <c r="I222" s="14">
        <v>177.70638534198031</v>
      </c>
      <c r="J222" s="14">
        <v>184.4508265336641</v>
      </c>
      <c r="K222" s="14">
        <v>182.09911217056509</v>
      </c>
      <c r="L222" s="14">
        <v>179.67769738177148</v>
      </c>
      <c r="M222" s="14">
        <v>177.07958151377494</v>
      </c>
      <c r="N222" s="14">
        <v>171.66204842618487</v>
      </c>
      <c r="O222" s="14">
        <v>168.52892929065573</v>
      </c>
      <c r="P222" s="14">
        <v>166.70381814378717</v>
      </c>
      <c r="Q222" s="14">
        <v>162.8540946315953</v>
      </c>
      <c r="R222" s="15">
        <v>158.78496977941049</v>
      </c>
      <c r="S222" s="14">
        <v>145.16668660572802</v>
      </c>
      <c r="T222" s="14">
        <v>145.01188566028131</v>
      </c>
      <c r="U222" s="14">
        <v>145.38728795305127</v>
      </c>
      <c r="V222" s="14">
        <v>150.47121900316631</v>
      </c>
      <c r="W222" s="14">
        <v>157.8939643375935</v>
      </c>
      <c r="X222" s="14">
        <v>167.28182167394436</v>
      </c>
      <c r="Y222" s="14">
        <v>178.57979067630455</v>
      </c>
      <c r="Z222" s="14">
        <v>177.70638534198031</v>
      </c>
      <c r="AA222" s="14">
        <v>184.4508265336641</v>
      </c>
      <c r="AB222" s="14">
        <v>182.09911217056509</v>
      </c>
      <c r="AC222" s="14">
        <v>179.67769738177148</v>
      </c>
      <c r="AD222" s="14">
        <v>177.07958151377494</v>
      </c>
      <c r="AE222" s="14">
        <v>171.66204842618487</v>
      </c>
      <c r="AF222" s="14">
        <v>168.52892929065573</v>
      </c>
      <c r="AG222" s="14">
        <v>166.70381814378717</v>
      </c>
      <c r="AH222" s="14">
        <v>162.8540946315953</v>
      </c>
      <c r="AI222" s="15">
        <v>158.78496977941049</v>
      </c>
      <c r="AJ222" s="14">
        <v>143.40157582531171</v>
      </c>
      <c r="AK222" s="14">
        <v>146.72719613654172</v>
      </c>
      <c r="AL222" s="14">
        <v>145.38728795305127</v>
      </c>
      <c r="AM222" s="14">
        <v>150.47121900316631</v>
      </c>
      <c r="AN222" s="14">
        <v>157.8939643375935</v>
      </c>
      <c r="AO222" s="14">
        <v>167.28182167394436</v>
      </c>
      <c r="AP222" s="14">
        <v>178.57979067630455</v>
      </c>
      <c r="AQ222" s="14">
        <v>177.70638534198031</v>
      </c>
      <c r="AR222" s="14">
        <v>162.8540946315953</v>
      </c>
      <c r="AS222" s="14">
        <v>158.78496977941049</v>
      </c>
    </row>
    <row r="223" spans="1:45" x14ac:dyDescent="0.35">
      <c r="A223" s="16">
        <v>6188.2500060000002</v>
      </c>
      <c r="B223" s="14">
        <v>146.59979535844153</v>
      </c>
      <c r="C223" s="14">
        <v>144.9822854794981</v>
      </c>
      <c r="D223" s="14">
        <v>145.35748777104607</v>
      </c>
      <c r="E223" s="14">
        <v>150.43191876313998</v>
      </c>
      <c r="F223" s="14">
        <v>157.84016400900745</v>
      </c>
      <c r="G223" s="14">
        <v>167.21342125618864</v>
      </c>
      <c r="H223" s="14">
        <v>178.48399009120229</v>
      </c>
      <c r="I223" s="14">
        <v>177.61798480207389</v>
      </c>
      <c r="J223" s="14">
        <v>184.3629259968115</v>
      </c>
      <c r="K223" s="14">
        <v>182.01871167951896</v>
      </c>
      <c r="L223" s="14">
        <v>179.59759689255725</v>
      </c>
      <c r="M223" s="14">
        <v>176.9992810233401</v>
      </c>
      <c r="N223" s="14">
        <v>171.58214793819255</v>
      </c>
      <c r="O223" s="14">
        <v>168.44942880510663</v>
      </c>
      <c r="P223" s="14">
        <v>166.62331765212971</v>
      </c>
      <c r="Q223" s="14">
        <v>162.7758941539858</v>
      </c>
      <c r="R223" s="15">
        <v>158.70876931401577</v>
      </c>
      <c r="S223" s="14">
        <v>145.1424864579252</v>
      </c>
      <c r="T223" s="14">
        <v>144.9822854794981</v>
      </c>
      <c r="U223" s="14">
        <v>145.35748777104607</v>
      </c>
      <c r="V223" s="14">
        <v>150.43191876313998</v>
      </c>
      <c r="W223" s="14">
        <v>157.84016400900745</v>
      </c>
      <c r="X223" s="14">
        <v>167.21342125618864</v>
      </c>
      <c r="Y223" s="14">
        <v>178.48399009120229</v>
      </c>
      <c r="Z223" s="14">
        <v>177.61798480207389</v>
      </c>
      <c r="AA223" s="14">
        <v>184.3629259968115</v>
      </c>
      <c r="AB223" s="14">
        <v>182.01871167951896</v>
      </c>
      <c r="AC223" s="14">
        <v>179.59759689255725</v>
      </c>
      <c r="AD223" s="14">
        <v>176.9992810233401</v>
      </c>
      <c r="AE223" s="14">
        <v>171.58214793819255</v>
      </c>
      <c r="AF223" s="14">
        <v>168.44942880510663</v>
      </c>
      <c r="AG223" s="14">
        <v>166.62331765212971</v>
      </c>
      <c r="AH223" s="14">
        <v>162.7758941539858</v>
      </c>
      <c r="AI223" s="15">
        <v>158.70876931401577</v>
      </c>
      <c r="AJ223" s="14">
        <v>143.37757567873084</v>
      </c>
      <c r="AK223" s="14">
        <v>146.70209598324249</v>
      </c>
      <c r="AL223" s="14">
        <v>145.35748777104607</v>
      </c>
      <c r="AM223" s="14">
        <v>150.43191876313998</v>
      </c>
      <c r="AN223" s="14">
        <v>157.84016400900745</v>
      </c>
      <c r="AO223" s="14">
        <v>167.21342125618864</v>
      </c>
      <c r="AP223" s="14">
        <v>178.48399009120229</v>
      </c>
      <c r="AQ223" s="14">
        <v>177.61798480207389</v>
      </c>
      <c r="AR223" s="14">
        <v>162.7758941539858</v>
      </c>
      <c r="AS223" s="14">
        <v>158.70876931401577</v>
      </c>
    </row>
    <row r="224" spans="1:45" x14ac:dyDescent="0.35">
      <c r="A224" s="16">
        <v>6210.9598920000008</v>
      </c>
      <c r="B224" s="14">
        <v>146.57379519964522</v>
      </c>
      <c r="C224" s="14">
        <v>144.9517852932178</v>
      </c>
      <c r="D224" s="14">
        <v>145.32668758293389</v>
      </c>
      <c r="E224" s="14">
        <v>150.39171851761722</v>
      </c>
      <c r="F224" s="14">
        <v>157.78546367492501</v>
      </c>
      <c r="G224" s="14">
        <v>167.14392083171461</v>
      </c>
      <c r="H224" s="14">
        <v>178.38718949999301</v>
      </c>
      <c r="I224" s="14">
        <v>177.52838425483844</v>
      </c>
      <c r="J224" s="14">
        <v>184.27392545324057</v>
      </c>
      <c r="K224" s="14">
        <v>181.93751118358705</v>
      </c>
      <c r="L224" s="14">
        <v>179.51669639845792</v>
      </c>
      <c r="M224" s="14">
        <v>176.9179805267969</v>
      </c>
      <c r="N224" s="14">
        <v>171.50134744470319</v>
      </c>
      <c r="O224" s="14">
        <v>168.3690283140605</v>
      </c>
      <c r="P224" s="14">
        <v>166.54191715497655</v>
      </c>
      <c r="Q224" s="14">
        <v>162.69689367149061</v>
      </c>
      <c r="R224" s="15">
        <v>158.63156884251401</v>
      </c>
      <c r="S224" s="14">
        <v>145.11728630401535</v>
      </c>
      <c r="T224" s="14">
        <v>144.9517852932178</v>
      </c>
      <c r="U224" s="14">
        <v>145.32668758293389</v>
      </c>
      <c r="V224" s="14">
        <v>150.39171851761722</v>
      </c>
      <c r="W224" s="14">
        <v>157.78546367492501</v>
      </c>
      <c r="X224" s="14">
        <v>167.14392083171461</v>
      </c>
      <c r="Y224" s="14">
        <v>178.38718949999301</v>
      </c>
      <c r="Z224" s="14">
        <v>177.52838425483844</v>
      </c>
      <c r="AA224" s="14">
        <v>184.27392545324057</v>
      </c>
      <c r="AB224" s="14">
        <v>181.93751118358705</v>
      </c>
      <c r="AC224" s="14">
        <v>179.51669639845792</v>
      </c>
      <c r="AD224" s="14">
        <v>176.9179805267969</v>
      </c>
      <c r="AE224" s="14">
        <v>171.50134744470319</v>
      </c>
      <c r="AF224" s="14">
        <v>168.3690283140605</v>
      </c>
      <c r="AG224" s="14">
        <v>166.54191715497655</v>
      </c>
      <c r="AH224" s="14">
        <v>162.69689367149061</v>
      </c>
      <c r="AI224" s="15">
        <v>158.63156884251401</v>
      </c>
      <c r="AJ224" s="14">
        <v>143.35267552665286</v>
      </c>
      <c r="AK224" s="14">
        <v>146.67599582383625</v>
      </c>
      <c r="AL224" s="14">
        <v>145.32668758293389</v>
      </c>
      <c r="AM224" s="14">
        <v>150.39171851761722</v>
      </c>
      <c r="AN224" s="14">
        <v>157.78546367492501</v>
      </c>
      <c r="AO224" s="14">
        <v>167.14392083171461</v>
      </c>
      <c r="AP224" s="14">
        <v>178.38718949999301</v>
      </c>
      <c r="AQ224" s="14">
        <v>177.52838425483844</v>
      </c>
      <c r="AR224" s="14">
        <v>162.69689367149061</v>
      </c>
      <c r="AS224" s="14">
        <v>158.63156884251401</v>
      </c>
    </row>
    <row r="225" spans="1:45" x14ac:dyDescent="0.35">
      <c r="A225" s="16">
        <v>6233.6705400000001</v>
      </c>
      <c r="B225" s="14">
        <v>146.54679503474193</v>
      </c>
      <c r="C225" s="14">
        <v>144.9203851014411</v>
      </c>
      <c r="D225" s="14">
        <v>145.29488738871467</v>
      </c>
      <c r="E225" s="14">
        <v>150.35061826659742</v>
      </c>
      <c r="F225" s="14">
        <v>157.72976333473554</v>
      </c>
      <c r="G225" s="14">
        <v>167.07352040174416</v>
      </c>
      <c r="H225" s="14">
        <v>178.28948890328599</v>
      </c>
      <c r="I225" s="14">
        <v>177.43778370149533</v>
      </c>
      <c r="J225" s="14">
        <v>184.1838249029513</v>
      </c>
      <c r="K225" s="14">
        <v>181.85531068154745</v>
      </c>
      <c r="L225" s="14">
        <v>179.43489589886084</v>
      </c>
      <c r="M225" s="14">
        <v>176.83588002536791</v>
      </c>
      <c r="N225" s="14">
        <v>171.41964694571743</v>
      </c>
      <c r="O225" s="14">
        <v>168.28772781751726</v>
      </c>
      <c r="P225" s="14">
        <v>166.45951665171498</v>
      </c>
      <c r="Q225" s="14">
        <v>162.61699318349829</v>
      </c>
      <c r="R225" s="15">
        <v>158.55356836612583</v>
      </c>
      <c r="S225" s="14">
        <v>145.09128614521975</v>
      </c>
      <c r="T225" s="14">
        <v>144.9203851014411</v>
      </c>
      <c r="U225" s="14">
        <v>145.29488738871467</v>
      </c>
      <c r="V225" s="14">
        <v>150.35061826659742</v>
      </c>
      <c r="W225" s="14">
        <v>157.72976333473554</v>
      </c>
      <c r="X225" s="14">
        <v>167.07352040174416</v>
      </c>
      <c r="Y225" s="14">
        <v>178.28948890328599</v>
      </c>
      <c r="Z225" s="14">
        <v>177.43778370149533</v>
      </c>
      <c r="AA225" s="14">
        <v>184.1838249029513</v>
      </c>
      <c r="AB225" s="14">
        <v>181.85531068154745</v>
      </c>
      <c r="AC225" s="14">
        <v>179.43489589886084</v>
      </c>
      <c r="AD225" s="14">
        <v>176.83588002536791</v>
      </c>
      <c r="AE225" s="14">
        <v>171.41964694571743</v>
      </c>
      <c r="AF225" s="14">
        <v>168.28772781751726</v>
      </c>
      <c r="AG225" s="14">
        <v>166.45951665171498</v>
      </c>
      <c r="AH225" s="14">
        <v>162.61699318349829</v>
      </c>
      <c r="AI225" s="15">
        <v>158.55356836612583</v>
      </c>
      <c r="AJ225" s="14">
        <v>143.32687536907852</v>
      </c>
      <c r="AK225" s="14">
        <v>146.64909565954289</v>
      </c>
      <c r="AL225" s="14">
        <v>145.29488738871467</v>
      </c>
      <c r="AM225" s="14">
        <v>150.35061826659742</v>
      </c>
      <c r="AN225" s="14">
        <v>157.72976333473554</v>
      </c>
      <c r="AO225" s="14">
        <v>167.07352040174416</v>
      </c>
      <c r="AP225" s="14">
        <v>178.28948890328599</v>
      </c>
      <c r="AQ225" s="14">
        <v>177.43778370149533</v>
      </c>
      <c r="AR225" s="14">
        <v>162.61699318349829</v>
      </c>
      <c r="AS225" s="14">
        <v>158.55356836612583</v>
      </c>
    </row>
    <row r="226" spans="1:45" x14ac:dyDescent="0.35">
      <c r="A226" s="16">
        <v>6256.38195</v>
      </c>
      <c r="B226" s="14">
        <v>146.51609484724037</v>
      </c>
      <c r="C226" s="14">
        <v>144.88518488645553</v>
      </c>
      <c r="D226" s="14">
        <v>145.25928717128591</v>
      </c>
      <c r="E226" s="14">
        <v>150.30571799236873</v>
      </c>
      <c r="F226" s="14">
        <v>157.67036297194784</v>
      </c>
      <c r="G226" s="14">
        <v>166.99921994795355</v>
      </c>
      <c r="H226" s="14">
        <v>178.18798828337077</v>
      </c>
      <c r="I226" s="14">
        <v>177.34318312372204</v>
      </c>
      <c r="J226" s="14">
        <v>184.08992432945314</v>
      </c>
      <c r="K226" s="14">
        <v>181.76941015690957</v>
      </c>
      <c r="L226" s="14">
        <v>179.34939537666619</v>
      </c>
      <c r="M226" s="14">
        <v>176.75007950134136</v>
      </c>
      <c r="N226" s="14">
        <v>171.33424642413343</v>
      </c>
      <c r="O226" s="14">
        <v>168.2028272989871</v>
      </c>
      <c r="P226" s="14">
        <v>166.37361612707781</v>
      </c>
      <c r="Q226" s="14">
        <v>162.53339267290775</v>
      </c>
      <c r="R226" s="15">
        <v>158.47196786775069</v>
      </c>
      <c r="S226" s="14">
        <v>145.06158596382591</v>
      </c>
      <c r="T226" s="14">
        <v>144.88518488645553</v>
      </c>
      <c r="U226" s="14">
        <v>145.25928717128591</v>
      </c>
      <c r="V226" s="14">
        <v>150.30571799236873</v>
      </c>
      <c r="W226" s="14">
        <v>157.67036297194784</v>
      </c>
      <c r="X226" s="14">
        <v>166.99921994795355</v>
      </c>
      <c r="Y226" s="14">
        <v>178.18798828337077</v>
      </c>
      <c r="Z226" s="14">
        <v>177.34318312372204</v>
      </c>
      <c r="AA226" s="14">
        <v>184.08992432945314</v>
      </c>
      <c r="AB226" s="14">
        <v>181.76941015690957</v>
      </c>
      <c r="AC226" s="14">
        <v>179.34939537666619</v>
      </c>
      <c r="AD226" s="14">
        <v>176.75007950134136</v>
      </c>
      <c r="AE226" s="14">
        <v>171.33424642413343</v>
      </c>
      <c r="AF226" s="14">
        <v>168.2028272989871</v>
      </c>
      <c r="AG226" s="14">
        <v>166.37361612707781</v>
      </c>
      <c r="AH226" s="14">
        <v>162.53339267290775</v>
      </c>
      <c r="AI226" s="15">
        <v>158.47196786775069</v>
      </c>
      <c r="AJ226" s="14">
        <v>143.29747518951658</v>
      </c>
      <c r="AK226" s="14">
        <v>146.61839547204201</v>
      </c>
      <c r="AL226" s="14">
        <v>145.25928717128591</v>
      </c>
      <c r="AM226" s="14">
        <v>150.30571799236873</v>
      </c>
      <c r="AN226" s="14">
        <v>157.67036297194784</v>
      </c>
      <c r="AO226" s="14">
        <v>166.99921994795355</v>
      </c>
      <c r="AP226" s="14">
        <v>178.18798828337077</v>
      </c>
      <c r="AQ226" s="14">
        <v>177.34318312372204</v>
      </c>
      <c r="AR226" s="14">
        <v>162.53339267290775</v>
      </c>
      <c r="AS226" s="14">
        <v>158.47196786775069</v>
      </c>
    </row>
    <row r="227" spans="1:45" x14ac:dyDescent="0.35">
      <c r="A227" s="16">
        <v>6279.0941220000004</v>
      </c>
      <c r="B227" s="14">
        <v>146.48159463653062</v>
      </c>
      <c r="C227" s="14">
        <v>144.84638464948304</v>
      </c>
      <c r="D227" s="14">
        <v>145.2198869306489</v>
      </c>
      <c r="E227" s="14">
        <v>150.25711769554249</v>
      </c>
      <c r="F227" s="14">
        <v>157.60716258595124</v>
      </c>
      <c r="G227" s="14">
        <v>166.92101947034405</v>
      </c>
      <c r="H227" s="14">
        <v>178.0825876396367</v>
      </c>
      <c r="I227" s="14">
        <v>177.24478252274059</v>
      </c>
      <c r="J227" s="14">
        <v>183.99202373152485</v>
      </c>
      <c r="K227" s="14">
        <v>181.67980960967418</v>
      </c>
      <c r="L227" s="14">
        <v>179.26029483248462</v>
      </c>
      <c r="M227" s="14">
        <v>176.66057895471658</v>
      </c>
      <c r="N227" s="14">
        <v>171.24534588117382</v>
      </c>
      <c r="O227" s="14">
        <v>168.11432675847004</v>
      </c>
      <c r="P227" s="14">
        <v>166.28401557984239</v>
      </c>
      <c r="Q227" s="14">
        <v>162.44629214094164</v>
      </c>
      <c r="R227" s="15">
        <v>158.38686734799927</v>
      </c>
      <c r="S227" s="14">
        <v>145.02828576044442</v>
      </c>
      <c r="T227" s="14">
        <v>144.84638464948304</v>
      </c>
      <c r="U227" s="14">
        <v>145.2198869306489</v>
      </c>
      <c r="V227" s="14">
        <v>150.25711769554249</v>
      </c>
      <c r="W227" s="14">
        <v>157.60716258595124</v>
      </c>
      <c r="X227" s="14">
        <v>166.92101947034405</v>
      </c>
      <c r="Y227" s="14">
        <v>178.0825876396367</v>
      </c>
      <c r="Z227" s="14">
        <v>177.24478252274059</v>
      </c>
      <c r="AA227" s="14">
        <v>183.99202373152485</v>
      </c>
      <c r="AB227" s="14">
        <v>181.67980960967418</v>
      </c>
      <c r="AC227" s="14">
        <v>179.26029483248462</v>
      </c>
      <c r="AD227" s="14">
        <v>176.66057895471658</v>
      </c>
      <c r="AE227" s="14">
        <v>171.24534588117382</v>
      </c>
      <c r="AF227" s="14">
        <v>168.11432675847004</v>
      </c>
      <c r="AG227" s="14">
        <v>166.28401557984239</v>
      </c>
      <c r="AH227" s="14">
        <v>162.44629214094164</v>
      </c>
      <c r="AI227" s="15">
        <v>158.38686734799927</v>
      </c>
      <c r="AJ227" s="14">
        <v>143.26447498796767</v>
      </c>
      <c r="AK227" s="14">
        <v>146.58389526133158</v>
      </c>
      <c r="AL227" s="14">
        <v>145.2198869306489</v>
      </c>
      <c r="AM227" s="14">
        <v>150.25711769554249</v>
      </c>
      <c r="AN227" s="14">
        <v>157.60716258595124</v>
      </c>
      <c r="AO227" s="14">
        <v>166.92101947034405</v>
      </c>
      <c r="AP227" s="14">
        <v>178.0825876396367</v>
      </c>
      <c r="AQ227" s="14">
        <v>177.24478252274059</v>
      </c>
      <c r="AR227" s="14">
        <v>162.44629214094164</v>
      </c>
      <c r="AS227" s="14">
        <v>158.38686734799927</v>
      </c>
    </row>
    <row r="228" spans="1:45" x14ac:dyDescent="0.35">
      <c r="A228" s="16">
        <v>6309.5002080000004</v>
      </c>
      <c r="B228" s="14">
        <v>146.49399471226428</v>
      </c>
      <c r="C228" s="14">
        <v>144.85288468918247</v>
      </c>
      <c r="D228" s="14">
        <v>145.22548696485123</v>
      </c>
      <c r="E228" s="14">
        <v>150.25051765523244</v>
      </c>
      <c r="F228" s="14">
        <v>157.58116242715496</v>
      </c>
      <c r="G228" s="14">
        <v>166.87471918756512</v>
      </c>
      <c r="H228" s="14">
        <v>178.00018713637516</v>
      </c>
      <c r="I228" s="14">
        <v>177.17078207078254</v>
      </c>
      <c r="J228" s="14">
        <v>183.91812328017812</v>
      </c>
      <c r="K228" s="14">
        <v>181.61630922184568</v>
      </c>
      <c r="L228" s="14">
        <v>179.19739444832064</v>
      </c>
      <c r="M228" s="14">
        <v>176.59737856871999</v>
      </c>
      <c r="N228" s="14">
        <v>171.18254549761977</v>
      </c>
      <c r="O228" s="14">
        <v>168.05212637858116</v>
      </c>
      <c r="P228" s="14">
        <v>166.22031519079195</v>
      </c>
      <c r="Q228" s="14">
        <v>162.38569177082425</v>
      </c>
      <c r="R228" s="15">
        <v>158.32826699009732</v>
      </c>
      <c r="S228" s="14">
        <v>145.04018583312421</v>
      </c>
      <c r="T228" s="14">
        <v>144.85288468918247</v>
      </c>
      <c r="U228" s="14">
        <v>145.22548696485123</v>
      </c>
      <c r="V228" s="14">
        <v>150.25051765523244</v>
      </c>
      <c r="W228" s="14">
        <v>157.58116242715496</v>
      </c>
      <c r="X228" s="14">
        <v>166.87471918756512</v>
      </c>
      <c r="Y228" s="14">
        <v>178.00018713637516</v>
      </c>
      <c r="Z228" s="14">
        <v>177.17078207078254</v>
      </c>
      <c r="AA228" s="14">
        <v>183.91812328017812</v>
      </c>
      <c r="AB228" s="14">
        <v>181.61630922184568</v>
      </c>
      <c r="AC228" s="14">
        <v>179.19739444832064</v>
      </c>
      <c r="AD228" s="14">
        <v>176.59737856871999</v>
      </c>
      <c r="AE228" s="14">
        <v>171.18254549761977</v>
      </c>
      <c r="AF228" s="14">
        <v>168.05212637858116</v>
      </c>
      <c r="AG228" s="14">
        <v>166.22031519079195</v>
      </c>
      <c r="AH228" s="14">
        <v>162.38569177082425</v>
      </c>
      <c r="AI228" s="15">
        <v>158.32826699009732</v>
      </c>
      <c r="AJ228" s="14">
        <v>143.27627506003685</v>
      </c>
      <c r="AK228" s="14">
        <v>146.5961953364546</v>
      </c>
      <c r="AL228" s="14">
        <v>145.22548696485123</v>
      </c>
      <c r="AM228" s="14">
        <v>150.25051765523244</v>
      </c>
      <c r="AN228" s="14">
        <v>157.58116242715496</v>
      </c>
      <c r="AO228" s="14">
        <v>166.87471918756512</v>
      </c>
      <c r="AP228" s="14">
        <v>178.00018713637516</v>
      </c>
      <c r="AQ228" s="14">
        <v>177.17078207078254</v>
      </c>
      <c r="AR228" s="14">
        <v>162.38569177082425</v>
      </c>
      <c r="AS228" s="14">
        <v>158.32826699009732</v>
      </c>
    </row>
    <row r="229" spans="1:45" x14ac:dyDescent="0.35">
      <c r="A229" s="16">
        <v>6347.6002079999998</v>
      </c>
      <c r="B229" s="14">
        <v>146.55309507321937</v>
      </c>
      <c r="C229" s="14">
        <v>144.90458500494179</v>
      </c>
      <c r="D229" s="14">
        <v>145.27618727450354</v>
      </c>
      <c r="E229" s="14">
        <v>150.28611787266124</v>
      </c>
      <c r="F229" s="14">
        <v>157.59236249555963</v>
      </c>
      <c r="G229" s="14">
        <v>166.86051910083802</v>
      </c>
      <c r="H229" s="14">
        <v>177.94048677175553</v>
      </c>
      <c r="I229" s="14">
        <v>177.12128176845994</v>
      </c>
      <c r="J229" s="14">
        <v>183.86792297357968</v>
      </c>
      <c r="K229" s="14">
        <v>181.57880899281278</v>
      </c>
      <c r="L229" s="14">
        <v>179.16069422417351</v>
      </c>
      <c r="M229" s="14">
        <v>176.56017834151973</v>
      </c>
      <c r="N229" s="14">
        <v>171.14594527408397</v>
      </c>
      <c r="O229" s="14">
        <v>168.01612615870982</v>
      </c>
      <c r="P229" s="14">
        <v>166.18241495931653</v>
      </c>
      <c r="Q229" s="14">
        <v>162.35139156133573</v>
      </c>
      <c r="R229" s="15">
        <v>158.29616679404552</v>
      </c>
      <c r="S229" s="14">
        <v>145.09738618247525</v>
      </c>
      <c r="T229" s="14">
        <v>144.90458500494179</v>
      </c>
      <c r="U229" s="14">
        <v>145.27618727450354</v>
      </c>
      <c r="V229" s="14">
        <v>150.28611787266124</v>
      </c>
      <c r="W229" s="14">
        <v>157.59236249555963</v>
      </c>
      <c r="X229" s="14">
        <v>166.86051910083802</v>
      </c>
      <c r="Y229" s="14">
        <v>177.94048677175553</v>
      </c>
      <c r="Z229" s="14">
        <v>177.12128176845994</v>
      </c>
      <c r="AA229" s="14">
        <v>183.86792297357968</v>
      </c>
      <c r="AB229" s="14">
        <v>181.57880899281278</v>
      </c>
      <c r="AC229" s="14">
        <v>179.16069422417351</v>
      </c>
      <c r="AD229" s="14">
        <v>176.56017834151973</v>
      </c>
      <c r="AE229" s="14">
        <v>171.14594527408397</v>
      </c>
      <c r="AF229" s="14">
        <v>168.01612615870982</v>
      </c>
      <c r="AG229" s="14">
        <v>166.18241495931653</v>
      </c>
      <c r="AH229" s="14">
        <v>162.35139156133573</v>
      </c>
      <c r="AI229" s="15">
        <v>158.29616679404552</v>
      </c>
      <c r="AJ229" s="14">
        <v>143.3328754057234</v>
      </c>
      <c r="AK229" s="14">
        <v>146.65529569740974</v>
      </c>
      <c r="AL229" s="14">
        <v>145.27618727450354</v>
      </c>
      <c r="AM229" s="14">
        <v>150.28611787266124</v>
      </c>
      <c r="AN229" s="14">
        <v>157.59236249555963</v>
      </c>
      <c r="AO229" s="14">
        <v>166.86051910083802</v>
      </c>
      <c r="AP229" s="14">
        <v>177.94048677175553</v>
      </c>
      <c r="AQ229" s="14">
        <v>177.12128176845994</v>
      </c>
      <c r="AR229" s="14">
        <v>162.35139156133573</v>
      </c>
      <c r="AS229" s="14">
        <v>158.29616679404552</v>
      </c>
    </row>
    <row r="230" spans="1:45" x14ac:dyDescent="0.35">
      <c r="A230" s="16">
        <v>6385.7002080000002</v>
      </c>
      <c r="B230" s="14">
        <v>146.58009523812271</v>
      </c>
      <c r="C230" s="14">
        <v>144.92408512403935</v>
      </c>
      <c r="D230" s="14">
        <v>145.29478738810334</v>
      </c>
      <c r="E230" s="14">
        <v>150.28961789403752</v>
      </c>
      <c r="F230" s="14">
        <v>157.57146236791183</v>
      </c>
      <c r="G230" s="14">
        <v>166.81411881744847</v>
      </c>
      <c r="H230" s="14">
        <v>177.84858621047212</v>
      </c>
      <c r="I230" s="14">
        <v>177.03938126825221</v>
      </c>
      <c r="J230" s="14">
        <v>183.78562247092944</v>
      </c>
      <c r="K230" s="14">
        <v>181.51010857322518</v>
      </c>
      <c r="L230" s="14">
        <v>179.09309381130424</v>
      </c>
      <c r="M230" s="14">
        <v>176.49197792498526</v>
      </c>
      <c r="N230" s="14">
        <v>171.0783448612147</v>
      </c>
      <c r="O230" s="14">
        <v>167.94922575011569</v>
      </c>
      <c r="P230" s="14">
        <v>166.11371453972822</v>
      </c>
      <c r="Q230" s="14">
        <v>162.28649116495635</v>
      </c>
      <c r="R230" s="15">
        <v>158.23376641293467</v>
      </c>
      <c r="S230" s="14">
        <v>145.12348634188217</v>
      </c>
      <c r="T230" s="14">
        <v>144.92408512403935</v>
      </c>
      <c r="U230" s="14">
        <v>145.29478738810334</v>
      </c>
      <c r="V230" s="14">
        <v>150.28961789403752</v>
      </c>
      <c r="W230" s="14">
        <v>157.57146236791183</v>
      </c>
      <c r="X230" s="14">
        <v>166.81411881744847</v>
      </c>
      <c r="Y230" s="14">
        <v>177.84858621047212</v>
      </c>
      <c r="Z230" s="14">
        <v>177.03938126825221</v>
      </c>
      <c r="AA230" s="14">
        <v>183.78562247092944</v>
      </c>
      <c r="AB230" s="14">
        <v>181.51010857322518</v>
      </c>
      <c r="AC230" s="14">
        <v>179.09309381130424</v>
      </c>
      <c r="AD230" s="14">
        <v>176.49197792498526</v>
      </c>
      <c r="AE230" s="14">
        <v>171.0783448612147</v>
      </c>
      <c r="AF230" s="14">
        <v>167.94922575011569</v>
      </c>
      <c r="AG230" s="14">
        <v>166.11371453972822</v>
      </c>
      <c r="AH230" s="14">
        <v>162.28649116495635</v>
      </c>
      <c r="AI230" s="15">
        <v>158.23376641293467</v>
      </c>
      <c r="AJ230" s="14">
        <v>143.35877556390906</v>
      </c>
      <c r="AK230" s="14">
        <v>146.68239586292435</v>
      </c>
      <c r="AL230" s="14">
        <v>145.29478738810334</v>
      </c>
      <c r="AM230" s="14">
        <v>150.28961789403752</v>
      </c>
      <c r="AN230" s="14">
        <v>157.57146236791183</v>
      </c>
      <c r="AO230" s="14">
        <v>166.81411881744847</v>
      </c>
      <c r="AP230" s="14">
        <v>177.84858621047212</v>
      </c>
      <c r="AQ230" s="14">
        <v>177.03938126825221</v>
      </c>
      <c r="AR230" s="14">
        <v>162.28649116495635</v>
      </c>
      <c r="AS230" s="14">
        <v>158.23376641293467</v>
      </c>
    </row>
    <row r="231" spans="1:45" x14ac:dyDescent="0.35">
      <c r="A231" s="16">
        <v>6423.8002079999997</v>
      </c>
      <c r="B231" s="14">
        <v>146.57509520758552</v>
      </c>
      <c r="C231" s="14">
        <v>144.91148504708443</v>
      </c>
      <c r="D231" s="14">
        <v>145.28138730626267</v>
      </c>
      <c r="E231" s="14">
        <v>150.261017719362</v>
      </c>
      <c r="F231" s="14">
        <v>157.5183620436016</v>
      </c>
      <c r="G231" s="14">
        <v>166.73521833556387</v>
      </c>
      <c r="H231" s="14">
        <v>177.72458545313759</v>
      </c>
      <c r="I231" s="14">
        <v>176.92498056954946</v>
      </c>
      <c r="J231" s="14">
        <v>183.67142177344797</v>
      </c>
      <c r="K231" s="14">
        <v>181.41030796369279</v>
      </c>
      <c r="L231" s="14">
        <v>178.99439320849018</v>
      </c>
      <c r="M231" s="14">
        <v>176.39277731911804</v>
      </c>
      <c r="N231" s="14">
        <v>170.9798442596219</v>
      </c>
      <c r="O231" s="14">
        <v>167.85142515279804</v>
      </c>
      <c r="P231" s="14">
        <v>166.0141139314178</v>
      </c>
      <c r="Q231" s="14">
        <v>162.1907905804654</v>
      </c>
      <c r="R231" s="15">
        <v>158.14086584554423</v>
      </c>
      <c r="S231" s="14">
        <v>145.1186863125663</v>
      </c>
      <c r="T231" s="14">
        <v>144.91148504708443</v>
      </c>
      <c r="U231" s="14">
        <v>145.28138730626267</v>
      </c>
      <c r="V231" s="14">
        <v>150.261017719362</v>
      </c>
      <c r="W231" s="14">
        <v>157.5183620436016</v>
      </c>
      <c r="X231" s="14">
        <v>166.73521833556387</v>
      </c>
      <c r="Y231" s="14">
        <v>177.72458545313759</v>
      </c>
      <c r="Z231" s="14">
        <v>176.92498056954946</v>
      </c>
      <c r="AA231" s="14">
        <v>183.67142177344797</v>
      </c>
      <c r="AB231" s="14">
        <v>181.41030796369279</v>
      </c>
      <c r="AC231" s="14">
        <v>178.99439320849018</v>
      </c>
      <c r="AD231" s="14">
        <v>176.39277731911804</v>
      </c>
      <c r="AE231" s="14">
        <v>170.9798442596219</v>
      </c>
      <c r="AF231" s="14">
        <v>167.85142515279804</v>
      </c>
      <c r="AG231" s="14">
        <v>166.0141139314178</v>
      </c>
      <c r="AH231" s="14">
        <v>162.1907905804654</v>
      </c>
      <c r="AI231" s="15">
        <v>158.14086584554423</v>
      </c>
      <c r="AJ231" s="14">
        <v>143.35387553398186</v>
      </c>
      <c r="AK231" s="14">
        <v>146.67729583177587</v>
      </c>
      <c r="AL231" s="14">
        <v>145.28138730626267</v>
      </c>
      <c r="AM231" s="14">
        <v>150.261017719362</v>
      </c>
      <c r="AN231" s="14">
        <v>157.5183620436016</v>
      </c>
      <c r="AO231" s="14">
        <v>166.73521833556387</v>
      </c>
      <c r="AP231" s="14">
        <v>177.72458545313759</v>
      </c>
      <c r="AQ231" s="14">
        <v>176.92498056954946</v>
      </c>
      <c r="AR231" s="14">
        <v>162.1907905804654</v>
      </c>
      <c r="AS231" s="14">
        <v>158.14086584554423</v>
      </c>
    </row>
    <row r="232" spans="1:45" x14ac:dyDescent="0.35">
      <c r="A232" s="16">
        <v>6461.900208</v>
      </c>
      <c r="B232" s="14">
        <v>146.58699528026534</v>
      </c>
      <c r="C232" s="14">
        <v>144.91578507334646</v>
      </c>
      <c r="D232" s="14">
        <v>145.28508732886021</v>
      </c>
      <c r="E232" s="14">
        <v>150.24941764851411</v>
      </c>
      <c r="F232" s="14">
        <v>157.48236182373026</v>
      </c>
      <c r="G232" s="14">
        <v>166.67311795628561</v>
      </c>
      <c r="H232" s="14">
        <v>177.61738479840938</v>
      </c>
      <c r="I232" s="14">
        <v>176.82707997162186</v>
      </c>
      <c r="J232" s="14">
        <v>183.5733211742984</v>
      </c>
      <c r="K232" s="14">
        <v>181.32660745249163</v>
      </c>
      <c r="L232" s="14">
        <v>178.91209270583994</v>
      </c>
      <c r="M232" s="14">
        <v>176.30987681280263</v>
      </c>
      <c r="N232" s="14">
        <v>170.8976437575823</v>
      </c>
      <c r="O232" s="14">
        <v>167.76992465503352</v>
      </c>
      <c r="P232" s="14">
        <v>165.93071342204851</v>
      </c>
      <c r="Q232" s="14">
        <v>162.11129009491566</v>
      </c>
      <c r="R232" s="15">
        <v>158.0640653764857</v>
      </c>
      <c r="S232" s="14">
        <v>145.13018638280286</v>
      </c>
      <c r="T232" s="14">
        <v>144.91578507334646</v>
      </c>
      <c r="U232" s="14">
        <v>145.28508732886021</v>
      </c>
      <c r="V232" s="14">
        <v>150.24941764851411</v>
      </c>
      <c r="W232" s="14">
        <v>157.48236182373026</v>
      </c>
      <c r="X232" s="14">
        <v>166.67311795628561</v>
      </c>
      <c r="Y232" s="14">
        <v>177.61738479840938</v>
      </c>
      <c r="Z232" s="14">
        <v>176.82707997162186</v>
      </c>
      <c r="AA232" s="14">
        <v>183.5733211742984</v>
      </c>
      <c r="AB232" s="14">
        <v>181.32660745249163</v>
      </c>
      <c r="AC232" s="14">
        <v>178.91209270583994</v>
      </c>
      <c r="AD232" s="14">
        <v>176.30987681280263</v>
      </c>
      <c r="AE232" s="14">
        <v>170.8976437575823</v>
      </c>
      <c r="AF232" s="14">
        <v>167.76992465503352</v>
      </c>
      <c r="AG232" s="14">
        <v>165.93071342204851</v>
      </c>
      <c r="AH232" s="14">
        <v>162.11129009491566</v>
      </c>
      <c r="AI232" s="15">
        <v>158.0640653764857</v>
      </c>
      <c r="AJ232" s="14">
        <v>143.36527560360778</v>
      </c>
      <c r="AK232" s="14">
        <v>146.68919590445569</v>
      </c>
      <c r="AL232" s="14">
        <v>145.28508732886021</v>
      </c>
      <c r="AM232" s="14">
        <v>150.24941764851411</v>
      </c>
      <c r="AN232" s="14">
        <v>157.48236182373026</v>
      </c>
      <c r="AO232" s="14">
        <v>166.67311795628561</v>
      </c>
      <c r="AP232" s="14">
        <v>177.61738479840938</v>
      </c>
      <c r="AQ232" s="14">
        <v>176.82707997162186</v>
      </c>
      <c r="AR232" s="14">
        <v>162.11129009491566</v>
      </c>
      <c r="AS232" s="14">
        <v>158.0640653764857</v>
      </c>
    </row>
    <row r="233" spans="1:45" x14ac:dyDescent="0.35">
      <c r="A233" s="16">
        <v>6500.0002080000004</v>
      </c>
      <c r="B233" s="14">
        <v>146.61579545616212</v>
      </c>
      <c r="C233" s="14">
        <v>144.93708520343679</v>
      </c>
      <c r="D233" s="14">
        <v>145.30568745467613</v>
      </c>
      <c r="E233" s="14">
        <v>150.25481768149518</v>
      </c>
      <c r="F233" s="14">
        <v>157.46326170707664</v>
      </c>
      <c r="G233" s="14">
        <v>166.62761767839245</v>
      </c>
      <c r="H233" s="14">
        <v>177.52708424689885</v>
      </c>
      <c r="I233" s="14">
        <v>176.74557947385736</v>
      </c>
      <c r="J233" s="14">
        <v>183.49142067409136</v>
      </c>
      <c r="K233" s="14">
        <v>181.259107040233</v>
      </c>
      <c r="L233" s="14">
        <v>178.84599230213158</v>
      </c>
      <c r="M233" s="14">
        <v>176.24337640665169</v>
      </c>
      <c r="N233" s="14">
        <v>170.83164335448456</v>
      </c>
      <c r="O233" s="14">
        <v>167.70462425621159</v>
      </c>
      <c r="P233" s="14">
        <v>165.86361301223312</v>
      </c>
      <c r="Q233" s="14">
        <v>162.04798970830842</v>
      </c>
      <c r="R233" s="15">
        <v>158.00326500514706</v>
      </c>
      <c r="S233" s="14">
        <v>145.15808655320325</v>
      </c>
      <c r="T233" s="14">
        <v>144.93708520343679</v>
      </c>
      <c r="U233" s="14">
        <v>145.30568745467613</v>
      </c>
      <c r="V233" s="14">
        <v>150.25481768149518</v>
      </c>
      <c r="W233" s="14">
        <v>157.46326170707664</v>
      </c>
      <c r="X233" s="14">
        <v>166.62761767839245</v>
      </c>
      <c r="Y233" s="14">
        <v>177.52708424689885</v>
      </c>
      <c r="Z233" s="14">
        <v>176.74557947385736</v>
      </c>
      <c r="AA233" s="14">
        <v>183.49142067409136</v>
      </c>
      <c r="AB233" s="14">
        <v>181.259107040233</v>
      </c>
      <c r="AC233" s="14">
        <v>178.84599230213158</v>
      </c>
      <c r="AD233" s="14">
        <v>176.24337640665169</v>
      </c>
      <c r="AE233" s="14">
        <v>170.83164335448456</v>
      </c>
      <c r="AF233" s="14">
        <v>167.70462425621159</v>
      </c>
      <c r="AG233" s="14">
        <v>165.86361301223312</v>
      </c>
      <c r="AH233" s="14">
        <v>162.04798970830842</v>
      </c>
      <c r="AI233" s="15">
        <v>158.00326500514706</v>
      </c>
      <c r="AJ233" s="14">
        <v>143.3928757721763</v>
      </c>
      <c r="AK233" s="14">
        <v>146.71799608035246</v>
      </c>
      <c r="AL233" s="14">
        <v>145.30568745467613</v>
      </c>
      <c r="AM233" s="14">
        <v>150.25481768149518</v>
      </c>
      <c r="AN233" s="14">
        <v>157.46326170707664</v>
      </c>
      <c r="AO233" s="14">
        <v>166.62761767839245</v>
      </c>
      <c r="AP233" s="14">
        <v>177.52708424689885</v>
      </c>
      <c r="AQ233" s="14">
        <v>176.74557947385736</v>
      </c>
      <c r="AR233" s="14">
        <v>162.04798970830842</v>
      </c>
      <c r="AS233" s="14">
        <v>158.00326500514706</v>
      </c>
    </row>
    <row r="234" spans="1:45" x14ac:dyDescent="0.35">
      <c r="A234" s="16">
        <v>6530.4070560000009</v>
      </c>
      <c r="B234" s="14">
        <v>146.60789540791248</v>
      </c>
      <c r="C234" s="14">
        <v>144.92308511793163</v>
      </c>
      <c r="D234" s="14">
        <v>145.29118736611645</v>
      </c>
      <c r="E234" s="14">
        <v>150.22811751842374</v>
      </c>
      <c r="F234" s="14">
        <v>157.41696142429768</v>
      </c>
      <c r="G234" s="14">
        <v>166.56001726552319</v>
      </c>
      <c r="H234" s="14">
        <v>177.42398361721143</v>
      </c>
      <c r="I234" s="14">
        <v>176.64927888570128</v>
      </c>
      <c r="J234" s="14">
        <v>183.39532008715653</v>
      </c>
      <c r="K234" s="14">
        <v>181.17510652719992</v>
      </c>
      <c r="L234" s="14">
        <v>178.76339179764872</v>
      </c>
      <c r="M234" s="14">
        <v>176.16027589911499</v>
      </c>
      <c r="N234" s="14">
        <v>170.74914285061305</v>
      </c>
      <c r="O234" s="14">
        <v>167.62262375539322</v>
      </c>
      <c r="P234" s="14">
        <v>165.78021250286454</v>
      </c>
      <c r="Q234" s="14">
        <v>161.96778921848426</v>
      </c>
      <c r="R234" s="15">
        <v>157.92546452998084</v>
      </c>
      <c r="S234" s="14">
        <v>145.15028650556422</v>
      </c>
      <c r="T234" s="14">
        <v>144.92308511793163</v>
      </c>
      <c r="U234" s="14">
        <v>145.29118736611645</v>
      </c>
      <c r="V234" s="14">
        <v>150.22811751842374</v>
      </c>
      <c r="W234" s="14">
        <v>157.41696142429768</v>
      </c>
      <c r="X234" s="14">
        <v>166.56001726552319</v>
      </c>
      <c r="Y234" s="14">
        <v>177.42398361721143</v>
      </c>
      <c r="Z234" s="14">
        <v>176.64927888570128</v>
      </c>
      <c r="AA234" s="14">
        <v>183.39532008715653</v>
      </c>
      <c r="AB234" s="14">
        <v>181.17510652719992</v>
      </c>
      <c r="AC234" s="14">
        <v>178.76339179764872</v>
      </c>
      <c r="AD234" s="14">
        <v>176.16027589911499</v>
      </c>
      <c r="AE234" s="14">
        <v>170.74914285061305</v>
      </c>
      <c r="AF234" s="14">
        <v>167.62262375539322</v>
      </c>
      <c r="AG234" s="14">
        <v>165.78021250286454</v>
      </c>
      <c r="AH234" s="14">
        <v>161.96778921848426</v>
      </c>
      <c r="AI234" s="15">
        <v>157.92546452998084</v>
      </c>
      <c r="AJ234" s="14">
        <v>143.38517572514789</v>
      </c>
      <c r="AK234" s="14">
        <v>146.7100960321028</v>
      </c>
      <c r="AL234" s="14">
        <v>145.29118736611645</v>
      </c>
      <c r="AM234" s="14">
        <v>150.22811751842374</v>
      </c>
      <c r="AN234" s="14">
        <v>157.41696142429768</v>
      </c>
      <c r="AO234" s="14">
        <v>166.56001726552319</v>
      </c>
      <c r="AP234" s="14">
        <v>177.42398361721143</v>
      </c>
      <c r="AQ234" s="14">
        <v>176.64927888570128</v>
      </c>
      <c r="AR234" s="14">
        <v>161.96778921848426</v>
      </c>
      <c r="AS234" s="14">
        <v>157.92546452998084</v>
      </c>
    </row>
    <row r="235" spans="1:45" x14ac:dyDescent="0.35">
      <c r="A235" s="16">
        <v>6553.1207520000007</v>
      </c>
      <c r="B235" s="14">
        <v>146.56309513429508</v>
      </c>
      <c r="C235" s="14">
        <v>144.87378481682958</v>
      </c>
      <c r="D235" s="14">
        <v>145.24158706318246</v>
      </c>
      <c r="E235" s="14">
        <v>150.16931715930053</v>
      </c>
      <c r="F235" s="14">
        <v>157.34356097600414</v>
      </c>
      <c r="G235" s="14">
        <v>166.47031671767644</v>
      </c>
      <c r="H235" s="14">
        <v>177.30798290873719</v>
      </c>
      <c r="I235" s="14">
        <v>176.53837820837552</v>
      </c>
      <c r="J235" s="14">
        <v>183.28501941349529</v>
      </c>
      <c r="K235" s="14">
        <v>181.07470591400303</v>
      </c>
      <c r="L235" s="14">
        <v>178.6640911911702</v>
      </c>
      <c r="M235" s="14">
        <v>176.06067529080389</v>
      </c>
      <c r="N235" s="14">
        <v>170.65004224535573</v>
      </c>
      <c r="O235" s="14">
        <v>167.52402315318983</v>
      </c>
      <c r="P235" s="14">
        <v>165.68051189394276</v>
      </c>
      <c r="Q235" s="14">
        <v>161.87068862544237</v>
      </c>
      <c r="R235" s="15">
        <v>157.83046394976432</v>
      </c>
      <c r="S235" s="14">
        <v>145.10698624110773</v>
      </c>
      <c r="T235" s="14">
        <v>144.87378481682958</v>
      </c>
      <c r="U235" s="14">
        <v>145.24158706318246</v>
      </c>
      <c r="V235" s="14">
        <v>150.16931715930053</v>
      </c>
      <c r="W235" s="14">
        <v>157.34356097600414</v>
      </c>
      <c r="X235" s="14">
        <v>166.47031671767644</v>
      </c>
      <c r="Y235" s="14">
        <v>177.30798290873719</v>
      </c>
      <c r="Z235" s="14">
        <v>176.53837820837552</v>
      </c>
      <c r="AA235" s="14">
        <v>183.28501941349529</v>
      </c>
      <c r="AB235" s="14">
        <v>181.07470591400303</v>
      </c>
      <c r="AC235" s="14">
        <v>178.6640911911702</v>
      </c>
      <c r="AD235" s="14">
        <v>176.06067529080389</v>
      </c>
      <c r="AE235" s="14">
        <v>170.65004224535573</v>
      </c>
      <c r="AF235" s="14">
        <v>167.52402315318983</v>
      </c>
      <c r="AG235" s="14">
        <v>165.68051189394276</v>
      </c>
      <c r="AH235" s="14">
        <v>161.87068862544237</v>
      </c>
      <c r="AI235" s="15">
        <v>157.83046394976432</v>
      </c>
      <c r="AJ235" s="14">
        <v>143.3422754631346</v>
      </c>
      <c r="AK235" s="14">
        <v>146.66529575848543</v>
      </c>
      <c r="AL235" s="14">
        <v>145.24158706318246</v>
      </c>
      <c r="AM235" s="14">
        <v>150.16931715930053</v>
      </c>
      <c r="AN235" s="14">
        <v>157.34356097600414</v>
      </c>
      <c r="AO235" s="14">
        <v>166.47031671767644</v>
      </c>
      <c r="AP235" s="14">
        <v>177.30798290873719</v>
      </c>
      <c r="AQ235" s="14">
        <v>176.53837820837552</v>
      </c>
      <c r="AR235" s="14">
        <v>161.87068862544237</v>
      </c>
      <c r="AS235" s="14">
        <v>157.83046394976432</v>
      </c>
    </row>
    <row r="236" spans="1:45" x14ac:dyDescent="0.35">
      <c r="A236" s="16">
        <v>6575.8420679999999</v>
      </c>
      <c r="B236" s="14">
        <v>146.50149475807069</v>
      </c>
      <c r="C236" s="14">
        <v>144.80778441373249</v>
      </c>
      <c r="D236" s="14">
        <v>145.17528665825282</v>
      </c>
      <c r="E236" s="14">
        <v>150.09371669757098</v>
      </c>
      <c r="F236" s="14">
        <v>157.25326042449359</v>
      </c>
      <c r="G236" s="14">
        <v>166.36361606600209</v>
      </c>
      <c r="H236" s="14">
        <v>177.17518209765589</v>
      </c>
      <c r="I236" s="14">
        <v>176.41047742722145</v>
      </c>
      <c r="J236" s="14">
        <v>183.15811863844894</v>
      </c>
      <c r="K236" s="14">
        <v>180.95800520125297</v>
      </c>
      <c r="L236" s="14">
        <v>178.54869048636044</v>
      </c>
      <c r="M236" s="14">
        <v>175.94497458416225</v>
      </c>
      <c r="N236" s="14">
        <v>170.53474154115665</v>
      </c>
      <c r="O236" s="14">
        <v>167.40922245204456</v>
      </c>
      <c r="P236" s="14">
        <v>165.56471118668978</v>
      </c>
      <c r="Q236" s="14">
        <v>161.75748793406862</v>
      </c>
      <c r="R236" s="15">
        <v>157.71956327243859</v>
      </c>
      <c r="S236" s="14">
        <v>145.04748587770939</v>
      </c>
      <c r="T236" s="14">
        <v>144.80778441373249</v>
      </c>
      <c r="U236" s="14">
        <v>145.17528665825282</v>
      </c>
      <c r="V236" s="14">
        <v>150.09371669757098</v>
      </c>
      <c r="W236" s="14">
        <v>157.25326042449359</v>
      </c>
      <c r="X236" s="14">
        <v>166.36361606600209</v>
      </c>
      <c r="Y236" s="14">
        <v>177.17518209765589</v>
      </c>
      <c r="Z236" s="14">
        <v>176.41047742722145</v>
      </c>
      <c r="AA236" s="14">
        <v>183.15811863844894</v>
      </c>
      <c r="AB236" s="14">
        <v>180.95800520125297</v>
      </c>
      <c r="AC236" s="14">
        <v>178.54869048636044</v>
      </c>
      <c r="AD236" s="14">
        <v>175.94497458416225</v>
      </c>
      <c r="AE236" s="14">
        <v>170.53474154115665</v>
      </c>
      <c r="AF236" s="14">
        <v>167.40922245204456</v>
      </c>
      <c r="AG236" s="14">
        <v>165.56471118668978</v>
      </c>
      <c r="AH236" s="14">
        <v>161.75748793406862</v>
      </c>
      <c r="AI236" s="15">
        <v>157.71956327243859</v>
      </c>
      <c r="AJ236" s="14">
        <v>143.28337510340077</v>
      </c>
      <c r="AK236" s="14">
        <v>146.60369538226107</v>
      </c>
      <c r="AL236" s="14">
        <v>145.17528665825282</v>
      </c>
      <c r="AM236" s="14">
        <v>150.09371669757098</v>
      </c>
      <c r="AN236" s="14">
        <v>157.25326042449359</v>
      </c>
      <c r="AO236" s="14">
        <v>166.36361606600209</v>
      </c>
      <c r="AP236" s="14">
        <v>177.17518209765589</v>
      </c>
      <c r="AQ236" s="14">
        <v>176.41047742722145</v>
      </c>
      <c r="AR236" s="14">
        <v>161.75748793406862</v>
      </c>
      <c r="AS236" s="14">
        <v>157.71956327243859</v>
      </c>
    </row>
    <row r="237" spans="1:45" x14ac:dyDescent="0.35">
      <c r="A237" s="16">
        <v>6598.5710040000004</v>
      </c>
      <c r="B237" s="14">
        <v>146.42319427984992</v>
      </c>
      <c r="C237" s="14">
        <v>144.72498390802843</v>
      </c>
      <c r="D237" s="14">
        <v>145.09218615071615</v>
      </c>
      <c r="E237" s="14">
        <v>150.00131613323441</v>
      </c>
      <c r="F237" s="14">
        <v>157.14625977098666</v>
      </c>
      <c r="G237" s="14">
        <v>166.24001531111077</v>
      </c>
      <c r="H237" s="14">
        <v>177.02548118335767</v>
      </c>
      <c r="I237" s="14">
        <v>176.2655765422391</v>
      </c>
      <c r="J237" s="14">
        <v>183.01441776079557</v>
      </c>
      <c r="K237" s="14">
        <v>180.82490438833983</v>
      </c>
      <c r="L237" s="14">
        <v>178.41708968260815</v>
      </c>
      <c r="M237" s="14">
        <v>175.8129737779667</v>
      </c>
      <c r="N237" s="14">
        <v>170.4033407386263</v>
      </c>
      <c r="O237" s="14">
        <v>167.27832165256808</v>
      </c>
      <c r="P237" s="14">
        <v>165.43281038110558</v>
      </c>
      <c r="Q237" s="14">
        <v>161.62818714436364</v>
      </c>
      <c r="R237" s="15">
        <v>157.5928624986135</v>
      </c>
      <c r="S237" s="14">
        <v>144.97188541597913</v>
      </c>
      <c r="T237" s="14">
        <v>144.72498390802843</v>
      </c>
      <c r="U237" s="14">
        <v>145.09218615071615</v>
      </c>
      <c r="V237" s="14">
        <v>150.00131613323441</v>
      </c>
      <c r="W237" s="14">
        <v>157.14625977098666</v>
      </c>
      <c r="X237" s="14">
        <v>166.24001531111077</v>
      </c>
      <c r="Y237" s="14">
        <v>177.02548118335767</v>
      </c>
      <c r="Z237" s="14">
        <v>176.2655765422391</v>
      </c>
      <c r="AA237" s="14">
        <v>183.01441776079557</v>
      </c>
      <c r="AB237" s="14">
        <v>180.82490438833983</v>
      </c>
      <c r="AC237" s="14">
        <v>178.41708968260815</v>
      </c>
      <c r="AD237" s="14">
        <v>175.8129737779667</v>
      </c>
      <c r="AE237" s="14">
        <v>170.4033407386263</v>
      </c>
      <c r="AF237" s="14">
        <v>167.27832165256808</v>
      </c>
      <c r="AG237" s="14">
        <v>165.43281038110558</v>
      </c>
      <c r="AH237" s="14">
        <v>161.62818714436364</v>
      </c>
      <c r="AI237" s="15">
        <v>157.5928624986135</v>
      </c>
      <c r="AJ237" s="14">
        <v>143.20847464594564</v>
      </c>
      <c r="AK237" s="14">
        <v>146.52539490404092</v>
      </c>
      <c r="AL237" s="14">
        <v>145.09218615071615</v>
      </c>
      <c r="AM237" s="14">
        <v>150.00131613323441</v>
      </c>
      <c r="AN237" s="14">
        <v>157.14625977098666</v>
      </c>
      <c r="AO237" s="14">
        <v>166.24001531111077</v>
      </c>
      <c r="AP237" s="14">
        <v>177.02548118335767</v>
      </c>
      <c r="AQ237" s="14">
        <v>176.2655765422391</v>
      </c>
      <c r="AR237" s="14">
        <v>161.62818714436364</v>
      </c>
      <c r="AS237" s="14">
        <v>157.5928624986135</v>
      </c>
    </row>
    <row r="238" spans="1:45" x14ac:dyDescent="0.35">
      <c r="A238" s="16">
        <v>6621.3075600000002</v>
      </c>
      <c r="B238" s="14">
        <v>146.3320937234536</v>
      </c>
      <c r="C238" s="14">
        <v>144.62948332475807</v>
      </c>
      <c r="D238" s="14">
        <v>144.99628556500326</v>
      </c>
      <c r="E238" s="14">
        <v>149.89621549133156</v>
      </c>
      <c r="F238" s="14">
        <v>157.02645903930355</v>
      </c>
      <c r="G238" s="14">
        <v>166.10351447743125</v>
      </c>
      <c r="H238" s="14">
        <v>176.86298019088252</v>
      </c>
      <c r="I238" s="14">
        <v>176.1076755778586</v>
      </c>
      <c r="J238" s="14">
        <v>182.8579168049653</v>
      </c>
      <c r="K238" s="14">
        <v>180.67930349908164</v>
      </c>
      <c r="L238" s="14">
        <v>178.27298880251155</v>
      </c>
      <c r="M238" s="14">
        <v>175.66867289664884</v>
      </c>
      <c r="N238" s="14">
        <v>170.25943985975098</v>
      </c>
      <c r="O238" s="14">
        <v>167.13502077735723</v>
      </c>
      <c r="P238" s="14">
        <v>165.28850949978775</v>
      </c>
      <c r="Q238" s="14">
        <v>161.48658627953631</v>
      </c>
      <c r="R238" s="15">
        <v>157.45396165027603</v>
      </c>
      <c r="S238" s="14">
        <v>144.8837848779053</v>
      </c>
      <c r="T238" s="14">
        <v>144.62948332475807</v>
      </c>
      <c r="U238" s="14">
        <v>144.99628556500326</v>
      </c>
      <c r="V238" s="14">
        <v>149.89621549133156</v>
      </c>
      <c r="W238" s="14">
        <v>157.02645903930355</v>
      </c>
      <c r="X238" s="14">
        <v>166.10351447743125</v>
      </c>
      <c r="Y238" s="14">
        <v>176.86298019088252</v>
      </c>
      <c r="Z238" s="14">
        <v>176.1076755778586</v>
      </c>
      <c r="AA238" s="14">
        <v>182.8579168049653</v>
      </c>
      <c r="AB238" s="14">
        <v>180.67930349908164</v>
      </c>
      <c r="AC238" s="14">
        <v>178.27298880251155</v>
      </c>
      <c r="AD238" s="14">
        <v>175.66867289664884</v>
      </c>
      <c r="AE238" s="14">
        <v>170.25943985975098</v>
      </c>
      <c r="AF238" s="14">
        <v>167.13502077735723</v>
      </c>
      <c r="AG238" s="14">
        <v>165.28850949978775</v>
      </c>
      <c r="AH238" s="14">
        <v>161.48658627953631</v>
      </c>
      <c r="AI238" s="15">
        <v>157.45396165027603</v>
      </c>
      <c r="AJ238" s="14">
        <v>143.1212741133682</v>
      </c>
      <c r="AK238" s="14">
        <v>146.43429434764397</v>
      </c>
      <c r="AL238" s="14">
        <v>144.99628556500326</v>
      </c>
      <c r="AM238" s="14">
        <v>149.89621549133156</v>
      </c>
      <c r="AN238" s="14">
        <v>157.02645903930355</v>
      </c>
      <c r="AO238" s="14">
        <v>166.10351447743125</v>
      </c>
      <c r="AP238" s="14">
        <v>176.86298019088252</v>
      </c>
      <c r="AQ238" s="14">
        <v>176.1076755778586</v>
      </c>
      <c r="AR238" s="14">
        <v>161.48658627953631</v>
      </c>
      <c r="AS238" s="14">
        <v>157.45396165027603</v>
      </c>
    </row>
    <row r="239" spans="1:45" x14ac:dyDescent="0.35">
      <c r="A239" s="16">
        <v>6644.0517360000003</v>
      </c>
      <c r="B239" s="14">
        <v>146.22809308826913</v>
      </c>
      <c r="C239" s="14">
        <v>144.52118266331152</v>
      </c>
      <c r="D239" s="14">
        <v>144.8875849011142</v>
      </c>
      <c r="E239" s="14">
        <v>149.77821477064188</v>
      </c>
      <c r="F239" s="14">
        <v>156.89375822883289</v>
      </c>
      <c r="G239" s="14">
        <v>165.95411356496493</v>
      </c>
      <c r="H239" s="14">
        <v>176.6875791196199</v>
      </c>
      <c r="I239" s="14">
        <v>175.93657453285871</v>
      </c>
      <c r="J239" s="14">
        <v>182.68851577034823</v>
      </c>
      <c r="K239" s="14">
        <v>180.52110253286926</v>
      </c>
      <c r="L239" s="14">
        <v>178.11658784729264</v>
      </c>
      <c r="M239" s="14">
        <v>175.51187193898667</v>
      </c>
      <c r="N239" s="14">
        <v>170.10323890575401</v>
      </c>
      <c r="O239" s="14">
        <v>166.9793198264141</v>
      </c>
      <c r="P239" s="14">
        <v>165.13190854334684</v>
      </c>
      <c r="Q239" s="14">
        <v>161.33278534019732</v>
      </c>
      <c r="R239" s="15">
        <v>157.30286072742754</v>
      </c>
      <c r="S239" s="14">
        <v>144.78338426470842</v>
      </c>
      <c r="T239" s="14">
        <v>144.52118266331152</v>
      </c>
      <c r="U239" s="14">
        <v>144.8875849011142</v>
      </c>
      <c r="V239" s="14">
        <v>149.77821477064188</v>
      </c>
      <c r="W239" s="14">
        <v>156.89375822883289</v>
      </c>
      <c r="X239" s="14">
        <v>165.95411356496493</v>
      </c>
      <c r="Y239" s="14">
        <v>176.6875791196199</v>
      </c>
      <c r="Z239" s="14">
        <v>175.93657453285871</v>
      </c>
      <c r="AA239" s="14">
        <v>182.68851577034823</v>
      </c>
      <c r="AB239" s="14">
        <v>180.52110253286926</v>
      </c>
      <c r="AC239" s="14">
        <v>178.11658784729264</v>
      </c>
      <c r="AD239" s="14">
        <v>175.51187193898667</v>
      </c>
      <c r="AE239" s="14">
        <v>170.10323890575401</v>
      </c>
      <c r="AF239" s="14">
        <v>166.9793198264141</v>
      </c>
      <c r="AG239" s="14">
        <v>165.13190854334684</v>
      </c>
      <c r="AH239" s="14">
        <v>161.33278534019732</v>
      </c>
      <c r="AI239" s="15">
        <v>157.30286072742754</v>
      </c>
      <c r="AJ239" s="14">
        <v>143.02177350566836</v>
      </c>
      <c r="AK239" s="14">
        <v>146.33039371307078</v>
      </c>
      <c r="AL239" s="14">
        <v>144.8875849011142</v>
      </c>
      <c r="AM239" s="14">
        <v>149.77821477064188</v>
      </c>
      <c r="AN239" s="14">
        <v>156.89375822883289</v>
      </c>
      <c r="AO239" s="14">
        <v>165.95411356496493</v>
      </c>
      <c r="AP239" s="14">
        <v>176.6875791196199</v>
      </c>
      <c r="AQ239" s="14">
        <v>175.93657453285871</v>
      </c>
      <c r="AR239" s="14">
        <v>161.33278534019732</v>
      </c>
      <c r="AS239" s="14">
        <v>157.30286072742754</v>
      </c>
    </row>
    <row r="240" spans="1:45" x14ac:dyDescent="0.35">
      <c r="A240" s="16">
        <v>6666.8012460000009</v>
      </c>
      <c r="B240" s="14">
        <v>146.11729241155399</v>
      </c>
      <c r="C240" s="14">
        <v>144.40588195911241</v>
      </c>
      <c r="D240" s="14">
        <v>144.77208419569311</v>
      </c>
      <c r="E240" s="14">
        <v>149.65331400781099</v>
      </c>
      <c r="F240" s="14">
        <v>156.754157376221</v>
      </c>
      <c r="G240" s="14">
        <v>165.79771260974596</v>
      </c>
      <c r="H240" s="14">
        <v>176.50517800560536</v>
      </c>
      <c r="I240" s="14">
        <v>175.75837344449491</v>
      </c>
      <c r="J240" s="14">
        <v>182.51221469358921</v>
      </c>
      <c r="K240" s="14">
        <v>180.3562015257362</v>
      </c>
      <c r="L240" s="14">
        <v>177.953486851153</v>
      </c>
      <c r="M240" s="14">
        <v>175.34847094101519</v>
      </c>
      <c r="N240" s="14">
        <v>169.94033791083567</v>
      </c>
      <c r="O240" s="14">
        <v>166.81701883516027</v>
      </c>
      <c r="P240" s="14">
        <v>164.96860754598598</v>
      </c>
      <c r="Q240" s="14">
        <v>161.1722843599369</v>
      </c>
      <c r="R240" s="15">
        <v>157.14525976487894</v>
      </c>
      <c r="S240" s="14">
        <v>144.67628361059084</v>
      </c>
      <c r="T240" s="14">
        <v>144.40588195911241</v>
      </c>
      <c r="U240" s="14">
        <v>144.77208419569311</v>
      </c>
      <c r="V240" s="14">
        <v>149.65331400781099</v>
      </c>
      <c r="W240" s="14">
        <v>156.754157376221</v>
      </c>
      <c r="X240" s="14">
        <v>165.79771260974596</v>
      </c>
      <c r="Y240" s="14">
        <v>176.50517800560536</v>
      </c>
      <c r="Z240" s="14">
        <v>175.75837344449491</v>
      </c>
      <c r="AA240" s="14">
        <v>182.51221469358921</v>
      </c>
      <c r="AB240" s="14">
        <v>180.3562015257362</v>
      </c>
      <c r="AC240" s="14">
        <v>177.953486851153</v>
      </c>
      <c r="AD240" s="14">
        <v>175.34847094101519</v>
      </c>
      <c r="AE240" s="14">
        <v>169.94033791083567</v>
      </c>
      <c r="AF240" s="14">
        <v>166.81701883516027</v>
      </c>
      <c r="AG240" s="14">
        <v>164.96860754598598</v>
      </c>
      <c r="AH240" s="14">
        <v>161.1722843599369</v>
      </c>
      <c r="AI240" s="15">
        <v>157.14525976487894</v>
      </c>
      <c r="AJ240" s="14">
        <v>142.91567285765851</v>
      </c>
      <c r="AK240" s="14">
        <v>146.21949303574436</v>
      </c>
      <c r="AL240" s="14">
        <v>144.77208419569311</v>
      </c>
      <c r="AM240" s="14">
        <v>149.65331400781099</v>
      </c>
      <c r="AN240" s="14">
        <v>156.754157376221</v>
      </c>
      <c r="AO240" s="14">
        <v>165.79771260974596</v>
      </c>
      <c r="AP240" s="14">
        <v>176.50517800560536</v>
      </c>
      <c r="AQ240" s="14">
        <v>175.75837344449491</v>
      </c>
      <c r="AR240" s="14">
        <v>161.1722843599369</v>
      </c>
      <c r="AS240" s="14">
        <v>157.14525976487894</v>
      </c>
    </row>
    <row r="241" spans="1:45" x14ac:dyDescent="0.35">
      <c r="A241" s="16">
        <v>6689.55609</v>
      </c>
      <c r="B241" s="14">
        <v>145.99959169269695</v>
      </c>
      <c r="C241" s="14">
        <v>144.28378121338196</v>
      </c>
      <c r="D241" s="14">
        <v>144.64968344813076</v>
      </c>
      <c r="E241" s="14">
        <v>149.52151320283741</v>
      </c>
      <c r="F241" s="14">
        <v>156.60775648207709</v>
      </c>
      <c r="G241" s="14">
        <v>165.63431161177448</v>
      </c>
      <c r="H241" s="14">
        <v>176.3159768500588</v>
      </c>
      <c r="I241" s="14">
        <v>175.57307231276855</v>
      </c>
      <c r="J241" s="14">
        <v>182.32881357346696</v>
      </c>
      <c r="K241" s="14">
        <v>180.18450047707177</v>
      </c>
      <c r="L241" s="14">
        <v>177.78368581409342</v>
      </c>
      <c r="M241" s="14">
        <v>175.17836990212299</v>
      </c>
      <c r="N241" s="14">
        <v>169.77083687560793</v>
      </c>
      <c r="O241" s="14">
        <v>166.6480178029864</v>
      </c>
      <c r="P241" s="14">
        <v>164.79870650831504</v>
      </c>
      <c r="Q241" s="14">
        <v>161.00518333936714</v>
      </c>
      <c r="R241" s="15">
        <v>156.98105876202098</v>
      </c>
      <c r="S241" s="14">
        <v>144.56248291555329</v>
      </c>
      <c r="T241" s="14">
        <v>144.28378121338196</v>
      </c>
      <c r="U241" s="14">
        <v>144.64968344813076</v>
      </c>
      <c r="V241" s="14">
        <v>149.52151320283741</v>
      </c>
      <c r="W241" s="14">
        <v>156.60775648207709</v>
      </c>
      <c r="X241" s="14">
        <v>165.63431161177448</v>
      </c>
      <c r="Y241" s="14">
        <v>176.3159768500588</v>
      </c>
      <c r="Z241" s="14">
        <v>175.57307231276855</v>
      </c>
      <c r="AA241" s="14">
        <v>182.32881357346696</v>
      </c>
      <c r="AB241" s="14">
        <v>180.18450047707177</v>
      </c>
      <c r="AC241" s="14">
        <v>177.78368581409342</v>
      </c>
      <c r="AD241" s="14">
        <v>175.17836990212299</v>
      </c>
      <c r="AE241" s="14">
        <v>169.77083687560793</v>
      </c>
      <c r="AF241" s="14">
        <v>166.6480178029864</v>
      </c>
      <c r="AG241" s="14">
        <v>164.79870650831504</v>
      </c>
      <c r="AH241" s="14">
        <v>161.00518333936714</v>
      </c>
      <c r="AI241" s="15">
        <v>156.98105876202098</v>
      </c>
      <c r="AJ241" s="14">
        <v>142.80307216994993</v>
      </c>
      <c r="AK241" s="14">
        <v>146.10179231688727</v>
      </c>
      <c r="AL241" s="14">
        <v>144.64968344813076</v>
      </c>
      <c r="AM241" s="14">
        <v>149.52151320283741</v>
      </c>
      <c r="AN241" s="14">
        <v>156.60775648207709</v>
      </c>
      <c r="AO241" s="14">
        <v>165.63431161177448</v>
      </c>
      <c r="AP241" s="14">
        <v>176.3159768500588</v>
      </c>
      <c r="AQ241" s="14">
        <v>175.57307231276855</v>
      </c>
      <c r="AR241" s="14">
        <v>161.00518333936714</v>
      </c>
      <c r="AS241" s="14">
        <v>156.98105876202098</v>
      </c>
    </row>
    <row r="242" spans="1:45" x14ac:dyDescent="0.35">
      <c r="A242" s="16">
        <v>6712.302552000001</v>
      </c>
      <c r="B242" s="14">
        <v>145.89309104224384</v>
      </c>
      <c r="C242" s="14">
        <v>144.1728805360562</v>
      </c>
      <c r="D242" s="14">
        <v>144.53848276897241</v>
      </c>
      <c r="E242" s="14">
        <v>149.40091246626784</v>
      </c>
      <c r="F242" s="14">
        <v>156.47245565572723</v>
      </c>
      <c r="G242" s="14">
        <v>165.48211068220695</v>
      </c>
      <c r="H242" s="14">
        <v>176.13787576230632</v>
      </c>
      <c r="I242" s="14">
        <v>175.39867124761363</v>
      </c>
      <c r="J242" s="14">
        <v>182.15631251991613</v>
      </c>
      <c r="K242" s="14">
        <v>180.02349949375824</v>
      </c>
      <c r="L242" s="14">
        <v>177.62468484299455</v>
      </c>
      <c r="M242" s="14">
        <v>175.01906892919223</v>
      </c>
      <c r="N242" s="14">
        <v>169.61203590573038</v>
      </c>
      <c r="O242" s="14">
        <v>166.4897168361627</v>
      </c>
      <c r="P242" s="14">
        <v>164.63950553599491</v>
      </c>
      <c r="Q242" s="14">
        <v>160.84888238475884</v>
      </c>
      <c r="R242" s="15">
        <v>156.82755782451386</v>
      </c>
      <c r="S242" s="14">
        <v>144.45958228708713</v>
      </c>
      <c r="T242" s="14">
        <v>144.1728805360562</v>
      </c>
      <c r="U242" s="14">
        <v>144.53848276897241</v>
      </c>
      <c r="V242" s="14">
        <v>149.40091246626784</v>
      </c>
      <c r="W242" s="14">
        <v>156.47245565572723</v>
      </c>
      <c r="X242" s="14">
        <v>165.48211068220695</v>
      </c>
      <c r="Y242" s="14">
        <v>176.13787576230632</v>
      </c>
      <c r="Z242" s="14">
        <v>175.39867124761363</v>
      </c>
      <c r="AA242" s="14">
        <v>182.15631251991613</v>
      </c>
      <c r="AB242" s="14">
        <v>180.02349949375824</v>
      </c>
      <c r="AC242" s="14">
        <v>177.62468484299455</v>
      </c>
      <c r="AD242" s="14">
        <v>175.01906892919223</v>
      </c>
      <c r="AE242" s="14">
        <v>169.61203590573038</v>
      </c>
      <c r="AF242" s="14">
        <v>166.4897168361627</v>
      </c>
      <c r="AG242" s="14">
        <v>164.63950553599491</v>
      </c>
      <c r="AH242" s="14">
        <v>160.84888238475884</v>
      </c>
      <c r="AI242" s="15">
        <v>156.82755782451386</v>
      </c>
      <c r="AJ242" s="14">
        <v>142.70107154698087</v>
      </c>
      <c r="AK242" s="14">
        <v>145.99529166643418</v>
      </c>
      <c r="AL242" s="14">
        <v>144.53848276897241</v>
      </c>
      <c r="AM242" s="14">
        <v>149.40091246626784</v>
      </c>
      <c r="AN242" s="14">
        <v>156.47245565572723</v>
      </c>
      <c r="AO242" s="14">
        <v>165.48211068220695</v>
      </c>
      <c r="AP242" s="14">
        <v>176.13787576230632</v>
      </c>
      <c r="AQ242" s="14">
        <v>175.39867124761363</v>
      </c>
      <c r="AR242" s="14">
        <v>160.84888238475884</v>
      </c>
      <c r="AS242" s="14">
        <v>156.82755782451386</v>
      </c>
    </row>
    <row r="243" spans="1:45" x14ac:dyDescent="0.35">
      <c r="A243" s="16">
        <v>6735.0406320000002</v>
      </c>
      <c r="B243" s="14">
        <v>145.79779046019547</v>
      </c>
      <c r="C243" s="14">
        <v>144.07327992774509</v>
      </c>
      <c r="D243" s="14">
        <v>144.43848215821805</v>
      </c>
      <c r="E243" s="14">
        <v>149.2916117987136</v>
      </c>
      <c r="F243" s="14">
        <v>156.3484548983927</v>
      </c>
      <c r="G243" s="14">
        <v>165.34110982104411</v>
      </c>
      <c r="H243" s="14">
        <v>175.97107474356847</v>
      </c>
      <c r="I243" s="14">
        <v>175.23527024964213</v>
      </c>
      <c r="J243" s="14">
        <v>181.9948115335487</v>
      </c>
      <c r="K243" s="14">
        <v>179.87339857701676</v>
      </c>
      <c r="L243" s="14">
        <v>177.47658393846783</v>
      </c>
      <c r="M243" s="14">
        <v>174.87066802283294</v>
      </c>
      <c r="N243" s="14">
        <v>169.46413500242556</v>
      </c>
      <c r="O243" s="14">
        <v>166.3424159365224</v>
      </c>
      <c r="P243" s="14">
        <v>164.49120463024693</v>
      </c>
      <c r="Q243" s="14">
        <v>160.70318149489074</v>
      </c>
      <c r="R243" s="15">
        <v>156.68465695174694</v>
      </c>
      <c r="S243" s="14">
        <v>144.36748172458314</v>
      </c>
      <c r="T243" s="14">
        <v>144.07327992774509</v>
      </c>
      <c r="U243" s="14">
        <v>144.43848215821805</v>
      </c>
      <c r="V243" s="14">
        <v>149.2916117987136</v>
      </c>
      <c r="W243" s="14">
        <v>156.3484548983927</v>
      </c>
      <c r="X243" s="14">
        <v>165.34110982104411</v>
      </c>
      <c r="Y243" s="14">
        <v>175.97107474356847</v>
      </c>
      <c r="Z243" s="14">
        <v>175.23527024964213</v>
      </c>
      <c r="AA243" s="14">
        <v>181.9948115335487</v>
      </c>
      <c r="AB243" s="14">
        <v>179.87339857701676</v>
      </c>
      <c r="AC243" s="14">
        <v>177.47658393846783</v>
      </c>
      <c r="AD243" s="14">
        <v>174.87066802283294</v>
      </c>
      <c r="AE243" s="14">
        <v>169.46413500242556</v>
      </c>
      <c r="AF243" s="14">
        <v>166.3424159365224</v>
      </c>
      <c r="AG243" s="14">
        <v>164.49120463024693</v>
      </c>
      <c r="AH243" s="14">
        <v>160.70318149489074</v>
      </c>
      <c r="AI243" s="15">
        <v>156.68465695174694</v>
      </c>
      <c r="AJ243" s="14">
        <v>142.60987098997325</v>
      </c>
      <c r="AK243" s="14">
        <v>145.89999108438582</v>
      </c>
      <c r="AL243" s="14">
        <v>144.43848215821805</v>
      </c>
      <c r="AM243" s="14">
        <v>149.2916117987136</v>
      </c>
      <c r="AN243" s="14">
        <v>156.3484548983927</v>
      </c>
      <c r="AO243" s="14">
        <v>165.34110982104411</v>
      </c>
      <c r="AP243" s="14">
        <v>175.97107474356847</v>
      </c>
      <c r="AQ243" s="14">
        <v>175.23527024964213</v>
      </c>
      <c r="AR243" s="14">
        <v>160.70318149489074</v>
      </c>
      <c r="AS243" s="14">
        <v>156.68465695174694</v>
      </c>
    </row>
    <row r="244" spans="1:45" x14ac:dyDescent="0.35">
      <c r="A244" s="16">
        <v>6761.5140360000005</v>
      </c>
      <c r="B244" s="14">
        <v>145.70358988486541</v>
      </c>
      <c r="C244" s="14">
        <v>143.9738793206559</v>
      </c>
      <c r="D244" s="14">
        <v>144.3388815499076</v>
      </c>
      <c r="E244" s="14">
        <v>149.18101112322043</v>
      </c>
      <c r="F244" s="14">
        <v>156.22085411907054</v>
      </c>
      <c r="G244" s="14">
        <v>165.19380892140381</v>
      </c>
      <c r="H244" s="14">
        <v>175.79357365948047</v>
      </c>
      <c r="I244" s="14">
        <v>175.06146918815168</v>
      </c>
      <c r="J244" s="14">
        <v>181.82291048366307</v>
      </c>
      <c r="K244" s="14">
        <v>179.71469760775051</v>
      </c>
      <c r="L244" s="14">
        <v>177.32018298324891</v>
      </c>
      <c r="M244" s="14">
        <v>174.7139670657821</v>
      </c>
      <c r="N244" s="14">
        <v>169.30793404842791</v>
      </c>
      <c r="O244" s="14">
        <v>166.18681498618921</v>
      </c>
      <c r="P244" s="14">
        <v>164.3345036731954</v>
      </c>
      <c r="Q244" s="14">
        <v>160.54968055738362</v>
      </c>
      <c r="R244" s="15">
        <v>156.53415603256227</v>
      </c>
      <c r="S244" s="14">
        <v>144.27648116879681</v>
      </c>
      <c r="T244" s="14">
        <v>143.9738793206559</v>
      </c>
      <c r="U244" s="14">
        <v>144.3388815499076</v>
      </c>
      <c r="V244" s="14">
        <v>149.18101112322043</v>
      </c>
      <c r="W244" s="14">
        <v>156.22085411907054</v>
      </c>
      <c r="X244" s="14">
        <v>165.19380892140381</v>
      </c>
      <c r="Y244" s="14">
        <v>175.79357365948047</v>
      </c>
      <c r="Z244" s="14">
        <v>175.06146918815168</v>
      </c>
      <c r="AA244" s="14">
        <v>181.82291048366307</v>
      </c>
      <c r="AB244" s="14">
        <v>179.71469760775051</v>
      </c>
      <c r="AC244" s="14">
        <v>177.32018298324891</v>
      </c>
      <c r="AD244" s="14">
        <v>174.7139670657821</v>
      </c>
      <c r="AE244" s="14">
        <v>169.30793404842791</v>
      </c>
      <c r="AF244" s="14">
        <v>166.18681498618921</v>
      </c>
      <c r="AG244" s="14">
        <v>164.3345036731954</v>
      </c>
      <c r="AH244" s="14">
        <v>160.54968055738362</v>
      </c>
      <c r="AI244" s="15">
        <v>156.53415603256227</v>
      </c>
      <c r="AJ244" s="14">
        <v>142.51967043907334</v>
      </c>
      <c r="AK244" s="14">
        <v>145.80579050905575</v>
      </c>
      <c r="AL244" s="14">
        <v>144.3388815499076</v>
      </c>
      <c r="AM244" s="14">
        <v>149.18101112322043</v>
      </c>
      <c r="AN244" s="14">
        <v>156.22085411907054</v>
      </c>
      <c r="AO244" s="14">
        <v>165.19380892140381</v>
      </c>
      <c r="AP244" s="14">
        <v>175.79357365948047</v>
      </c>
      <c r="AQ244" s="14">
        <v>175.06146918815168</v>
      </c>
      <c r="AR244" s="14">
        <v>160.54968055738362</v>
      </c>
      <c r="AS244" s="14">
        <v>156.53415603256227</v>
      </c>
    </row>
    <row r="245" spans="1:45" x14ac:dyDescent="0.35">
      <c r="A245" s="16">
        <v>6784.2384000000002</v>
      </c>
      <c r="B245" s="14">
        <v>145.63358945733751</v>
      </c>
      <c r="C245" s="14">
        <v>143.89937886564402</v>
      </c>
      <c r="D245" s="14">
        <v>144.26418109367447</v>
      </c>
      <c r="E245" s="14">
        <v>149.09691060957604</v>
      </c>
      <c r="F245" s="14">
        <v>156.12205351564586</v>
      </c>
      <c r="G245" s="14">
        <v>165.07820821537209</v>
      </c>
      <c r="H245" s="14">
        <v>175.65217279587441</v>
      </c>
      <c r="I245" s="14">
        <v>174.92306834286805</v>
      </c>
      <c r="J245" s="14">
        <v>181.68590964693036</v>
      </c>
      <c r="K245" s="14">
        <v>179.58879683881116</v>
      </c>
      <c r="L245" s="14">
        <v>177.19638222713564</v>
      </c>
      <c r="M245" s="14">
        <v>174.58986630783625</v>
      </c>
      <c r="N245" s="14">
        <v>169.18443329414725</v>
      </c>
      <c r="O245" s="14">
        <v>166.06381423496239</v>
      </c>
      <c r="P245" s="14">
        <v>164.21040291525023</v>
      </c>
      <c r="Q245" s="14">
        <v>160.42827981592831</v>
      </c>
      <c r="R245" s="15">
        <v>156.41525530637622</v>
      </c>
      <c r="S245" s="14">
        <v>144.20868075470625</v>
      </c>
      <c r="T245" s="14">
        <v>143.89937886564402</v>
      </c>
      <c r="U245" s="14">
        <v>144.26418109367447</v>
      </c>
      <c r="V245" s="14">
        <v>149.09691060957604</v>
      </c>
      <c r="W245" s="14">
        <v>156.12205351564586</v>
      </c>
      <c r="X245" s="14">
        <v>165.07820821537209</v>
      </c>
      <c r="Y245" s="14">
        <v>175.65217279587441</v>
      </c>
      <c r="Z245" s="14">
        <v>174.92306834286805</v>
      </c>
      <c r="AA245" s="14">
        <v>181.68590964693036</v>
      </c>
      <c r="AB245" s="14">
        <v>179.58879683881116</v>
      </c>
      <c r="AC245" s="14">
        <v>177.19638222713564</v>
      </c>
      <c r="AD245" s="14">
        <v>174.58986630783625</v>
      </c>
      <c r="AE245" s="14">
        <v>169.18443329414725</v>
      </c>
      <c r="AF245" s="14">
        <v>166.06381423496239</v>
      </c>
      <c r="AG245" s="14">
        <v>164.21040291525023</v>
      </c>
      <c r="AH245" s="14">
        <v>160.42827981592831</v>
      </c>
      <c r="AI245" s="15">
        <v>156.41525530637622</v>
      </c>
      <c r="AJ245" s="14">
        <v>142.45267002986785</v>
      </c>
      <c r="AK245" s="14">
        <v>145.73569008091721</v>
      </c>
      <c r="AL245" s="14">
        <v>144.26418109367447</v>
      </c>
      <c r="AM245" s="14">
        <v>149.09691060957604</v>
      </c>
      <c r="AN245" s="14">
        <v>156.12205351564586</v>
      </c>
      <c r="AO245" s="14">
        <v>165.07820821537209</v>
      </c>
      <c r="AP245" s="14">
        <v>175.65217279587441</v>
      </c>
      <c r="AQ245" s="14">
        <v>174.92306834286805</v>
      </c>
      <c r="AR245" s="14">
        <v>160.42827981592831</v>
      </c>
      <c r="AS245" s="14">
        <v>156.41525530637622</v>
      </c>
    </row>
    <row r="246" spans="1:45" x14ac:dyDescent="0.35">
      <c r="A246" s="16">
        <v>6798.4192200000007</v>
      </c>
      <c r="B246" s="14">
        <v>145.61068931747496</v>
      </c>
      <c r="C246" s="14">
        <v>143.87367870868027</v>
      </c>
      <c r="D246" s="14">
        <v>144.23848093671074</v>
      </c>
      <c r="E246" s="14">
        <v>149.0654104171887</v>
      </c>
      <c r="F246" s="14">
        <v>156.0814532676799</v>
      </c>
      <c r="G246" s="14">
        <v>165.02690790205534</v>
      </c>
      <c r="H246" s="14">
        <v>175.58477238422643</v>
      </c>
      <c r="I246" s="14">
        <v>174.8574679422135</v>
      </c>
      <c r="J246" s="14">
        <v>181.62100925055097</v>
      </c>
      <c r="K246" s="14">
        <v>179.53049648274182</v>
      </c>
      <c r="L246" s="14">
        <v>177.13938187900587</v>
      </c>
      <c r="M246" s="14">
        <v>174.53266595848521</v>
      </c>
      <c r="N246" s="14">
        <v>169.12743294601748</v>
      </c>
      <c r="O246" s="14">
        <v>166.00711388866452</v>
      </c>
      <c r="P246" s="14">
        <v>164.1531025652879</v>
      </c>
      <c r="Q246" s="14">
        <v>160.37257947573815</v>
      </c>
      <c r="R246" s="15">
        <v>156.36085497412569</v>
      </c>
      <c r="S246" s="14">
        <v>144.1866806203401</v>
      </c>
      <c r="T246" s="14">
        <v>143.87367870868027</v>
      </c>
      <c r="U246" s="14">
        <v>144.23848093671074</v>
      </c>
      <c r="V246" s="14">
        <v>149.0654104171887</v>
      </c>
      <c r="W246" s="14">
        <v>156.0814532676799</v>
      </c>
      <c r="X246" s="14">
        <v>165.02690790205534</v>
      </c>
      <c r="Y246" s="14">
        <v>175.58477238422643</v>
      </c>
      <c r="Z246" s="14">
        <v>174.8574679422135</v>
      </c>
      <c r="AA246" s="14">
        <v>181.62100925055097</v>
      </c>
      <c r="AB246" s="14">
        <v>179.53049648274182</v>
      </c>
      <c r="AC246" s="14">
        <v>177.13938187900587</v>
      </c>
      <c r="AD246" s="14">
        <v>174.53266595848521</v>
      </c>
      <c r="AE246" s="14">
        <v>169.12743294601748</v>
      </c>
      <c r="AF246" s="14">
        <v>166.00711388866452</v>
      </c>
      <c r="AG246" s="14">
        <v>164.1531025652879</v>
      </c>
      <c r="AH246" s="14">
        <v>160.37257947573815</v>
      </c>
      <c r="AI246" s="15">
        <v>156.36085497412569</v>
      </c>
      <c r="AJ246" s="14">
        <v>142.43086989672369</v>
      </c>
      <c r="AK246" s="14">
        <v>145.71288994166534</v>
      </c>
      <c r="AL246" s="14">
        <v>144.23848093671074</v>
      </c>
      <c r="AM246" s="14">
        <v>149.0654104171887</v>
      </c>
      <c r="AN246" s="14">
        <v>156.0814532676799</v>
      </c>
      <c r="AO246" s="14">
        <v>165.02690790205534</v>
      </c>
      <c r="AP246" s="14">
        <v>175.58477238422643</v>
      </c>
      <c r="AQ246" s="14">
        <v>174.8574679422135</v>
      </c>
      <c r="AR246" s="14">
        <v>160.37257947573815</v>
      </c>
      <c r="AS246" s="14">
        <v>156.36085497412569</v>
      </c>
    </row>
    <row r="247" spans="1:45" x14ac:dyDescent="0.35">
      <c r="A247" s="16">
        <v>6811.540860000001</v>
      </c>
      <c r="B247" s="14">
        <v>145.61208932602588</v>
      </c>
      <c r="C247" s="14">
        <v>143.8724787013513</v>
      </c>
      <c r="D247" s="14">
        <v>144.23718092877044</v>
      </c>
      <c r="E247" s="14">
        <v>149.05871037626801</v>
      </c>
      <c r="F247" s="14">
        <v>156.06625317484509</v>
      </c>
      <c r="G247" s="14">
        <v>165.00230775180998</v>
      </c>
      <c r="H247" s="14">
        <v>175.54497214114622</v>
      </c>
      <c r="I247" s="14">
        <v>174.81916770829488</v>
      </c>
      <c r="J247" s="14">
        <v>181.58310901907552</v>
      </c>
      <c r="K247" s="14">
        <v>179.49839628668934</v>
      </c>
      <c r="L247" s="14">
        <v>177.10828168906176</v>
      </c>
      <c r="M247" s="14">
        <v>174.50136576731916</v>
      </c>
      <c r="N247" s="14">
        <v>169.09633275607268</v>
      </c>
      <c r="O247" s="14">
        <v>165.97631370055234</v>
      </c>
      <c r="P247" s="14">
        <v>164.1217023735112</v>
      </c>
      <c r="Q247" s="14">
        <v>160.3425792925124</v>
      </c>
      <c r="R247" s="15">
        <v>156.3317547963963</v>
      </c>
      <c r="S247" s="14">
        <v>144.18798062827972</v>
      </c>
      <c r="T247" s="14">
        <v>143.8724787013513</v>
      </c>
      <c r="U247" s="14">
        <v>144.23718092877044</v>
      </c>
      <c r="V247" s="14">
        <v>149.05871037626801</v>
      </c>
      <c r="W247" s="14">
        <v>156.06625317484509</v>
      </c>
      <c r="X247" s="14">
        <v>165.00230775180998</v>
      </c>
      <c r="Y247" s="14">
        <v>175.54497214114622</v>
      </c>
      <c r="Z247" s="14">
        <v>174.81916770829488</v>
      </c>
      <c r="AA247" s="14">
        <v>181.58310901907552</v>
      </c>
      <c r="AB247" s="14">
        <v>179.49839628668934</v>
      </c>
      <c r="AC247" s="14">
        <v>177.10828168906176</v>
      </c>
      <c r="AD247" s="14">
        <v>174.50136576731916</v>
      </c>
      <c r="AE247" s="14">
        <v>169.09633275607268</v>
      </c>
      <c r="AF247" s="14">
        <v>165.97631370055234</v>
      </c>
      <c r="AG247" s="14">
        <v>164.1217023735112</v>
      </c>
      <c r="AH247" s="14">
        <v>160.3425792925124</v>
      </c>
      <c r="AI247" s="15">
        <v>156.3317547963963</v>
      </c>
      <c r="AJ247" s="14">
        <v>142.43216990466328</v>
      </c>
      <c r="AK247" s="14">
        <v>145.71428995021625</v>
      </c>
      <c r="AL247" s="14">
        <v>144.23718092877044</v>
      </c>
      <c r="AM247" s="14">
        <v>149.05871037626801</v>
      </c>
      <c r="AN247" s="14">
        <v>156.06625317484509</v>
      </c>
      <c r="AO247" s="14">
        <v>165.00230775180998</v>
      </c>
      <c r="AP247" s="14">
        <v>175.54497214114622</v>
      </c>
      <c r="AQ247" s="14">
        <v>174.81916770829488</v>
      </c>
      <c r="AR247" s="14">
        <v>160.3425792925124</v>
      </c>
      <c r="AS247" s="14">
        <v>156.3317547963963</v>
      </c>
    </row>
    <row r="248" spans="1:45" x14ac:dyDescent="0.35">
      <c r="A248" s="16">
        <v>6830.82708</v>
      </c>
      <c r="B248" s="14">
        <v>145.61398933762999</v>
      </c>
      <c r="C248" s="14">
        <v>143.8704786891366</v>
      </c>
      <c r="D248" s="14">
        <v>144.23518091655572</v>
      </c>
      <c r="E248" s="14">
        <v>149.04881031580362</v>
      </c>
      <c r="F248" s="14">
        <v>156.04395303864703</v>
      </c>
      <c r="G248" s="14">
        <v>164.96600753010605</v>
      </c>
      <c r="H248" s="14">
        <v>175.48647178385556</v>
      </c>
      <c r="I248" s="14">
        <v>174.7627673638296</v>
      </c>
      <c r="J248" s="14">
        <v>181.52720867766411</v>
      </c>
      <c r="K248" s="14">
        <v>179.45099599719205</v>
      </c>
      <c r="L248" s="14">
        <v>177.06248140933599</v>
      </c>
      <c r="M248" s="14">
        <v>174.45536548637213</v>
      </c>
      <c r="N248" s="14">
        <v>169.05063247695824</v>
      </c>
      <c r="O248" s="14">
        <v>165.9310134238811</v>
      </c>
      <c r="P248" s="14">
        <v>164.0754020907323</v>
      </c>
      <c r="Q248" s="14">
        <v>160.29837902255881</v>
      </c>
      <c r="R248" s="15">
        <v>156.28895453499368</v>
      </c>
      <c r="S248" s="14">
        <v>144.18988063988448</v>
      </c>
      <c r="T248" s="14">
        <v>143.8704786891366</v>
      </c>
      <c r="U248" s="14">
        <v>144.23518091655572</v>
      </c>
      <c r="V248" s="14">
        <v>149.04881031580362</v>
      </c>
      <c r="W248" s="14">
        <v>156.04395303864703</v>
      </c>
      <c r="X248" s="14">
        <v>164.96600753010605</v>
      </c>
      <c r="Y248" s="14">
        <v>175.48647178385556</v>
      </c>
      <c r="Z248" s="14">
        <v>174.7627673638296</v>
      </c>
      <c r="AA248" s="14">
        <v>181.52720867766411</v>
      </c>
      <c r="AB248" s="14">
        <v>179.45099599719205</v>
      </c>
      <c r="AC248" s="14">
        <v>177.06248140933599</v>
      </c>
      <c r="AD248" s="14">
        <v>174.45536548637213</v>
      </c>
      <c r="AE248" s="14">
        <v>169.05063247695824</v>
      </c>
      <c r="AF248" s="14">
        <v>165.9310134238811</v>
      </c>
      <c r="AG248" s="14">
        <v>164.0754020907323</v>
      </c>
      <c r="AH248" s="14">
        <v>160.29837902255881</v>
      </c>
      <c r="AI248" s="15">
        <v>156.28895453499368</v>
      </c>
      <c r="AJ248" s="14">
        <v>142.43396991565743</v>
      </c>
      <c r="AK248" s="14">
        <v>145.71618996182033</v>
      </c>
      <c r="AL248" s="14">
        <v>144.23518091655572</v>
      </c>
      <c r="AM248" s="14">
        <v>149.04881031580362</v>
      </c>
      <c r="AN248" s="14">
        <v>156.04395303864703</v>
      </c>
      <c r="AO248" s="14">
        <v>164.96600753010605</v>
      </c>
      <c r="AP248" s="14">
        <v>175.48647178385556</v>
      </c>
      <c r="AQ248" s="14">
        <v>174.7627673638296</v>
      </c>
      <c r="AR248" s="14">
        <v>160.29837902255881</v>
      </c>
      <c r="AS248" s="14">
        <v>156.28895453499368</v>
      </c>
    </row>
    <row r="249" spans="1:45" x14ac:dyDescent="0.35">
      <c r="A249" s="16">
        <v>6868.9270799999995</v>
      </c>
      <c r="B249" s="14">
        <v>145.6178893614495</v>
      </c>
      <c r="C249" s="14">
        <v>143.86637866409581</v>
      </c>
      <c r="D249" s="14">
        <v>144.23128089273621</v>
      </c>
      <c r="E249" s="14">
        <v>149.02921019609613</v>
      </c>
      <c r="F249" s="14">
        <v>155.99985276930408</v>
      </c>
      <c r="G249" s="14">
        <v>164.89430709219602</v>
      </c>
      <c r="H249" s="14">
        <v>175.3706710766026</v>
      </c>
      <c r="I249" s="14">
        <v>174.65096668100679</v>
      </c>
      <c r="J249" s="14">
        <v>181.41610799911641</v>
      </c>
      <c r="K249" s="14">
        <v>179.35699542308396</v>
      </c>
      <c r="L249" s="14">
        <v>176.97198085660418</v>
      </c>
      <c r="M249" s="14">
        <v>174.36446493119712</v>
      </c>
      <c r="N249" s="14">
        <v>168.96023192483707</v>
      </c>
      <c r="O249" s="14">
        <v>165.84141287664571</v>
      </c>
      <c r="P249" s="14">
        <v>163.98400153250338</v>
      </c>
      <c r="Q249" s="14">
        <v>160.21097848876011</v>
      </c>
      <c r="R249" s="15">
        <v>156.20445401890672</v>
      </c>
      <c r="S249" s="14">
        <v>144.19358066248205</v>
      </c>
      <c r="T249" s="14">
        <v>143.86637866409581</v>
      </c>
      <c r="U249" s="14">
        <v>144.23128089273621</v>
      </c>
      <c r="V249" s="14">
        <v>149.02921019609613</v>
      </c>
      <c r="W249" s="14">
        <v>155.99985276930408</v>
      </c>
      <c r="X249" s="14">
        <v>164.89430709219602</v>
      </c>
      <c r="Y249" s="14">
        <v>175.3706710766026</v>
      </c>
      <c r="Z249" s="14">
        <v>174.65096668100679</v>
      </c>
      <c r="AA249" s="14">
        <v>181.41610799911641</v>
      </c>
      <c r="AB249" s="14">
        <v>179.35699542308396</v>
      </c>
      <c r="AC249" s="14">
        <v>176.97198085660418</v>
      </c>
      <c r="AD249" s="14">
        <v>174.36446493119712</v>
      </c>
      <c r="AE249" s="14">
        <v>168.96023192483707</v>
      </c>
      <c r="AF249" s="14">
        <v>165.84141287664571</v>
      </c>
      <c r="AG249" s="14">
        <v>163.98400153250338</v>
      </c>
      <c r="AH249" s="14">
        <v>160.21097848876011</v>
      </c>
      <c r="AI249" s="15">
        <v>156.20445401890672</v>
      </c>
      <c r="AJ249" s="14">
        <v>142.43766993825497</v>
      </c>
      <c r="AK249" s="14">
        <v>145.72008998563985</v>
      </c>
      <c r="AL249" s="14">
        <v>144.23128089273621</v>
      </c>
      <c r="AM249" s="14">
        <v>149.02921019609613</v>
      </c>
      <c r="AN249" s="14">
        <v>155.99985276930408</v>
      </c>
      <c r="AO249" s="14">
        <v>164.89430709219602</v>
      </c>
      <c r="AP249" s="14">
        <v>175.3706710766026</v>
      </c>
      <c r="AQ249" s="14">
        <v>174.65096668100679</v>
      </c>
      <c r="AR249" s="14">
        <v>160.21097848876011</v>
      </c>
      <c r="AS249" s="14">
        <v>156.20445401890672</v>
      </c>
    </row>
    <row r="250" spans="1:45" x14ac:dyDescent="0.35">
      <c r="A250" s="16">
        <v>6909.3130799999999</v>
      </c>
      <c r="B250" s="14">
        <v>145.61918936938912</v>
      </c>
      <c r="C250" s="14">
        <v>143.85947862195317</v>
      </c>
      <c r="D250" s="14">
        <v>144.22458085181552</v>
      </c>
      <c r="E250" s="14">
        <v>149.00581005317903</v>
      </c>
      <c r="F250" s="14">
        <v>155.9504524675921</v>
      </c>
      <c r="G250" s="14">
        <v>164.8156066115327</v>
      </c>
      <c r="H250" s="14">
        <v>175.24537031132778</v>
      </c>
      <c r="I250" s="14">
        <v>174.52976594077342</v>
      </c>
      <c r="J250" s="14">
        <v>181.29540726193622</v>
      </c>
      <c r="K250" s="14">
        <v>179.25449479706103</v>
      </c>
      <c r="L250" s="14">
        <v>176.87348025501143</v>
      </c>
      <c r="M250" s="14">
        <v>174.26536432593986</v>
      </c>
      <c r="N250" s="14">
        <v>168.86183132385494</v>
      </c>
      <c r="O250" s="14">
        <v>165.74381228055</v>
      </c>
      <c r="P250" s="14">
        <v>163.8845009248036</v>
      </c>
      <c r="Q250" s="14">
        <v>160.11567790671171</v>
      </c>
      <c r="R250" s="15">
        <v>156.11235345640273</v>
      </c>
      <c r="S250" s="14">
        <v>144.19498067103299</v>
      </c>
      <c r="T250" s="14">
        <v>143.85947862195317</v>
      </c>
      <c r="U250" s="14">
        <v>144.22458085181552</v>
      </c>
      <c r="V250" s="14">
        <v>149.00581005317903</v>
      </c>
      <c r="W250" s="14">
        <v>155.9504524675921</v>
      </c>
      <c r="X250" s="14">
        <v>164.8156066115327</v>
      </c>
      <c r="Y250" s="14">
        <v>175.24537031132778</v>
      </c>
      <c r="Z250" s="14">
        <v>174.52976594077342</v>
      </c>
      <c r="AA250" s="14">
        <v>181.29540726193622</v>
      </c>
      <c r="AB250" s="14">
        <v>179.25449479706103</v>
      </c>
      <c r="AC250" s="14">
        <v>176.87348025501143</v>
      </c>
      <c r="AD250" s="14">
        <v>174.26536432593986</v>
      </c>
      <c r="AE250" s="14">
        <v>168.86183132385494</v>
      </c>
      <c r="AF250" s="14">
        <v>165.74381228055</v>
      </c>
      <c r="AG250" s="14">
        <v>163.8845009248036</v>
      </c>
      <c r="AH250" s="14">
        <v>160.11567790671171</v>
      </c>
      <c r="AI250" s="15">
        <v>156.11235345640273</v>
      </c>
      <c r="AJ250" s="14">
        <v>142.43896994619459</v>
      </c>
      <c r="AK250" s="14">
        <v>145.72138999357946</v>
      </c>
      <c r="AL250" s="14">
        <v>144.22458085181552</v>
      </c>
      <c r="AM250" s="14">
        <v>149.00581005317903</v>
      </c>
      <c r="AN250" s="14">
        <v>155.9504524675921</v>
      </c>
      <c r="AO250" s="14">
        <v>164.8156066115327</v>
      </c>
      <c r="AP250" s="14">
        <v>175.24537031132778</v>
      </c>
      <c r="AQ250" s="14">
        <v>174.52976594077342</v>
      </c>
      <c r="AR250" s="14">
        <v>160.11567790671171</v>
      </c>
      <c r="AS250" s="14">
        <v>156.11235345640273</v>
      </c>
    </row>
    <row r="251" spans="1:45" x14ac:dyDescent="0.35">
      <c r="A251" s="16">
        <v>6939.3358799999996</v>
      </c>
      <c r="B251" s="14">
        <v>145.61688935534181</v>
      </c>
      <c r="C251" s="14">
        <v>143.85107857065034</v>
      </c>
      <c r="D251" s="14">
        <v>144.21618080051269</v>
      </c>
      <c r="E251" s="14">
        <v>148.98510992675318</v>
      </c>
      <c r="F251" s="14">
        <v>155.91035222267999</v>
      </c>
      <c r="G251" s="14">
        <v>164.75380623408634</v>
      </c>
      <c r="H251" s="14">
        <v>175.1488697219504</v>
      </c>
      <c r="I251" s="14">
        <v>174.43616536910787</v>
      </c>
      <c r="J251" s="14">
        <v>181.20210669210326</v>
      </c>
      <c r="K251" s="14">
        <v>179.17489431090064</v>
      </c>
      <c r="L251" s="14">
        <v>176.79697978778478</v>
      </c>
      <c r="M251" s="14">
        <v>174.18856385688133</v>
      </c>
      <c r="N251" s="14">
        <v>168.78543085723962</v>
      </c>
      <c r="O251" s="14">
        <v>165.66801181759845</v>
      </c>
      <c r="P251" s="14">
        <v>163.80720045269052</v>
      </c>
      <c r="Q251" s="14">
        <v>160.04167745475365</v>
      </c>
      <c r="R251" s="15">
        <v>156.04065301849198</v>
      </c>
      <c r="S251" s="14">
        <v>144.19268065698498</v>
      </c>
      <c r="T251" s="14">
        <v>143.85107857065034</v>
      </c>
      <c r="U251" s="14">
        <v>144.21618080051269</v>
      </c>
      <c r="V251" s="14">
        <v>148.98510992675318</v>
      </c>
      <c r="W251" s="14">
        <v>155.91035222267999</v>
      </c>
      <c r="X251" s="14">
        <v>164.75380623408634</v>
      </c>
      <c r="Y251" s="14">
        <v>175.1488697219504</v>
      </c>
      <c r="Z251" s="14">
        <v>174.43616536910787</v>
      </c>
      <c r="AA251" s="14">
        <v>181.20210669210326</v>
      </c>
      <c r="AB251" s="14">
        <v>179.17489431090064</v>
      </c>
      <c r="AC251" s="14">
        <v>176.79697978778478</v>
      </c>
      <c r="AD251" s="14">
        <v>174.18856385688133</v>
      </c>
      <c r="AE251" s="14">
        <v>168.78543085723962</v>
      </c>
      <c r="AF251" s="14">
        <v>165.66801181759845</v>
      </c>
      <c r="AG251" s="14">
        <v>163.80720045269052</v>
      </c>
      <c r="AH251" s="14">
        <v>160.04167745475365</v>
      </c>
      <c r="AI251" s="15">
        <v>156.04065301849198</v>
      </c>
      <c r="AJ251" s="14">
        <v>142.43676993275861</v>
      </c>
      <c r="AK251" s="14">
        <v>145.71908997953213</v>
      </c>
      <c r="AL251" s="14">
        <v>144.21618080051269</v>
      </c>
      <c r="AM251" s="14">
        <v>148.98510992675318</v>
      </c>
      <c r="AN251" s="14">
        <v>155.91035222267999</v>
      </c>
      <c r="AO251" s="14">
        <v>164.75380623408634</v>
      </c>
      <c r="AP251" s="14">
        <v>175.1488697219504</v>
      </c>
      <c r="AQ251" s="14">
        <v>174.43616536910787</v>
      </c>
      <c r="AR251" s="14">
        <v>160.04167745475365</v>
      </c>
      <c r="AS251" s="14">
        <v>156.04065301849198</v>
      </c>
    </row>
    <row r="252" spans="1:45" x14ac:dyDescent="0.35">
      <c r="A252" s="16">
        <v>6973.3972800000001</v>
      </c>
      <c r="B252" s="14">
        <v>145.61818936328143</v>
      </c>
      <c r="C252" s="14">
        <v>143.84557853705863</v>
      </c>
      <c r="D252" s="14">
        <v>144.21068076692097</v>
      </c>
      <c r="E252" s="14">
        <v>148.96560980765631</v>
      </c>
      <c r="F252" s="14">
        <v>155.86885196921696</v>
      </c>
      <c r="G252" s="14">
        <v>164.68770583037866</v>
      </c>
      <c r="H252" s="14">
        <v>175.04346907821568</v>
      </c>
      <c r="I252" s="14">
        <v>174.33376474369555</v>
      </c>
      <c r="J252" s="14">
        <v>181.09980606730224</v>
      </c>
      <c r="K252" s="14">
        <v>179.08819378137704</v>
      </c>
      <c r="L252" s="14">
        <v>176.71397928085941</v>
      </c>
      <c r="M252" s="14">
        <v>174.10516334751273</v>
      </c>
      <c r="N252" s="14">
        <v>168.70263035153482</v>
      </c>
      <c r="O252" s="14">
        <v>165.58581131555886</v>
      </c>
      <c r="P252" s="14">
        <v>163.72339994087872</v>
      </c>
      <c r="Q252" s="14">
        <v>159.96157696554008</v>
      </c>
      <c r="R252" s="15">
        <v>155.96315254515767</v>
      </c>
      <c r="S252" s="14">
        <v>144.19408066553589</v>
      </c>
      <c r="T252" s="14">
        <v>143.84557853705863</v>
      </c>
      <c r="U252" s="14">
        <v>144.21068076692097</v>
      </c>
      <c r="V252" s="14">
        <v>148.96560980765631</v>
      </c>
      <c r="W252" s="14">
        <v>155.86885196921696</v>
      </c>
      <c r="X252" s="14">
        <v>164.68770583037866</v>
      </c>
      <c r="Y252" s="14">
        <v>175.04346907821568</v>
      </c>
      <c r="Z252" s="14">
        <v>174.33376474369555</v>
      </c>
      <c r="AA252" s="14">
        <v>181.09980606730224</v>
      </c>
      <c r="AB252" s="14">
        <v>179.08819378137704</v>
      </c>
      <c r="AC252" s="14">
        <v>176.71397928085941</v>
      </c>
      <c r="AD252" s="14">
        <v>174.10516334751273</v>
      </c>
      <c r="AE252" s="14">
        <v>168.70263035153482</v>
      </c>
      <c r="AF252" s="14">
        <v>165.58581131555886</v>
      </c>
      <c r="AG252" s="14">
        <v>163.72339994087872</v>
      </c>
      <c r="AH252" s="14">
        <v>159.96157696554008</v>
      </c>
      <c r="AI252" s="15">
        <v>155.96315254515767</v>
      </c>
      <c r="AJ252" s="14">
        <v>142.43806994069823</v>
      </c>
      <c r="AK252" s="14">
        <v>145.72038998747175</v>
      </c>
      <c r="AL252" s="14">
        <v>144.21068076692097</v>
      </c>
      <c r="AM252" s="14">
        <v>148.96560980765631</v>
      </c>
      <c r="AN252" s="14">
        <v>155.86885196921696</v>
      </c>
      <c r="AO252" s="14">
        <v>164.68770583037866</v>
      </c>
      <c r="AP252" s="14">
        <v>175.04346907821568</v>
      </c>
      <c r="AQ252" s="14">
        <v>174.33376474369555</v>
      </c>
      <c r="AR252" s="14">
        <v>159.96157696554008</v>
      </c>
      <c r="AS252" s="14">
        <v>155.96315254515767</v>
      </c>
    </row>
    <row r="253" spans="1:45" x14ac:dyDescent="0.35">
      <c r="A253" s="16">
        <v>7011.4972799999996</v>
      </c>
      <c r="B253" s="14">
        <v>145.62328939442989</v>
      </c>
      <c r="C253" s="14">
        <v>143.84307852179003</v>
      </c>
      <c r="D253" s="14">
        <v>144.20808075104105</v>
      </c>
      <c r="E253" s="14">
        <v>148.94730969588841</v>
      </c>
      <c r="F253" s="14">
        <v>155.8259517072037</v>
      </c>
      <c r="G253" s="14">
        <v>164.6173054004075</v>
      </c>
      <c r="H253" s="14">
        <v>174.92906837951364</v>
      </c>
      <c r="I253" s="14">
        <v>174.22266406514782</v>
      </c>
      <c r="J253" s="14">
        <v>180.98840538692195</v>
      </c>
      <c r="K253" s="14">
        <v>178.99439320849018</v>
      </c>
      <c r="L253" s="14">
        <v>176.62447873423463</v>
      </c>
      <c r="M253" s="14">
        <v>174.01526279844472</v>
      </c>
      <c r="N253" s="14">
        <v>168.61332980613199</v>
      </c>
      <c r="O253" s="14">
        <v>165.4973107750418</v>
      </c>
      <c r="P253" s="14">
        <v>163.63309938936817</v>
      </c>
      <c r="Q253" s="14">
        <v>159.87527643845968</v>
      </c>
      <c r="R253" s="15">
        <v>155.87975203578907</v>
      </c>
      <c r="S253" s="14">
        <v>144.19898069546315</v>
      </c>
      <c r="T253" s="14">
        <v>143.84307852179003</v>
      </c>
      <c r="U253" s="14">
        <v>144.20808075104105</v>
      </c>
      <c r="V253" s="14">
        <v>148.94730969588841</v>
      </c>
      <c r="W253" s="14">
        <v>155.8259517072037</v>
      </c>
      <c r="X253" s="14">
        <v>164.6173054004075</v>
      </c>
      <c r="Y253" s="14">
        <v>174.92906837951364</v>
      </c>
      <c r="Z253" s="14">
        <v>174.22266406514782</v>
      </c>
      <c r="AA253" s="14">
        <v>180.98840538692195</v>
      </c>
      <c r="AB253" s="14">
        <v>178.99439320849018</v>
      </c>
      <c r="AC253" s="14">
        <v>176.62447873423463</v>
      </c>
      <c r="AD253" s="14">
        <v>174.01526279844472</v>
      </c>
      <c r="AE253" s="14">
        <v>168.61332980613199</v>
      </c>
      <c r="AF253" s="14">
        <v>165.4973107750418</v>
      </c>
      <c r="AG253" s="14">
        <v>163.63309938936817</v>
      </c>
      <c r="AH253" s="14">
        <v>159.87527643845968</v>
      </c>
      <c r="AI253" s="15">
        <v>155.87975203578907</v>
      </c>
      <c r="AJ253" s="14">
        <v>142.4428699700141</v>
      </c>
      <c r="AK253" s="14">
        <v>145.72549001862026</v>
      </c>
      <c r="AL253" s="14">
        <v>144.20808075104105</v>
      </c>
      <c r="AM253" s="14">
        <v>148.94730969588841</v>
      </c>
      <c r="AN253" s="14">
        <v>155.8259517072037</v>
      </c>
      <c r="AO253" s="14">
        <v>164.6173054004075</v>
      </c>
      <c r="AP253" s="14">
        <v>174.92906837951364</v>
      </c>
      <c r="AQ253" s="14">
        <v>174.22266406514782</v>
      </c>
      <c r="AR253" s="14">
        <v>159.87527643845968</v>
      </c>
      <c r="AS253" s="14">
        <v>155.87975203578907</v>
      </c>
    </row>
    <row r="254" spans="1:45" x14ac:dyDescent="0.35">
      <c r="A254" s="16">
        <v>7049.59728</v>
      </c>
      <c r="B254" s="14">
        <v>145.64918955261555</v>
      </c>
      <c r="C254" s="14">
        <v>143.86147863416858</v>
      </c>
      <c r="D254" s="14">
        <v>144.22628086219834</v>
      </c>
      <c r="E254" s="14">
        <v>148.949809711157</v>
      </c>
      <c r="F254" s="14">
        <v>155.80395157283755</v>
      </c>
      <c r="G254" s="14">
        <v>164.56780509808419</v>
      </c>
      <c r="H254" s="14">
        <v>174.83556780845871</v>
      </c>
      <c r="I254" s="14">
        <v>174.13226351302666</v>
      </c>
      <c r="J254" s="14">
        <v>180.89730483052568</v>
      </c>
      <c r="K254" s="14">
        <v>178.92049275714277</v>
      </c>
      <c r="L254" s="14">
        <v>176.55507831037121</v>
      </c>
      <c r="M254" s="14">
        <v>173.94546237213876</v>
      </c>
      <c r="N254" s="14">
        <v>168.54402938287922</v>
      </c>
      <c r="O254" s="14">
        <v>165.42881035667543</v>
      </c>
      <c r="P254" s="14">
        <v>163.56269895939707</v>
      </c>
      <c r="Q254" s="14">
        <v>159.80897603353006</v>
      </c>
      <c r="R254" s="15">
        <v>155.81605164673863</v>
      </c>
      <c r="S254" s="14">
        <v>144.22398084815103</v>
      </c>
      <c r="T254" s="14">
        <v>143.86147863416858</v>
      </c>
      <c r="U254" s="14">
        <v>144.22628086219834</v>
      </c>
      <c r="V254" s="14">
        <v>148.949809711157</v>
      </c>
      <c r="W254" s="14">
        <v>155.80395157283755</v>
      </c>
      <c r="X254" s="14">
        <v>164.56780509808419</v>
      </c>
      <c r="Y254" s="14">
        <v>174.83556780845871</v>
      </c>
      <c r="Z254" s="14">
        <v>174.13226351302666</v>
      </c>
      <c r="AA254" s="14">
        <v>180.89730483052568</v>
      </c>
      <c r="AB254" s="14">
        <v>178.92049275714277</v>
      </c>
      <c r="AC254" s="14">
        <v>176.55507831037121</v>
      </c>
      <c r="AD254" s="14">
        <v>173.94546237213876</v>
      </c>
      <c r="AE254" s="14">
        <v>168.54402938287922</v>
      </c>
      <c r="AF254" s="14">
        <v>165.42881035667543</v>
      </c>
      <c r="AG254" s="14">
        <v>163.56269895939707</v>
      </c>
      <c r="AH254" s="14">
        <v>159.80897603353006</v>
      </c>
      <c r="AI254" s="15">
        <v>155.81605164673863</v>
      </c>
      <c r="AJ254" s="14">
        <v>142.46767012148143</v>
      </c>
      <c r="AK254" s="14">
        <v>145.75129017619525</v>
      </c>
      <c r="AL254" s="14">
        <v>144.22628086219834</v>
      </c>
      <c r="AM254" s="14">
        <v>148.949809711157</v>
      </c>
      <c r="AN254" s="14">
        <v>155.80395157283755</v>
      </c>
      <c r="AO254" s="14">
        <v>164.56780509808419</v>
      </c>
      <c r="AP254" s="14">
        <v>174.83556780845871</v>
      </c>
      <c r="AQ254" s="14">
        <v>174.13226351302666</v>
      </c>
      <c r="AR254" s="14">
        <v>159.80897603353006</v>
      </c>
      <c r="AS254" s="14">
        <v>155.81605164673863</v>
      </c>
    </row>
    <row r="255" spans="1:45" x14ac:dyDescent="0.35">
      <c r="A255" s="16">
        <v>7087.6972800000003</v>
      </c>
      <c r="B255" s="14">
        <v>145.69578983722639</v>
      </c>
      <c r="C255" s="14">
        <v>143.900578872973</v>
      </c>
      <c r="D255" s="14">
        <v>144.2652811003928</v>
      </c>
      <c r="E255" s="14">
        <v>148.97320985407339</v>
      </c>
      <c r="F255" s="14">
        <v>155.80285156611922</v>
      </c>
      <c r="G255" s="14">
        <v>164.53920492340868</v>
      </c>
      <c r="H255" s="14">
        <v>174.76296736505157</v>
      </c>
      <c r="I255" s="14">
        <v>174.06246308672073</v>
      </c>
      <c r="J255" s="14">
        <v>180.82640439750068</v>
      </c>
      <c r="K255" s="14">
        <v>178.86649242733617</v>
      </c>
      <c r="L255" s="14">
        <v>176.50577800926987</v>
      </c>
      <c r="M255" s="14">
        <v>173.89576206859348</v>
      </c>
      <c r="N255" s="14">
        <v>168.49482908238849</v>
      </c>
      <c r="O255" s="14">
        <v>165.38031006045981</v>
      </c>
      <c r="P255" s="14">
        <v>163.51229865157734</v>
      </c>
      <c r="Q255" s="14">
        <v>159.76247574952916</v>
      </c>
      <c r="R255" s="15">
        <v>155.77215137861765</v>
      </c>
      <c r="S255" s="14">
        <v>144.26918112421231</v>
      </c>
      <c r="T255" s="14">
        <v>143.900578872973</v>
      </c>
      <c r="U255" s="14">
        <v>144.2652811003928</v>
      </c>
      <c r="V255" s="14">
        <v>148.97320985407339</v>
      </c>
      <c r="W255" s="14">
        <v>155.80285156611922</v>
      </c>
      <c r="X255" s="14">
        <v>164.53920492340868</v>
      </c>
      <c r="Y255" s="14">
        <v>174.76296736505157</v>
      </c>
      <c r="Z255" s="14">
        <v>174.06246308672073</v>
      </c>
      <c r="AA255" s="14">
        <v>180.82640439750068</v>
      </c>
      <c r="AB255" s="14">
        <v>178.86649242733617</v>
      </c>
      <c r="AC255" s="14">
        <v>176.50577800926987</v>
      </c>
      <c r="AD255" s="14">
        <v>173.89576206859348</v>
      </c>
      <c r="AE255" s="14">
        <v>168.49482908238849</v>
      </c>
      <c r="AF255" s="14">
        <v>165.38031006045981</v>
      </c>
      <c r="AG255" s="14">
        <v>163.51229865157734</v>
      </c>
      <c r="AH255" s="14">
        <v>159.76247574952916</v>
      </c>
      <c r="AI255" s="15">
        <v>155.77215137861765</v>
      </c>
      <c r="AJ255" s="14">
        <v>142.51237039448816</v>
      </c>
      <c r="AK255" s="14">
        <v>145.79799046141673</v>
      </c>
      <c r="AL255" s="14">
        <v>144.2652811003928</v>
      </c>
      <c r="AM255" s="14">
        <v>148.97320985407339</v>
      </c>
      <c r="AN255" s="14">
        <v>155.80285156611922</v>
      </c>
      <c r="AO255" s="14">
        <v>164.53920492340868</v>
      </c>
      <c r="AP255" s="14">
        <v>174.76296736505157</v>
      </c>
      <c r="AQ255" s="14">
        <v>174.06246308672073</v>
      </c>
      <c r="AR255" s="14">
        <v>159.76247574952916</v>
      </c>
      <c r="AS255" s="14">
        <v>155.77215137861765</v>
      </c>
    </row>
    <row r="256" spans="1:45" x14ac:dyDescent="0.35">
      <c r="A256" s="16">
        <v>7119.4917299999997</v>
      </c>
      <c r="B256" s="14">
        <v>145.71948998197536</v>
      </c>
      <c r="C256" s="14">
        <v>143.91797897924448</v>
      </c>
      <c r="D256" s="14">
        <v>144.28268120666363</v>
      </c>
      <c r="E256" s="14">
        <v>148.97750988033613</v>
      </c>
      <c r="F256" s="14">
        <v>155.78665146717736</v>
      </c>
      <c r="G256" s="14">
        <v>164.50000468399298</v>
      </c>
      <c r="H256" s="14">
        <v>174.68726690271069</v>
      </c>
      <c r="I256" s="14">
        <v>173.98886263720587</v>
      </c>
      <c r="J256" s="14">
        <v>180.75180394187882</v>
      </c>
      <c r="K256" s="14">
        <v>178.80639206027263</v>
      </c>
      <c r="L256" s="14">
        <v>176.44987766785843</v>
      </c>
      <c r="M256" s="14">
        <v>173.83946172473955</v>
      </c>
      <c r="N256" s="14">
        <v>168.43902874158769</v>
      </c>
      <c r="O256" s="14">
        <v>165.32510972332355</v>
      </c>
      <c r="P256" s="14">
        <v>163.45559830528018</v>
      </c>
      <c r="Q256" s="14">
        <v>159.70917542399764</v>
      </c>
      <c r="R256" s="15">
        <v>155.7209510659122</v>
      </c>
      <c r="S256" s="14">
        <v>144.29208126407485</v>
      </c>
      <c r="T256" s="14">
        <v>143.91797897924448</v>
      </c>
      <c r="U256" s="14">
        <v>144.28268120666363</v>
      </c>
      <c r="V256" s="14">
        <v>148.97750988033613</v>
      </c>
      <c r="W256" s="14">
        <v>155.78665146717736</v>
      </c>
      <c r="X256" s="14">
        <v>164.50000468399298</v>
      </c>
      <c r="Y256" s="14">
        <v>174.68726690271069</v>
      </c>
      <c r="Z256" s="14">
        <v>173.98886263720587</v>
      </c>
      <c r="AA256" s="14">
        <v>180.75180394187882</v>
      </c>
      <c r="AB256" s="14">
        <v>178.80639206027263</v>
      </c>
      <c r="AC256" s="14">
        <v>176.44987766785843</v>
      </c>
      <c r="AD256" s="14">
        <v>173.83946172473955</v>
      </c>
      <c r="AE256" s="14">
        <v>168.43902874158769</v>
      </c>
      <c r="AF256" s="14">
        <v>165.32510972332355</v>
      </c>
      <c r="AG256" s="14">
        <v>163.45559830528018</v>
      </c>
      <c r="AH256" s="14">
        <v>159.70917542399764</v>
      </c>
      <c r="AI256" s="15">
        <v>155.7209510659122</v>
      </c>
      <c r="AJ256" s="14">
        <v>142.53507053312941</v>
      </c>
      <c r="AK256" s="14">
        <v>145.8216906061657</v>
      </c>
      <c r="AL256" s="14">
        <v>144.28268120666363</v>
      </c>
      <c r="AM256" s="14">
        <v>148.97750988033613</v>
      </c>
      <c r="AN256" s="14">
        <v>155.78665146717736</v>
      </c>
      <c r="AO256" s="14">
        <v>164.50000468399298</v>
      </c>
      <c r="AP256" s="14">
        <v>174.68726690271069</v>
      </c>
      <c r="AQ256" s="14">
        <v>173.98886263720587</v>
      </c>
      <c r="AR256" s="14">
        <v>159.70917542399764</v>
      </c>
      <c r="AS256" s="14">
        <v>155.7209510659122</v>
      </c>
    </row>
    <row r="257" spans="1:45" x14ac:dyDescent="0.35">
      <c r="A257" s="16">
        <v>7144.98063</v>
      </c>
      <c r="B257" s="14">
        <v>145.72028998686113</v>
      </c>
      <c r="C257" s="14">
        <v>143.91367895298177</v>
      </c>
      <c r="D257" s="14">
        <v>144.27828117979095</v>
      </c>
      <c r="E257" s="14">
        <v>148.96260978933387</v>
      </c>
      <c r="F257" s="14">
        <v>155.75535127601128</v>
      </c>
      <c r="G257" s="14">
        <v>164.45040438105971</v>
      </c>
      <c r="H257" s="14">
        <v>174.60816641960415</v>
      </c>
      <c r="I257" s="14">
        <v>173.91166216570346</v>
      </c>
      <c r="J257" s="14">
        <v>180.67370346487999</v>
      </c>
      <c r="K257" s="14">
        <v>178.74029165656492</v>
      </c>
      <c r="L257" s="14">
        <v>176.38737728613697</v>
      </c>
      <c r="M257" s="14">
        <v>173.77676134179683</v>
      </c>
      <c r="N257" s="14">
        <v>168.37662836047755</v>
      </c>
      <c r="O257" s="14">
        <v>165.26320934526655</v>
      </c>
      <c r="P257" s="14">
        <v>163.39259792050484</v>
      </c>
      <c r="Q257" s="14">
        <v>159.64887505571286</v>
      </c>
      <c r="R257" s="15">
        <v>155.66265070984213</v>
      </c>
      <c r="S257" s="14">
        <v>144.29278126834996</v>
      </c>
      <c r="T257" s="14">
        <v>143.91367895298177</v>
      </c>
      <c r="U257" s="14">
        <v>144.27828117979095</v>
      </c>
      <c r="V257" s="14">
        <v>148.96260978933387</v>
      </c>
      <c r="W257" s="14">
        <v>155.75535127601128</v>
      </c>
      <c r="X257" s="14">
        <v>164.45040438105971</v>
      </c>
      <c r="Y257" s="14">
        <v>174.60816641960415</v>
      </c>
      <c r="Z257" s="14">
        <v>173.91166216570346</v>
      </c>
      <c r="AA257" s="14">
        <v>180.67370346487999</v>
      </c>
      <c r="AB257" s="14">
        <v>178.74029165656492</v>
      </c>
      <c r="AC257" s="14">
        <v>176.38737728613697</v>
      </c>
      <c r="AD257" s="14">
        <v>173.77676134179683</v>
      </c>
      <c r="AE257" s="14">
        <v>168.37662836047755</v>
      </c>
      <c r="AF257" s="14">
        <v>165.26320934526655</v>
      </c>
      <c r="AG257" s="14">
        <v>163.39259792050484</v>
      </c>
      <c r="AH257" s="14">
        <v>159.64887505571286</v>
      </c>
      <c r="AI257" s="15">
        <v>155.66265070984213</v>
      </c>
      <c r="AJ257" s="14">
        <v>142.53577053740455</v>
      </c>
      <c r="AK257" s="14">
        <v>145.82249061105145</v>
      </c>
      <c r="AL257" s="14">
        <v>144.27828117979095</v>
      </c>
      <c r="AM257" s="14">
        <v>148.96260978933387</v>
      </c>
      <c r="AN257" s="14">
        <v>155.75535127601128</v>
      </c>
      <c r="AO257" s="14">
        <v>164.45040438105971</v>
      </c>
      <c r="AP257" s="14">
        <v>174.60816641960415</v>
      </c>
      <c r="AQ257" s="14">
        <v>173.91166216570346</v>
      </c>
      <c r="AR257" s="14">
        <v>159.64887505571286</v>
      </c>
      <c r="AS257" s="14">
        <v>155.66265070984213</v>
      </c>
    </row>
    <row r="258" spans="1:45" x14ac:dyDescent="0.35">
      <c r="A258" s="16">
        <v>7176.7750800000003</v>
      </c>
      <c r="B258" s="14">
        <v>145.72879003877526</v>
      </c>
      <c r="C258" s="14">
        <v>143.91587896641843</v>
      </c>
      <c r="D258" s="14">
        <v>144.28058119383826</v>
      </c>
      <c r="E258" s="14">
        <v>148.95170972276176</v>
      </c>
      <c r="F258" s="14">
        <v>155.72395108423461</v>
      </c>
      <c r="G258" s="14">
        <v>164.39620405003112</v>
      </c>
      <c r="H258" s="14">
        <v>174.51726586442913</v>
      </c>
      <c r="I258" s="14">
        <v>173.82276162274383</v>
      </c>
      <c r="J258" s="14">
        <v>180.58360291459073</v>
      </c>
      <c r="K258" s="14">
        <v>178.66499119666727</v>
      </c>
      <c r="L258" s="14">
        <v>176.31677685494458</v>
      </c>
      <c r="M258" s="14">
        <v>173.70586090877251</v>
      </c>
      <c r="N258" s="14">
        <v>168.30622793050645</v>
      </c>
      <c r="O258" s="14">
        <v>165.19340891896059</v>
      </c>
      <c r="P258" s="14">
        <v>163.3211974844267</v>
      </c>
      <c r="Q258" s="14">
        <v>159.58097464101101</v>
      </c>
      <c r="R258" s="15">
        <v>155.59715030979893</v>
      </c>
      <c r="S258" s="14">
        <v>144.30118131965347</v>
      </c>
      <c r="T258" s="14">
        <v>143.91587896641843</v>
      </c>
      <c r="U258" s="14">
        <v>144.28058119383826</v>
      </c>
      <c r="V258" s="14">
        <v>148.95170972276176</v>
      </c>
      <c r="W258" s="14">
        <v>155.72395108423461</v>
      </c>
      <c r="X258" s="14">
        <v>164.39620405003112</v>
      </c>
      <c r="Y258" s="14">
        <v>174.51726586442913</v>
      </c>
      <c r="Z258" s="14">
        <v>173.82276162274383</v>
      </c>
      <c r="AA258" s="14">
        <v>180.58360291459073</v>
      </c>
      <c r="AB258" s="14">
        <v>178.66499119666727</v>
      </c>
      <c r="AC258" s="14">
        <v>176.31677685494458</v>
      </c>
      <c r="AD258" s="14">
        <v>173.70586090877251</v>
      </c>
      <c r="AE258" s="14">
        <v>168.30622793050645</v>
      </c>
      <c r="AF258" s="14">
        <v>165.19340891896059</v>
      </c>
      <c r="AG258" s="14">
        <v>163.3211974844267</v>
      </c>
      <c r="AH258" s="14">
        <v>159.58097464101101</v>
      </c>
      <c r="AI258" s="15">
        <v>155.59715030979893</v>
      </c>
      <c r="AJ258" s="14">
        <v>142.54397058748611</v>
      </c>
      <c r="AK258" s="14">
        <v>145.8309906629656</v>
      </c>
      <c r="AL258" s="14">
        <v>144.28058119383826</v>
      </c>
      <c r="AM258" s="14">
        <v>148.95170972276176</v>
      </c>
      <c r="AN258" s="14">
        <v>155.72395108423461</v>
      </c>
      <c r="AO258" s="14">
        <v>164.39620405003112</v>
      </c>
      <c r="AP258" s="14">
        <v>174.51726586442913</v>
      </c>
      <c r="AQ258" s="14">
        <v>173.82276162274383</v>
      </c>
      <c r="AR258" s="14">
        <v>159.58097464101101</v>
      </c>
      <c r="AS258" s="14">
        <v>155.59715030979893</v>
      </c>
    </row>
    <row r="259" spans="1:45" x14ac:dyDescent="0.35">
      <c r="A259" s="16">
        <v>7214.8750799999998</v>
      </c>
      <c r="B259" s="14">
        <v>145.74519013893908</v>
      </c>
      <c r="C259" s="14">
        <v>143.92467902016517</v>
      </c>
      <c r="D259" s="14">
        <v>144.28938124758432</v>
      </c>
      <c r="E259" s="14">
        <v>148.94480968061981</v>
      </c>
      <c r="F259" s="14">
        <v>155.69255089245792</v>
      </c>
      <c r="G259" s="14">
        <v>164.33740369090719</v>
      </c>
      <c r="H259" s="14">
        <v>174.41466523779556</v>
      </c>
      <c r="I259" s="14">
        <v>173.72226100893565</v>
      </c>
      <c r="J259" s="14">
        <v>180.48130228978908</v>
      </c>
      <c r="K259" s="14">
        <v>178.58039067996901</v>
      </c>
      <c r="L259" s="14">
        <v>176.23797637367062</v>
      </c>
      <c r="M259" s="14">
        <v>173.62676042566596</v>
      </c>
      <c r="N259" s="14">
        <v>168.22762745045443</v>
      </c>
      <c r="O259" s="14">
        <v>165.11560844379434</v>
      </c>
      <c r="P259" s="14">
        <v>163.241596998267</v>
      </c>
      <c r="Q259" s="14">
        <v>159.5054741798921</v>
      </c>
      <c r="R259" s="15">
        <v>155.52454986639111</v>
      </c>
      <c r="S259" s="14">
        <v>144.31698141615212</v>
      </c>
      <c r="T259" s="14">
        <v>143.92467902016517</v>
      </c>
      <c r="U259" s="14">
        <v>144.28938124758432</v>
      </c>
      <c r="V259" s="14">
        <v>148.94480968061981</v>
      </c>
      <c r="W259" s="14">
        <v>155.69255089245792</v>
      </c>
      <c r="X259" s="14">
        <v>164.33740369090719</v>
      </c>
      <c r="Y259" s="14">
        <v>174.41466523779556</v>
      </c>
      <c r="Z259" s="14">
        <v>173.72226100893565</v>
      </c>
      <c r="AA259" s="14">
        <v>180.48130228978908</v>
      </c>
      <c r="AB259" s="14">
        <v>178.58039067996901</v>
      </c>
      <c r="AC259" s="14">
        <v>176.23797637367062</v>
      </c>
      <c r="AD259" s="14">
        <v>173.62676042566596</v>
      </c>
      <c r="AE259" s="14">
        <v>168.22762745045443</v>
      </c>
      <c r="AF259" s="14">
        <v>165.11560844379434</v>
      </c>
      <c r="AG259" s="14">
        <v>163.241596998267</v>
      </c>
      <c r="AH259" s="14">
        <v>159.5054741798921</v>
      </c>
      <c r="AI259" s="15">
        <v>155.52454986639111</v>
      </c>
      <c r="AJ259" s="14">
        <v>142.5596706833748</v>
      </c>
      <c r="AK259" s="14">
        <v>145.8473907631294</v>
      </c>
      <c r="AL259" s="14">
        <v>144.28938124758432</v>
      </c>
      <c r="AM259" s="14">
        <v>148.94480968061981</v>
      </c>
      <c r="AN259" s="14">
        <v>155.69255089245792</v>
      </c>
      <c r="AO259" s="14">
        <v>164.33740369090719</v>
      </c>
      <c r="AP259" s="14">
        <v>174.41466523779556</v>
      </c>
      <c r="AQ259" s="14">
        <v>173.72226100893565</v>
      </c>
      <c r="AR259" s="14">
        <v>159.5054741798921</v>
      </c>
      <c r="AS259" s="14">
        <v>155.52454986639111</v>
      </c>
    </row>
    <row r="260" spans="1:45" x14ac:dyDescent="0.35">
      <c r="A260" s="16">
        <v>7252.9750800000002</v>
      </c>
      <c r="B260" s="14">
        <v>145.77339031117137</v>
      </c>
      <c r="C260" s="14">
        <v>143.94527914598041</v>
      </c>
      <c r="D260" s="14">
        <v>144.30998137339952</v>
      </c>
      <c r="E260" s="14">
        <v>148.94970971054636</v>
      </c>
      <c r="F260" s="14">
        <v>155.67295077274974</v>
      </c>
      <c r="G260" s="14">
        <v>164.29040340385316</v>
      </c>
      <c r="H260" s="14">
        <v>174.32386468323116</v>
      </c>
      <c r="I260" s="14">
        <v>173.6335604671973</v>
      </c>
      <c r="J260" s="14">
        <v>180.39040173461402</v>
      </c>
      <c r="K260" s="14">
        <v>178.50699023167613</v>
      </c>
      <c r="L260" s="14">
        <v>176.17057596202264</v>
      </c>
      <c r="M260" s="14">
        <v>173.55906001218537</v>
      </c>
      <c r="N260" s="14">
        <v>168.16042704002771</v>
      </c>
      <c r="O260" s="14">
        <v>165.0492080382534</v>
      </c>
      <c r="P260" s="14">
        <v>163.17329658112192</v>
      </c>
      <c r="Q260" s="14">
        <v>159.44127378778779</v>
      </c>
      <c r="R260" s="15">
        <v>155.46304949077734</v>
      </c>
      <c r="S260" s="14">
        <v>144.34428158288802</v>
      </c>
      <c r="T260" s="14">
        <v>143.94527914598041</v>
      </c>
      <c r="U260" s="14">
        <v>144.30998137339952</v>
      </c>
      <c r="V260" s="14">
        <v>148.94970971054636</v>
      </c>
      <c r="W260" s="14">
        <v>155.67295077274974</v>
      </c>
      <c r="X260" s="14">
        <v>164.29040340385316</v>
      </c>
      <c r="Y260" s="14">
        <v>174.32386468323116</v>
      </c>
      <c r="Z260" s="14">
        <v>173.6335604671973</v>
      </c>
      <c r="AA260" s="14">
        <v>180.39040173461402</v>
      </c>
      <c r="AB260" s="14">
        <v>178.50699023167613</v>
      </c>
      <c r="AC260" s="14">
        <v>176.17057596202264</v>
      </c>
      <c r="AD260" s="14">
        <v>173.55906001218537</v>
      </c>
      <c r="AE260" s="14">
        <v>168.16042704002771</v>
      </c>
      <c r="AF260" s="14">
        <v>165.0492080382534</v>
      </c>
      <c r="AG260" s="14">
        <v>163.17329658112192</v>
      </c>
      <c r="AH260" s="14">
        <v>159.44127378778779</v>
      </c>
      <c r="AI260" s="15">
        <v>155.46304949077734</v>
      </c>
      <c r="AJ260" s="14">
        <v>142.58667084827812</v>
      </c>
      <c r="AK260" s="14">
        <v>145.87559093536169</v>
      </c>
      <c r="AL260" s="14">
        <v>144.30998137339952</v>
      </c>
      <c r="AM260" s="14">
        <v>148.94970971054636</v>
      </c>
      <c r="AN260" s="14">
        <v>155.67295077274974</v>
      </c>
      <c r="AO260" s="14">
        <v>164.29040340385316</v>
      </c>
      <c r="AP260" s="14">
        <v>174.32386468323116</v>
      </c>
      <c r="AQ260" s="14">
        <v>173.6335604671973</v>
      </c>
      <c r="AR260" s="14">
        <v>159.44127378778779</v>
      </c>
      <c r="AS260" s="14">
        <v>155.46304949077734</v>
      </c>
    </row>
    <row r="261" spans="1:45" x14ac:dyDescent="0.35">
      <c r="A261" s="16">
        <v>7291.0750799999996</v>
      </c>
      <c r="B261" s="14">
        <v>145.81339055547284</v>
      </c>
      <c r="C261" s="14">
        <v>143.97777934447541</v>
      </c>
      <c r="D261" s="14">
        <v>144.34248157189455</v>
      </c>
      <c r="E261" s="14">
        <v>148.96640981254208</v>
      </c>
      <c r="F261" s="14">
        <v>155.66525072572205</v>
      </c>
      <c r="G261" s="14">
        <v>164.25530318947892</v>
      </c>
      <c r="H261" s="14">
        <v>174.24506420195721</v>
      </c>
      <c r="I261" s="14">
        <v>173.55645999630619</v>
      </c>
      <c r="J261" s="14">
        <v>180.31080124845363</v>
      </c>
      <c r="K261" s="14">
        <v>178.44478985178728</v>
      </c>
      <c r="L261" s="14">
        <v>176.11457562000055</v>
      </c>
      <c r="M261" s="14">
        <v>173.50275966833144</v>
      </c>
      <c r="N261" s="14">
        <v>168.10462669922691</v>
      </c>
      <c r="O261" s="14">
        <v>164.99410770172841</v>
      </c>
      <c r="P261" s="14">
        <v>163.11639623360279</v>
      </c>
      <c r="Q261" s="14">
        <v>159.38837346469882</v>
      </c>
      <c r="R261" s="15">
        <v>155.41274918356825</v>
      </c>
      <c r="S261" s="14">
        <v>144.38298181924986</v>
      </c>
      <c r="T261" s="14">
        <v>143.97777934447541</v>
      </c>
      <c r="U261" s="14">
        <v>144.34248157189455</v>
      </c>
      <c r="V261" s="14">
        <v>148.96640981254208</v>
      </c>
      <c r="W261" s="14">
        <v>155.66525072572205</v>
      </c>
      <c r="X261" s="14">
        <v>164.25530318947892</v>
      </c>
      <c r="Y261" s="14">
        <v>174.24506420195721</v>
      </c>
      <c r="Z261" s="14">
        <v>173.55645999630619</v>
      </c>
      <c r="AA261" s="14">
        <v>180.31080124845363</v>
      </c>
      <c r="AB261" s="14">
        <v>178.44478985178728</v>
      </c>
      <c r="AC261" s="14">
        <v>176.11457562000055</v>
      </c>
      <c r="AD261" s="14">
        <v>173.50275966833144</v>
      </c>
      <c r="AE261" s="14">
        <v>168.10462669922691</v>
      </c>
      <c r="AF261" s="14">
        <v>164.99410770172841</v>
      </c>
      <c r="AG261" s="14">
        <v>163.11639623360279</v>
      </c>
      <c r="AH261" s="14">
        <v>159.38837346469882</v>
      </c>
      <c r="AI261" s="15">
        <v>155.41274918356825</v>
      </c>
      <c r="AJ261" s="14">
        <v>142.62497108219674</v>
      </c>
      <c r="AK261" s="14">
        <v>145.91559117966386</v>
      </c>
      <c r="AL261" s="14">
        <v>144.34248157189455</v>
      </c>
      <c r="AM261" s="14">
        <v>148.96640981254208</v>
      </c>
      <c r="AN261" s="14">
        <v>155.66525072572205</v>
      </c>
      <c r="AO261" s="14">
        <v>164.25530318947892</v>
      </c>
      <c r="AP261" s="14">
        <v>174.24506420195721</v>
      </c>
      <c r="AQ261" s="14">
        <v>173.55645999630619</v>
      </c>
      <c r="AR261" s="14">
        <v>159.38837346469882</v>
      </c>
      <c r="AS261" s="14">
        <v>155.41274918356825</v>
      </c>
    </row>
    <row r="262" spans="1:45" x14ac:dyDescent="0.35">
      <c r="A262" s="16">
        <v>7329.17508</v>
      </c>
      <c r="B262" s="14">
        <v>145.84529075030338</v>
      </c>
      <c r="C262" s="14">
        <v>144.00217949349951</v>
      </c>
      <c r="D262" s="14">
        <v>144.36678172030801</v>
      </c>
      <c r="E262" s="14">
        <v>148.97490986445621</v>
      </c>
      <c r="F262" s="14">
        <v>155.64935062861207</v>
      </c>
      <c r="G262" s="14">
        <v>164.21210292563308</v>
      </c>
      <c r="H262" s="14">
        <v>174.15716366510463</v>
      </c>
      <c r="I262" s="14">
        <v>173.4711594753328</v>
      </c>
      <c r="J262" s="14">
        <v>180.2227007103798</v>
      </c>
      <c r="K262" s="14">
        <v>178.3742894212055</v>
      </c>
      <c r="L262" s="14">
        <v>176.05067522972888</v>
      </c>
      <c r="M262" s="14">
        <v>173.43855927622715</v>
      </c>
      <c r="N262" s="14">
        <v>168.04092631017647</v>
      </c>
      <c r="O262" s="14">
        <v>164.93120731756372</v>
      </c>
      <c r="P262" s="14">
        <v>163.0515958378347</v>
      </c>
      <c r="Q262" s="14">
        <v>159.3276730939715</v>
      </c>
      <c r="R262" s="15">
        <v>155.3547488293315</v>
      </c>
      <c r="S262" s="14">
        <v>144.41388200797269</v>
      </c>
      <c r="T262" s="14">
        <v>144.00217949349951</v>
      </c>
      <c r="U262" s="14">
        <v>144.36678172030801</v>
      </c>
      <c r="V262" s="14">
        <v>148.97490986445621</v>
      </c>
      <c r="W262" s="14">
        <v>155.64935062861207</v>
      </c>
      <c r="X262" s="14">
        <v>164.21210292563308</v>
      </c>
      <c r="Y262" s="14">
        <v>174.15716366510463</v>
      </c>
      <c r="Z262" s="14">
        <v>173.4711594753328</v>
      </c>
      <c r="AA262" s="14">
        <v>180.2227007103798</v>
      </c>
      <c r="AB262" s="14">
        <v>178.3742894212055</v>
      </c>
      <c r="AC262" s="14">
        <v>176.05067522972888</v>
      </c>
      <c r="AD262" s="14">
        <v>173.43855927622715</v>
      </c>
      <c r="AE262" s="14">
        <v>168.04092631017647</v>
      </c>
      <c r="AF262" s="14">
        <v>164.93120731756372</v>
      </c>
      <c r="AG262" s="14">
        <v>163.0515958378347</v>
      </c>
      <c r="AH262" s="14">
        <v>159.3276730939715</v>
      </c>
      <c r="AI262" s="15">
        <v>155.3547488293315</v>
      </c>
      <c r="AJ262" s="14">
        <v>142.65557126908769</v>
      </c>
      <c r="AK262" s="14">
        <v>145.9474913744944</v>
      </c>
      <c r="AL262" s="14">
        <v>144.36678172030801</v>
      </c>
      <c r="AM262" s="14">
        <v>148.97490986445621</v>
      </c>
      <c r="AN262" s="14">
        <v>155.64935062861207</v>
      </c>
      <c r="AO262" s="14">
        <v>164.21210292563308</v>
      </c>
      <c r="AP262" s="14">
        <v>174.15716366510463</v>
      </c>
      <c r="AQ262" s="14">
        <v>173.4711594753328</v>
      </c>
      <c r="AR262" s="14">
        <v>159.3276730939715</v>
      </c>
      <c r="AS262" s="14">
        <v>155.3547488293315</v>
      </c>
    </row>
    <row r="263" spans="1:45" x14ac:dyDescent="0.35">
      <c r="A263" s="16">
        <v>7367.2750800000003</v>
      </c>
      <c r="B263" s="14">
        <v>145.86909089566299</v>
      </c>
      <c r="C263" s="14">
        <v>144.01847959305201</v>
      </c>
      <c r="D263" s="14">
        <v>144.38298181924986</v>
      </c>
      <c r="E263" s="14">
        <v>148.97520986628879</v>
      </c>
      <c r="F263" s="14">
        <v>155.62535048203119</v>
      </c>
      <c r="G263" s="14">
        <v>164.16080261231627</v>
      </c>
      <c r="H263" s="14">
        <v>174.06156308122362</v>
      </c>
      <c r="I263" s="14">
        <v>173.37765890427787</v>
      </c>
      <c r="J263" s="14">
        <v>180.12620012100243</v>
      </c>
      <c r="K263" s="14">
        <v>178.2953889393209</v>
      </c>
      <c r="L263" s="14">
        <v>175.97877479059687</v>
      </c>
      <c r="M263" s="14">
        <v>173.36645883587389</v>
      </c>
      <c r="N263" s="14">
        <v>167.96942587348769</v>
      </c>
      <c r="O263" s="14">
        <v>164.86040688515007</v>
      </c>
      <c r="P263" s="14">
        <v>162.97899539442687</v>
      </c>
      <c r="Q263" s="14">
        <v>159.25917267560516</v>
      </c>
      <c r="R263" s="15">
        <v>155.28904842806563</v>
      </c>
      <c r="S263" s="14">
        <v>144.43688214844656</v>
      </c>
      <c r="T263" s="14">
        <v>144.01847959305201</v>
      </c>
      <c r="U263" s="14">
        <v>144.38298181924986</v>
      </c>
      <c r="V263" s="14">
        <v>148.97520986628879</v>
      </c>
      <c r="W263" s="14">
        <v>155.62535048203119</v>
      </c>
      <c r="X263" s="14">
        <v>164.16080261231627</v>
      </c>
      <c r="Y263" s="14">
        <v>174.06156308122362</v>
      </c>
      <c r="Z263" s="14">
        <v>173.37765890427787</v>
      </c>
      <c r="AA263" s="14">
        <v>180.12620012100243</v>
      </c>
      <c r="AB263" s="14">
        <v>178.2953889393209</v>
      </c>
      <c r="AC263" s="14">
        <v>175.97877479059687</v>
      </c>
      <c r="AD263" s="14">
        <v>173.36645883587389</v>
      </c>
      <c r="AE263" s="14">
        <v>167.96942587348769</v>
      </c>
      <c r="AF263" s="14">
        <v>164.86040688515007</v>
      </c>
      <c r="AG263" s="14">
        <v>162.97899539442687</v>
      </c>
      <c r="AH263" s="14">
        <v>159.25917267560516</v>
      </c>
      <c r="AI263" s="15">
        <v>155.28904842806563</v>
      </c>
      <c r="AJ263" s="14">
        <v>142.67827140772894</v>
      </c>
      <c r="AK263" s="14">
        <v>145.97129151985331</v>
      </c>
      <c r="AL263" s="14">
        <v>144.38298181924986</v>
      </c>
      <c r="AM263" s="14">
        <v>148.97520986628879</v>
      </c>
      <c r="AN263" s="14">
        <v>155.62535048203119</v>
      </c>
      <c r="AO263" s="14">
        <v>164.16080261231627</v>
      </c>
      <c r="AP263" s="14">
        <v>174.06156308122362</v>
      </c>
      <c r="AQ263" s="14">
        <v>173.37765890427787</v>
      </c>
      <c r="AR263" s="14">
        <v>159.25917267560516</v>
      </c>
      <c r="AS263" s="14">
        <v>155.28904842806563</v>
      </c>
    </row>
    <row r="264" spans="1:45" x14ac:dyDescent="0.35">
      <c r="A264" s="16">
        <v>7405.3750799999998</v>
      </c>
      <c r="B264" s="14">
        <v>145.8957910587344</v>
      </c>
      <c r="C264" s="14">
        <v>144.03777971092762</v>
      </c>
      <c r="D264" s="14">
        <v>144.40218193651484</v>
      </c>
      <c r="E264" s="14">
        <v>148.97850988644385</v>
      </c>
      <c r="F264" s="14">
        <v>155.60435035377276</v>
      </c>
      <c r="G264" s="14">
        <v>164.11250231732194</v>
      </c>
      <c r="H264" s="14">
        <v>173.96906251627641</v>
      </c>
      <c r="I264" s="14">
        <v>173.28705835093476</v>
      </c>
      <c r="J264" s="14">
        <v>180.03229954750427</v>
      </c>
      <c r="K264" s="14">
        <v>178.21908847331554</v>
      </c>
      <c r="L264" s="14">
        <v>175.90967436856602</v>
      </c>
      <c r="M264" s="14">
        <v>173.29715841262109</v>
      </c>
      <c r="N264" s="14">
        <v>167.90062545328877</v>
      </c>
      <c r="O264" s="14">
        <v>164.79240646983757</v>
      </c>
      <c r="P264" s="14">
        <v>162.90919496812094</v>
      </c>
      <c r="Q264" s="14">
        <v>159.19347227434</v>
      </c>
      <c r="R264" s="15">
        <v>155.22614804390162</v>
      </c>
      <c r="S264" s="14">
        <v>144.46278230663151</v>
      </c>
      <c r="T264" s="14">
        <v>144.03777971092762</v>
      </c>
      <c r="U264" s="14">
        <v>144.40218193651484</v>
      </c>
      <c r="V264" s="14">
        <v>148.97850988644385</v>
      </c>
      <c r="W264" s="14">
        <v>155.60435035377276</v>
      </c>
      <c r="X264" s="14">
        <v>164.11250231732194</v>
      </c>
      <c r="Y264" s="14">
        <v>173.96906251627641</v>
      </c>
      <c r="Z264" s="14">
        <v>173.28705835093476</v>
      </c>
      <c r="AA264" s="14">
        <v>180.03229954750427</v>
      </c>
      <c r="AB264" s="14">
        <v>178.21908847331554</v>
      </c>
      <c r="AC264" s="14">
        <v>175.90967436856602</v>
      </c>
      <c r="AD264" s="14">
        <v>173.29715841262109</v>
      </c>
      <c r="AE264" s="14">
        <v>167.90062545328877</v>
      </c>
      <c r="AF264" s="14">
        <v>164.79240646983757</v>
      </c>
      <c r="AG264" s="14">
        <v>162.90919496812094</v>
      </c>
      <c r="AH264" s="14">
        <v>159.19347227434</v>
      </c>
      <c r="AI264" s="15">
        <v>155.22614804390162</v>
      </c>
      <c r="AJ264" s="14">
        <v>142.70387156408202</v>
      </c>
      <c r="AK264" s="14">
        <v>145.99799168292472</v>
      </c>
      <c r="AL264" s="14">
        <v>144.40218193651484</v>
      </c>
      <c r="AM264" s="14">
        <v>148.97850988644385</v>
      </c>
      <c r="AN264" s="14">
        <v>155.60435035377276</v>
      </c>
      <c r="AO264" s="14">
        <v>164.11250231732194</v>
      </c>
      <c r="AP264" s="14">
        <v>173.96906251627641</v>
      </c>
      <c r="AQ264" s="14">
        <v>173.28705835093476</v>
      </c>
      <c r="AR264" s="14">
        <v>159.19347227434</v>
      </c>
      <c r="AS264" s="14">
        <v>155.22614804390162</v>
      </c>
    </row>
    <row r="265" spans="1:45" x14ac:dyDescent="0.35">
      <c r="A265" s="16">
        <v>7443.4750800000002</v>
      </c>
      <c r="B265" s="14">
        <v>145.92549124012822</v>
      </c>
      <c r="C265" s="14">
        <v>144.05987984590439</v>
      </c>
      <c r="D265" s="14">
        <v>144.42418207088031</v>
      </c>
      <c r="E265" s="14">
        <v>148.98470992431066</v>
      </c>
      <c r="F265" s="14">
        <v>155.58625024322612</v>
      </c>
      <c r="G265" s="14">
        <v>164.06710204004008</v>
      </c>
      <c r="H265" s="14">
        <v>173.87946196904102</v>
      </c>
      <c r="I265" s="14">
        <v>173.19935781530413</v>
      </c>
      <c r="J265" s="14">
        <v>179.94099898988605</v>
      </c>
      <c r="K265" s="14">
        <v>178.14528802257945</v>
      </c>
      <c r="L265" s="14">
        <v>175.84337396363568</v>
      </c>
      <c r="M265" s="14">
        <v>173.23075800708082</v>
      </c>
      <c r="N265" s="14">
        <v>167.83472505080232</v>
      </c>
      <c r="O265" s="14">
        <v>164.72720607162626</v>
      </c>
      <c r="P265" s="14">
        <v>162.84219455891616</v>
      </c>
      <c r="Q265" s="14">
        <v>159.1306718907866</v>
      </c>
      <c r="R265" s="15">
        <v>155.16604767683882</v>
      </c>
      <c r="S265" s="14">
        <v>144.49148248191767</v>
      </c>
      <c r="T265" s="14">
        <v>144.05987984590439</v>
      </c>
      <c r="U265" s="14">
        <v>144.42418207088031</v>
      </c>
      <c r="V265" s="14">
        <v>148.98470992431066</v>
      </c>
      <c r="W265" s="14">
        <v>155.58625024322612</v>
      </c>
      <c r="X265" s="14">
        <v>164.06710204004008</v>
      </c>
      <c r="Y265" s="14">
        <v>173.87946196904102</v>
      </c>
      <c r="Z265" s="14">
        <v>173.19935781530413</v>
      </c>
      <c r="AA265" s="14">
        <v>179.94099898988605</v>
      </c>
      <c r="AB265" s="14">
        <v>178.14528802257945</v>
      </c>
      <c r="AC265" s="14">
        <v>175.84337396363568</v>
      </c>
      <c r="AD265" s="14">
        <v>173.23075800708082</v>
      </c>
      <c r="AE265" s="14">
        <v>167.83472505080232</v>
      </c>
      <c r="AF265" s="14">
        <v>164.72720607162626</v>
      </c>
      <c r="AG265" s="14">
        <v>162.84219455891616</v>
      </c>
      <c r="AH265" s="14">
        <v>159.1306718907866</v>
      </c>
      <c r="AI265" s="15">
        <v>155.16604767683882</v>
      </c>
      <c r="AJ265" s="14">
        <v>142.73227173753625</v>
      </c>
      <c r="AK265" s="14">
        <v>146.0276918643186</v>
      </c>
      <c r="AL265" s="14">
        <v>144.42418207088031</v>
      </c>
      <c r="AM265" s="14">
        <v>148.98470992431066</v>
      </c>
      <c r="AN265" s="14">
        <v>155.58625024322612</v>
      </c>
      <c r="AO265" s="14">
        <v>164.06710204004008</v>
      </c>
      <c r="AP265" s="14">
        <v>173.87946196904102</v>
      </c>
      <c r="AQ265" s="14">
        <v>173.19935781530413</v>
      </c>
      <c r="AR265" s="14">
        <v>159.1306718907866</v>
      </c>
      <c r="AS265" s="14">
        <v>155.16604767683882</v>
      </c>
    </row>
    <row r="266" spans="1:45" x14ac:dyDescent="0.35">
      <c r="A266" s="16">
        <v>7481.5750799999996</v>
      </c>
      <c r="B266" s="14">
        <v>145.95719143373751</v>
      </c>
      <c r="C266" s="14">
        <v>144.08397999309591</v>
      </c>
      <c r="D266" s="14">
        <v>144.44838221868315</v>
      </c>
      <c r="E266" s="14">
        <v>148.99300997500285</v>
      </c>
      <c r="F266" s="14">
        <v>155.57025014550555</v>
      </c>
      <c r="G266" s="14">
        <v>164.02380177558359</v>
      </c>
      <c r="H266" s="14">
        <v>173.79246143768481</v>
      </c>
      <c r="I266" s="14">
        <v>173.11365729188819</v>
      </c>
      <c r="J266" s="14">
        <v>179.85139844265061</v>
      </c>
      <c r="K266" s="14">
        <v>178.0731875822255</v>
      </c>
      <c r="L266" s="14">
        <v>175.77907357092144</v>
      </c>
      <c r="M266" s="14">
        <v>173.16625761314458</v>
      </c>
      <c r="N266" s="14">
        <v>167.77082466053062</v>
      </c>
      <c r="O266" s="14">
        <v>164.66400568562966</v>
      </c>
      <c r="P266" s="14">
        <v>162.7771941619261</v>
      </c>
      <c r="Q266" s="14">
        <v>159.06977151883734</v>
      </c>
      <c r="R266" s="15">
        <v>155.10784732138006</v>
      </c>
      <c r="S266" s="14">
        <v>144.52218266941924</v>
      </c>
      <c r="T266" s="14">
        <v>144.08397999309591</v>
      </c>
      <c r="U266" s="14">
        <v>144.44838221868315</v>
      </c>
      <c r="V266" s="14">
        <v>148.99300997500285</v>
      </c>
      <c r="W266" s="14">
        <v>155.57025014550555</v>
      </c>
      <c r="X266" s="14">
        <v>164.02380177558359</v>
      </c>
      <c r="Y266" s="14">
        <v>173.79246143768481</v>
      </c>
      <c r="Z266" s="14">
        <v>173.11365729188819</v>
      </c>
      <c r="AA266" s="14">
        <v>179.85139844265061</v>
      </c>
      <c r="AB266" s="14">
        <v>178.0731875822255</v>
      </c>
      <c r="AC266" s="14">
        <v>175.77907357092144</v>
      </c>
      <c r="AD266" s="14">
        <v>173.16625761314458</v>
      </c>
      <c r="AE266" s="14">
        <v>167.77082466053062</v>
      </c>
      <c r="AF266" s="14">
        <v>164.66400568562966</v>
      </c>
      <c r="AG266" s="14">
        <v>162.7771941619261</v>
      </c>
      <c r="AH266" s="14">
        <v>159.06977151883734</v>
      </c>
      <c r="AI266" s="15">
        <v>155.10784732138006</v>
      </c>
      <c r="AJ266" s="14">
        <v>142.76277192381588</v>
      </c>
      <c r="AK266" s="14">
        <v>146.05939205792785</v>
      </c>
      <c r="AL266" s="14">
        <v>144.44838221868315</v>
      </c>
      <c r="AM266" s="14">
        <v>148.99300997500285</v>
      </c>
      <c r="AN266" s="14">
        <v>155.57025014550555</v>
      </c>
      <c r="AO266" s="14">
        <v>164.02380177558359</v>
      </c>
      <c r="AP266" s="14">
        <v>173.79246143768481</v>
      </c>
      <c r="AQ266" s="14">
        <v>173.11365729188819</v>
      </c>
      <c r="AR266" s="14">
        <v>159.06977151883734</v>
      </c>
      <c r="AS266" s="14">
        <v>155.10784732138006</v>
      </c>
    </row>
    <row r="267" spans="1:45" x14ac:dyDescent="0.35">
      <c r="A267" s="16">
        <v>7519.67508</v>
      </c>
      <c r="B267" s="14">
        <v>145.99109164078277</v>
      </c>
      <c r="C267" s="14">
        <v>144.11018015311348</v>
      </c>
      <c r="D267" s="14">
        <v>144.47458237870072</v>
      </c>
      <c r="E267" s="14">
        <v>149.00331003791047</v>
      </c>
      <c r="F267" s="14">
        <v>155.55635006061104</v>
      </c>
      <c r="G267" s="14">
        <v>163.98260152395315</v>
      </c>
      <c r="H267" s="14">
        <v>173.70706091610151</v>
      </c>
      <c r="I267" s="14">
        <v>173.02995678068703</v>
      </c>
      <c r="J267" s="14">
        <v>179.76349790579803</v>
      </c>
      <c r="K267" s="14">
        <v>178.00268715164444</v>
      </c>
      <c r="L267" s="14">
        <v>175.71667318981062</v>
      </c>
      <c r="M267" s="14">
        <v>173.10385723203376</v>
      </c>
      <c r="N267" s="14">
        <v>167.708824281863</v>
      </c>
      <c r="O267" s="14">
        <v>164.6028053118485</v>
      </c>
      <c r="P267" s="14">
        <v>162.7141937771508</v>
      </c>
      <c r="Q267" s="14">
        <v>159.01087115910346</v>
      </c>
      <c r="R267" s="15">
        <v>155.05174697874739</v>
      </c>
      <c r="S267" s="14">
        <v>144.55498286974685</v>
      </c>
      <c r="T267" s="14">
        <v>144.11018015311348</v>
      </c>
      <c r="U267" s="14">
        <v>144.47458237870072</v>
      </c>
      <c r="V267" s="14">
        <v>149.00331003791047</v>
      </c>
      <c r="W267" s="14">
        <v>155.55635006061104</v>
      </c>
      <c r="X267" s="14">
        <v>163.98260152395315</v>
      </c>
      <c r="Y267" s="14">
        <v>173.70706091610151</v>
      </c>
      <c r="Z267" s="14">
        <v>173.02995678068703</v>
      </c>
      <c r="AA267" s="14">
        <v>179.76349790579803</v>
      </c>
      <c r="AB267" s="14">
        <v>178.00268715164444</v>
      </c>
      <c r="AC267" s="14">
        <v>175.71667318981062</v>
      </c>
      <c r="AD267" s="14">
        <v>173.10385723203376</v>
      </c>
      <c r="AE267" s="14">
        <v>167.708824281863</v>
      </c>
      <c r="AF267" s="14">
        <v>164.6028053118485</v>
      </c>
      <c r="AG267" s="14">
        <v>162.7141937771508</v>
      </c>
      <c r="AH267" s="14">
        <v>159.01087115910346</v>
      </c>
      <c r="AI267" s="15">
        <v>155.05174697874739</v>
      </c>
      <c r="AJ267" s="14">
        <v>142.79517212170026</v>
      </c>
      <c r="AK267" s="14">
        <v>146.09329226497314</v>
      </c>
      <c r="AL267" s="14">
        <v>144.47458237870072</v>
      </c>
      <c r="AM267" s="14">
        <v>149.00331003791047</v>
      </c>
      <c r="AN267" s="14">
        <v>155.55635006061104</v>
      </c>
      <c r="AO267" s="14">
        <v>163.98260152395315</v>
      </c>
      <c r="AP267" s="14">
        <v>173.70706091610151</v>
      </c>
      <c r="AQ267" s="14">
        <v>173.02995678068703</v>
      </c>
      <c r="AR267" s="14">
        <v>159.01087115910346</v>
      </c>
      <c r="AS267" s="14">
        <v>155.05174697874739</v>
      </c>
    </row>
    <row r="268" spans="1:45" x14ac:dyDescent="0.35">
      <c r="A268" s="16">
        <v>7557.7750800000003</v>
      </c>
      <c r="B268" s="14">
        <v>146.01209176904121</v>
      </c>
      <c r="C268" s="14">
        <v>144.12338023373289</v>
      </c>
      <c r="D268" s="14">
        <v>144.48788245993074</v>
      </c>
      <c r="E268" s="14">
        <v>149.00071002203126</v>
      </c>
      <c r="F268" s="14">
        <v>155.52964989753957</v>
      </c>
      <c r="G268" s="14">
        <v>163.9285011935352</v>
      </c>
      <c r="H268" s="14">
        <v>173.60896031695191</v>
      </c>
      <c r="I268" s="14">
        <v>172.93335619069836</v>
      </c>
      <c r="J268" s="14">
        <v>179.66249728893663</v>
      </c>
      <c r="K268" s="14">
        <v>177.91918664166451</v>
      </c>
      <c r="L268" s="14">
        <v>175.64177273235617</v>
      </c>
      <c r="M268" s="14">
        <v>173.02895677457934</v>
      </c>
      <c r="N268" s="14">
        <v>167.63442382746243</v>
      </c>
      <c r="O268" s="14">
        <v>164.52920486233367</v>
      </c>
      <c r="P268" s="14">
        <v>162.63879331664251</v>
      </c>
      <c r="Q268" s="14">
        <v>158.93967072424661</v>
      </c>
      <c r="R268" s="15">
        <v>154.98334656099169</v>
      </c>
      <c r="S268" s="14">
        <v>144.57528299372947</v>
      </c>
      <c r="T268" s="14">
        <v>144.12338023373289</v>
      </c>
      <c r="U268" s="14">
        <v>144.48788245993074</v>
      </c>
      <c r="V268" s="14">
        <v>149.00071002203126</v>
      </c>
      <c r="W268" s="14">
        <v>155.52964989753957</v>
      </c>
      <c r="X268" s="14">
        <v>163.9285011935352</v>
      </c>
      <c r="Y268" s="14">
        <v>173.60896031695191</v>
      </c>
      <c r="Z268" s="14">
        <v>172.93335619069836</v>
      </c>
      <c r="AA268" s="14">
        <v>179.66249728893663</v>
      </c>
      <c r="AB268" s="14">
        <v>177.91918664166451</v>
      </c>
      <c r="AC268" s="14">
        <v>175.64177273235617</v>
      </c>
      <c r="AD268" s="14">
        <v>173.02895677457934</v>
      </c>
      <c r="AE268" s="14">
        <v>167.63442382746243</v>
      </c>
      <c r="AF268" s="14">
        <v>164.52920486233367</v>
      </c>
      <c r="AG268" s="14">
        <v>162.63879331664251</v>
      </c>
      <c r="AH268" s="14">
        <v>158.93967072424661</v>
      </c>
      <c r="AI268" s="15">
        <v>154.98334656099169</v>
      </c>
      <c r="AJ268" s="14">
        <v>142.81527224446165</v>
      </c>
      <c r="AK268" s="14">
        <v>146.11429239323158</v>
      </c>
      <c r="AL268" s="14">
        <v>144.48788245993074</v>
      </c>
      <c r="AM268" s="14">
        <v>149.00071002203126</v>
      </c>
      <c r="AN268" s="14">
        <v>155.52964989753957</v>
      </c>
      <c r="AO268" s="14">
        <v>163.9285011935352</v>
      </c>
      <c r="AP268" s="14">
        <v>173.60896031695191</v>
      </c>
      <c r="AQ268" s="14">
        <v>172.93335619069836</v>
      </c>
      <c r="AR268" s="14">
        <v>158.93967072424661</v>
      </c>
      <c r="AS268" s="14">
        <v>154.98334656099169</v>
      </c>
    </row>
    <row r="269" spans="1:45" x14ac:dyDescent="0.35">
      <c r="A269" s="16">
        <v>7595.8750799999998</v>
      </c>
      <c r="B269" s="14">
        <v>146.02019181851213</v>
      </c>
      <c r="C269" s="14">
        <v>144.12368023556547</v>
      </c>
      <c r="D269" s="14">
        <v>144.48838246298462</v>
      </c>
      <c r="E269" s="14">
        <v>148.98520992736385</v>
      </c>
      <c r="F269" s="14">
        <v>155.48984965445939</v>
      </c>
      <c r="G269" s="14">
        <v>163.86140078371909</v>
      </c>
      <c r="H269" s="14">
        <v>173.4980596396255</v>
      </c>
      <c r="I269" s="14">
        <v>172.82385552192352</v>
      </c>
      <c r="J269" s="14">
        <v>179.54829659145585</v>
      </c>
      <c r="K269" s="14">
        <v>177.82278605289778</v>
      </c>
      <c r="L269" s="14">
        <v>175.5542721979468</v>
      </c>
      <c r="M269" s="14">
        <v>172.94155624078061</v>
      </c>
      <c r="N269" s="14">
        <v>167.54762329732819</v>
      </c>
      <c r="O269" s="14">
        <v>164.44310433647453</v>
      </c>
      <c r="P269" s="14">
        <v>162.5508927797899</v>
      </c>
      <c r="Q269" s="14">
        <v>158.85607021365607</v>
      </c>
      <c r="R269" s="15">
        <v>154.90274606872359</v>
      </c>
      <c r="S269" s="14">
        <v>144.58318304197914</v>
      </c>
      <c r="T269" s="14">
        <v>144.12368023556547</v>
      </c>
      <c r="U269" s="14">
        <v>144.48838246298462</v>
      </c>
      <c r="V269" s="14">
        <v>148.98520992736385</v>
      </c>
      <c r="W269" s="14">
        <v>155.48984965445939</v>
      </c>
      <c r="X269" s="14">
        <v>163.86140078371909</v>
      </c>
      <c r="Y269" s="14">
        <v>173.4980596396255</v>
      </c>
      <c r="Z269" s="14">
        <v>172.82385552192352</v>
      </c>
      <c r="AA269" s="14">
        <v>179.54829659145585</v>
      </c>
      <c r="AB269" s="14">
        <v>177.82278605289778</v>
      </c>
      <c r="AC269" s="14">
        <v>175.5542721979468</v>
      </c>
      <c r="AD269" s="14">
        <v>172.94155624078061</v>
      </c>
      <c r="AE269" s="14">
        <v>167.54762329732819</v>
      </c>
      <c r="AF269" s="14">
        <v>164.44310433647453</v>
      </c>
      <c r="AG269" s="14">
        <v>162.5508927797899</v>
      </c>
      <c r="AH269" s="14">
        <v>158.85607021365607</v>
      </c>
      <c r="AI269" s="15">
        <v>154.90274606872359</v>
      </c>
      <c r="AJ269" s="14">
        <v>142.82307229210065</v>
      </c>
      <c r="AK269" s="14">
        <v>146.12239244270251</v>
      </c>
      <c r="AL269" s="14">
        <v>144.48838246298462</v>
      </c>
      <c r="AM269" s="14">
        <v>148.98520992736385</v>
      </c>
      <c r="AN269" s="14">
        <v>155.48984965445939</v>
      </c>
      <c r="AO269" s="14">
        <v>163.86140078371909</v>
      </c>
      <c r="AP269" s="14">
        <v>173.4980596396255</v>
      </c>
      <c r="AQ269" s="14">
        <v>172.82385552192352</v>
      </c>
      <c r="AR269" s="14">
        <v>158.85607021365607</v>
      </c>
      <c r="AS269" s="14">
        <v>154.90274606872359</v>
      </c>
    </row>
    <row r="270" spans="1:45" x14ac:dyDescent="0.35">
      <c r="A270" s="16">
        <v>7633.9750800000002</v>
      </c>
      <c r="B270" s="14">
        <v>146.02029181912278</v>
      </c>
      <c r="C270" s="14">
        <v>144.11588018792645</v>
      </c>
      <c r="D270" s="14">
        <v>144.48058241534557</v>
      </c>
      <c r="E270" s="14">
        <v>148.96150978261551</v>
      </c>
      <c r="F270" s="14">
        <v>155.44194936190894</v>
      </c>
      <c r="G270" s="14">
        <v>163.78620032443209</v>
      </c>
      <c r="H270" s="14">
        <v>173.37925891405007</v>
      </c>
      <c r="I270" s="14">
        <v>172.70615480306577</v>
      </c>
      <c r="J270" s="14">
        <v>179.42569584267156</v>
      </c>
      <c r="K270" s="14">
        <v>177.7179854128282</v>
      </c>
      <c r="L270" s="14">
        <v>175.45887161528708</v>
      </c>
      <c r="M270" s="14">
        <v>172.84625565873219</v>
      </c>
      <c r="N270" s="14">
        <v>167.45292271894428</v>
      </c>
      <c r="O270" s="14">
        <v>164.34910376236576</v>
      </c>
      <c r="P270" s="14">
        <v>162.45519219529831</v>
      </c>
      <c r="Q270" s="14">
        <v>158.76466965542721</v>
      </c>
      <c r="R270" s="15">
        <v>154.81444552942844</v>
      </c>
      <c r="S270" s="14">
        <v>144.58328304258978</v>
      </c>
      <c r="T270" s="14">
        <v>144.11588018792645</v>
      </c>
      <c r="U270" s="14">
        <v>144.48058241534557</v>
      </c>
      <c r="V270" s="14">
        <v>148.96150978261551</v>
      </c>
      <c r="W270" s="14">
        <v>155.44194936190894</v>
      </c>
      <c r="X270" s="14">
        <v>163.78620032443209</v>
      </c>
      <c r="Y270" s="14">
        <v>173.37925891405007</v>
      </c>
      <c r="Z270" s="14">
        <v>172.70615480306577</v>
      </c>
      <c r="AA270" s="14">
        <v>179.42569584267156</v>
      </c>
      <c r="AB270" s="14">
        <v>177.7179854128282</v>
      </c>
      <c r="AC270" s="14">
        <v>175.45887161528708</v>
      </c>
      <c r="AD270" s="14">
        <v>172.84625565873219</v>
      </c>
      <c r="AE270" s="14">
        <v>167.45292271894428</v>
      </c>
      <c r="AF270" s="14">
        <v>164.34910376236576</v>
      </c>
      <c r="AG270" s="14">
        <v>162.45519219529831</v>
      </c>
      <c r="AH270" s="14">
        <v>158.76466965542721</v>
      </c>
      <c r="AI270" s="15">
        <v>154.81444552942844</v>
      </c>
      <c r="AJ270" s="14">
        <v>142.82307229210065</v>
      </c>
      <c r="AK270" s="14">
        <v>146.12249244331312</v>
      </c>
      <c r="AL270" s="14">
        <v>144.48058241534557</v>
      </c>
      <c r="AM270" s="14">
        <v>148.96150978261551</v>
      </c>
      <c r="AN270" s="14">
        <v>155.44194936190894</v>
      </c>
      <c r="AO270" s="14">
        <v>163.78620032443209</v>
      </c>
      <c r="AP270" s="14">
        <v>173.37925891405007</v>
      </c>
      <c r="AQ270" s="14">
        <v>172.70615480306577</v>
      </c>
      <c r="AR270" s="14">
        <v>158.76466965542721</v>
      </c>
      <c r="AS270" s="14">
        <v>154.81444552942844</v>
      </c>
    </row>
    <row r="271" spans="1:45" x14ac:dyDescent="0.35">
      <c r="A271" s="16">
        <v>7672.0750799999996</v>
      </c>
      <c r="B271" s="14">
        <v>146.01209176904121</v>
      </c>
      <c r="C271" s="14">
        <v>144.10018009203776</v>
      </c>
      <c r="D271" s="14">
        <v>144.46478231884626</v>
      </c>
      <c r="E271" s="14">
        <v>148.92960958778502</v>
      </c>
      <c r="F271" s="14">
        <v>155.38594901988623</v>
      </c>
      <c r="G271" s="14">
        <v>163.70269981445284</v>
      </c>
      <c r="H271" s="14">
        <v>173.25245813961436</v>
      </c>
      <c r="I271" s="14">
        <v>172.58025403412643</v>
      </c>
      <c r="J271" s="14">
        <v>179.29469504258375</v>
      </c>
      <c r="K271" s="14">
        <v>177.60488472206509</v>
      </c>
      <c r="L271" s="14">
        <v>175.3555709843784</v>
      </c>
      <c r="M271" s="14">
        <v>172.74305502843416</v>
      </c>
      <c r="N271" s="14">
        <v>167.35032209231071</v>
      </c>
      <c r="O271" s="14">
        <v>164.24730314061861</v>
      </c>
      <c r="P271" s="14">
        <v>162.35169156316834</v>
      </c>
      <c r="Q271" s="14">
        <v>158.66546904955928</v>
      </c>
      <c r="R271" s="15">
        <v>154.71844494310426</v>
      </c>
      <c r="S271" s="14">
        <v>144.57538299434012</v>
      </c>
      <c r="T271" s="14">
        <v>144.10018009203776</v>
      </c>
      <c r="U271" s="14">
        <v>144.46478231884626</v>
      </c>
      <c r="V271" s="14">
        <v>148.92960958778502</v>
      </c>
      <c r="W271" s="14">
        <v>155.38594901988623</v>
      </c>
      <c r="X271" s="14">
        <v>163.70269981445284</v>
      </c>
      <c r="Y271" s="14">
        <v>173.25245813961436</v>
      </c>
      <c r="Z271" s="14">
        <v>172.58025403412643</v>
      </c>
      <c r="AA271" s="14">
        <v>179.29469504258375</v>
      </c>
      <c r="AB271" s="14">
        <v>177.60488472206509</v>
      </c>
      <c r="AC271" s="14">
        <v>175.3555709843784</v>
      </c>
      <c r="AD271" s="14">
        <v>172.74305502843416</v>
      </c>
      <c r="AE271" s="14">
        <v>167.35032209231071</v>
      </c>
      <c r="AF271" s="14">
        <v>164.24730314061861</v>
      </c>
      <c r="AG271" s="14">
        <v>162.35169156316834</v>
      </c>
      <c r="AH271" s="14">
        <v>158.66546904955928</v>
      </c>
      <c r="AI271" s="15">
        <v>154.71844494310426</v>
      </c>
      <c r="AJ271" s="14">
        <v>142.81527224446165</v>
      </c>
      <c r="AK271" s="14">
        <v>146.11429239323158</v>
      </c>
      <c r="AL271" s="14">
        <v>144.46478231884626</v>
      </c>
      <c r="AM271" s="14">
        <v>148.92960958778502</v>
      </c>
      <c r="AN271" s="14">
        <v>155.38594901988623</v>
      </c>
      <c r="AO271" s="14">
        <v>163.70269981445284</v>
      </c>
      <c r="AP271" s="14">
        <v>173.25245813961436</v>
      </c>
      <c r="AQ271" s="14">
        <v>172.58025403412643</v>
      </c>
      <c r="AR271" s="14">
        <v>158.66546904955928</v>
      </c>
      <c r="AS271" s="14">
        <v>154.71844494310426</v>
      </c>
    </row>
    <row r="272" spans="1:45" x14ac:dyDescent="0.35">
      <c r="A272" s="16">
        <v>7702.4804039999999</v>
      </c>
      <c r="B272" s="14">
        <v>145.99309165299752</v>
      </c>
      <c r="C272" s="14">
        <v>144.0752799399605</v>
      </c>
      <c r="D272" s="14">
        <v>144.43958216493641</v>
      </c>
      <c r="E272" s="14">
        <v>148.89160935569825</v>
      </c>
      <c r="F272" s="14">
        <v>155.32874867053519</v>
      </c>
      <c r="G272" s="14">
        <v>163.62339933012504</v>
      </c>
      <c r="H272" s="14">
        <v>173.13885744579807</v>
      </c>
      <c r="I272" s="14">
        <v>172.46725334397462</v>
      </c>
      <c r="J272" s="14">
        <v>179.17739432616992</v>
      </c>
      <c r="K272" s="14">
        <v>177.50208409421026</v>
      </c>
      <c r="L272" s="14">
        <v>175.26097040660582</v>
      </c>
      <c r="M272" s="14">
        <v>172.64865445188212</v>
      </c>
      <c r="N272" s="14">
        <v>167.2563215182019</v>
      </c>
      <c r="O272" s="14">
        <v>164.15400257078497</v>
      </c>
      <c r="P272" s="14">
        <v>162.25689098417379</v>
      </c>
      <c r="Q272" s="14">
        <v>158.57426849255168</v>
      </c>
      <c r="R272" s="15">
        <v>154.62994440258717</v>
      </c>
      <c r="S272" s="14">
        <v>144.55708288257222</v>
      </c>
      <c r="T272" s="14">
        <v>144.0752799399605</v>
      </c>
      <c r="U272" s="14">
        <v>144.43958216493641</v>
      </c>
      <c r="V272" s="14">
        <v>148.89160935569825</v>
      </c>
      <c r="W272" s="14">
        <v>155.32874867053519</v>
      </c>
      <c r="X272" s="14">
        <v>163.62339933012504</v>
      </c>
      <c r="Y272" s="14">
        <v>173.13885744579807</v>
      </c>
      <c r="Z272" s="14">
        <v>172.46725334397462</v>
      </c>
      <c r="AA272" s="14">
        <v>179.17739432616992</v>
      </c>
      <c r="AB272" s="14">
        <v>177.50208409421026</v>
      </c>
      <c r="AC272" s="14">
        <v>175.26097040660582</v>
      </c>
      <c r="AD272" s="14">
        <v>172.64865445188212</v>
      </c>
      <c r="AE272" s="14">
        <v>167.2563215182019</v>
      </c>
      <c r="AF272" s="14">
        <v>164.15400257078497</v>
      </c>
      <c r="AG272" s="14">
        <v>162.25689098417379</v>
      </c>
      <c r="AH272" s="14">
        <v>158.57426849255168</v>
      </c>
      <c r="AI272" s="15">
        <v>154.62994440258717</v>
      </c>
      <c r="AJ272" s="14">
        <v>142.79707213330437</v>
      </c>
      <c r="AK272" s="14">
        <v>146.09529227718855</v>
      </c>
      <c r="AL272" s="14">
        <v>144.43958216493641</v>
      </c>
      <c r="AM272" s="14">
        <v>148.89160935569825</v>
      </c>
      <c r="AN272" s="14">
        <v>155.32874867053519</v>
      </c>
      <c r="AO272" s="14">
        <v>163.62339933012504</v>
      </c>
      <c r="AP272" s="14">
        <v>173.13885744579807</v>
      </c>
      <c r="AQ272" s="14">
        <v>172.46725334397462</v>
      </c>
      <c r="AR272" s="14">
        <v>158.57426849255168</v>
      </c>
      <c r="AS272" s="14">
        <v>154.62994440258717</v>
      </c>
    </row>
    <row r="273" spans="1:45" x14ac:dyDescent="0.35">
      <c r="A273" s="16">
        <v>7725.191052000001</v>
      </c>
      <c r="B273" s="14">
        <v>145.96319147038238</v>
      </c>
      <c r="C273" s="14">
        <v>144.040979730472</v>
      </c>
      <c r="D273" s="14">
        <v>144.40508195422666</v>
      </c>
      <c r="E273" s="14">
        <v>148.84750908635604</v>
      </c>
      <c r="F273" s="14">
        <v>155.27024831324456</v>
      </c>
      <c r="G273" s="14">
        <v>163.54819887083804</v>
      </c>
      <c r="H273" s="14">
        <v>173.03805683015796</v>
      </c>
      <c r="I273" s="14">
        <v>172.36705273199971</v>
      </c>
      <c r="J273" s="14">
        <v>179.07409369526124</v>
      </c>
      <c r="K273" s="14">
        <v>177.40968352987369</v>
      </c>
      <c r="L273" s="14">
        <v>175.17496988135733</v>
      </c>
      <c r="M273" s="14">
        <v>172.56285392785563</v>
      </c>
      <c r="N273" s="14">
        <v>167.17092099661792</v>
      </c>
      <c r="O273" s="14">
        <v>164.06910205225481</v>
      </c>
      <c r="P273" s="14">
        <v>162.17099045953594</v>
      </c>
      <c r="Q273" s="14">
        <v>158.49106798440434</v>
      </c>
      <c r="R273" s="15">
        <v>154.54894390787655</v>
      </c>
      <c r="S273" s="14">
        <v>144.52808270545347</v>
      </c>
      <c r="T273" s="14">
        <v>144.040979730472</v>
      </c>
      <c r="U273" s="14">
        <v>144.40508195422666</v>
      </c>
      <c r="V273" s="14">
        <v>148.84750908635604</v>
      </c>
      <c r="W273" s="14">
        <v>155.27024831324456</v>
      </c>
      <c r="X273" s="14">
        <v>163.54819887083804</v>
      </c>
      <c r="Y273" s="14">
        <v>173.03805683015796</v>
      </c>
      <c r="Z273" s="14">
        <v>172.36705273199971</v>
      </c>
      <c r="AA273" s="14">
        <v>179.07409369526124</v>
      </c>
      <c r="AB273" s="14">
        <v>177.40968352987369</v>
      </c>
      <c r="AC273" s="14">
        <v>175.17496988135733</v>
      </c>
      <c r="AD273" s="14">
        <v>172.56285392785563</v>
      </c>
      <c r="AE273" s="14">
        <v>167.17092099661792</v>
      </c>
      <c r="AF273" s="14">
        <v>164.06910205225481</v>
      </c>
      <c r="AG273" s="14">
        <v>162.17099045953594</v>
      </c>
      <c r="AH273" s="14">
        <v>158.49106798440434</v>
      </c>
      <c r="AI273" s="15">
        <v>154.54894390787655</v>
      </c>
      <c r="AJ273" s="14">
        <v>142.76847195862885</v>
      </c>
      <c r="AK273" s="14">
        <v>146.06539209457273</v>
      </c>
      <c r="AL273" s="14">
        <v>144.40508195422666</v>
      </c>
      <c r="AM273" s="14">
        <v>148.84750908635604</v>
      </c>
      <c r="AN273" s="14">
        <v>155.27024831324456</v>
      </c>
      <c r="AO273" s="14">
        <v>163.54819887083804</v>
      </c>
      <c r="AP273" s="14">
        <v>173.03805683015796</v>
      </c>
      <c r="AQ273" s="14">
        <v>172.36705273199971</v>
      </c>
      <c r="AR273" s="14">
        <v>158.49106798440434</v>
      </c>
      <c r="AS273" s="14">
        <v>154.54894390787655</v>
      </c>
    </row>
    <row r="274" spans="1:45" x14ac:dyDescent="0.35">
      <c r="A274" s="16">
        <v>7755.5963760000004</v>
      </c>
      <c r="B274" s="14">
        <v>145.95559142396533</v>
      </c>
      <c r="C274" s="14">
        <v>144.02767964924126</v>
      </c>
      <c r="D274" s="14">
        <v>144.39138187055337</v>
      </c>
      <c r="E274" s="14">
        <v>148.8208089232846</v>
      </c>
      <c r="F274" s="14">
        <v>155.2244480335188</v>
      </c>
      <c r="G274" s="14">
        <v>163.47999845430428</v>
      </c>
      <c r="H274" s="14">
        <v>172.93585620596764</v>
      </c>
      <c r="I274" s="14">
        <v>172.26545211147385</v>
      </c>
      <c r="J274" s="14">
        <v>178.96789304664003</v>
      </c>
      <c r="K274" s="14">
        <v>177.31758296736967</v>
      </c>
      <c r="L274" s="14">
        <v>175.09136937076678</v>
      </c>
      <c r="M274" s="14">
        <v>172.47945341848703</v>
      </c>
      <c r="N274" s="14">
        <v>167.08792048969255</v>
      </c>
      <c r="O274" s="14">
        <v>163.98670154899395</v>
      </c>
      <c r="P274" s="14">
        <v>162.08728994833479</v>
      </c>
      <c r="Q274" s="14">
        <v>158.4107674939695</v>
      </c>
      <c r="R274" s="15">
        <v>154.47134343393157</v>
      </c>
      <c r="S274" s="14">
        <v>144.520782660869</v>
      </c>
      <c r="T274" s="14">
        <v>144.02767964924126</v>
      </c>
      <c r="U274" s="14">
        <v>144.39138187055337</v>
      </c>
      <c r="V274" s="14">
        <v>148.8208089232846</v>
      </c>
      <c r="W274" s="14">
        <v>155.2244480335188</v>
      </c>
      <c r="X274" s="14">
        <v>163.47999845430428</v>
      </c>
      <c r="Y274" s="14">
        <v>172.93585620596764</v>
      </c>
      <c r="Z274" s="14">
        <v>172.26545211147385</v>
      </c>
      <c r="AA274" s="14">
        <v>178.96789304664003</v>
      </c>
      <c r="AB274" s="14">
        <v>177.31758296736967</v>
      </c>
      <c r="AC274" s="14">
        <v>175.09136937076678</v>
      </c>
      <c r="AD274" s="14">
        <v>172.47945341848703</v>
      </c>
      <c r="AE274" s="14">
        <v>167.08792048969255</v>
      </c>
      <c r="AF274" s="14">
        <v>163.98670154899395</v>
      </c>
      <c r="AG274" s="14">
        <v>162.08728994833479</v>
      </c>
      <c r="AH274" s="14">
        <v>158.4107674939695</v>
      </c>
      <c r="AI274" s="15">
        <v>154.47134343393157</v>
      </c>
      <c r="AJ274" s="14">
        <v>142.76117191404367</v>
      </c>
      <c r="AK274" s="14">
        <v>146.05779204815565</v>
      </c>
      <c r="AL274" s="14">
        <v>144.39138187055337</v>
      </c>
      <c r="AM274" s="14">
        <v>148.8208089232846</v>
      </c>
      <c r="AN274" s="14">
        <v>155.2244480335188</v>
      </c>
      <c r="AO274" s="14">
        <v>163.47999845430428</v>
      </c>
      <c r="AP274" s="14">
        <v>172.93585620596764</v>
      </c>
      <c r="AQ274" s="14">
        <v>172.26545211147385</v>
      </c>
      <c r="AR274" s="14">
        <v>158.4107674939695</v>
      </c>
      <c r="AS274" s="14">
        <v>154.47134343393157</v>
      </c>
    </row>
    <row r="275" spans="1:45" x14ac:dyDescent="0.35">
      <c r="A275" s="16">
        <v>7793.6963759999999</v>
      </c>
      <c r="B275" s="14">
        <v>145.97039151435695</v>
      </c>
      <c r="C275" s="14">
        <v>144.0351796950477</v>
      </c>
      <c r="D275" s="14">
        <v>144.39838191330597</v>
      </c>
      <c r="E275" s="14">
        <v>148.81170886770596</v>
      </c>
      <c r="F275" s="14">
        <v>155.19154783258122</v>
      </c>
      <c r="G275" s="14">
        <v>163.41919808296566</v>
      </c>
      <c r="H275" s="14">
        <v>172.83285557689084</v>
      </c>
      <c r="I275" s="14">
        <v>172.16235148178643</v>
      </c>
      <c r="J275" s="14">
        <v>178.8585923790865</v>
      </c>
      <c r="K275" s="14">
        <v>177.22548240486501</v>
      </c>
      <c r="L275" s="14">
        <v>175.00986887300232</v>
      </c>
      <c r="M275" s="14">
        <v>172.39835292316576</v>
      </c>
      <c r="N275" s="14">
        <v>167.00731999742513</v>
      </c>
      <c r="O275" s="14">
        <v>163.90690106161227</v>
      </c>
      <c r="P275" s="14">
        <v>162.00568944995965</v>
      </c>
      <c r="Q275" s="14">
        <v>158.33346702185645</v>
      </c>
      <c r="R275" s="15">
        <v>154.39704298014163</v>
      </c>
      <c r="S275" s="14">
        <v>144.53518274881736</v>
      </c>
      <c r="T275" s="14">
        <v>144.0351796950477</v>
      </c>
      <c r="U275" s="14">
        <v>144.39838191330597</v>
      </c>
      <c r="V275" s="14">
        <v>148.81170886770596</v>
      </c>
      <c r="W275" s="14">
        <v>155.19154783258122</v>
      </c>
      <c r="X275" s="14">
        <v>163.41919808296566</v>
      </c>
      <c r="Y275" s="14">
        <v>172.83285557689084</v>
      </c>
      <c r="Z275" s="14">
        <v>172.16235148178643</v>
      </c>
      <c r="AA275" s="14">
        <v>178.8585923790865</v>
      </c>
      <c r="AB275" s="14">
        <v>177.22548240486501</v>
      </c>
      <c r="AC275" s="14">
        <v>175.00986887300232</v>
      </c>
      <c r="AD275" s="14">
        <v>172.39835292316576</v>
      </c>
      <c r="AE275" s="14">
        <v>167.00731999742513</v>
      </c>
      <c r="AF275" s="14">
        <v>163.90690106161227</v>
      </c>
      <c r="AG275" s="14">
        <v>162.00568944995965</v>
      </c>
      <c r="AH275" s="14">
        <v>158.33346702185645</v>
      </c>
      <c r="AI275" s="15">
        <v>154.39704298014163</v>
      </c>
      <c r="AJ275" s="14">
        <v>142.7753720007708</v>
      </c>
      <c r="AK275" s="14">
        <v>146.07259213854726</v>
      </c>
      <c r="AL275" s="14">
        <v>144.39838191330597</v>
      </c>
      <c r="AM275" s="14">
        <v>148.81170886770596</v>
      </c>
      <c r="AN275" s="14">
        <v>155.19154783258122</v>
      </c>
      <c r="AO275" s="14">
        <v>163.41919808296566</v>
      </c>
      <c r="AP275" s="14">
        <v>172.83285557689084</v>
      </c>
      <c r="AQ275" s="14">
        <v>172.16235148178643</v>
      </c>
      <c r="AR275" s="14">
        <v>158.33346702185645</v>
      </c>
      <c r="AS275" s="14">
        <v>154.39704298014163</v>
      </c>
    </row>
    <row r="276" spans="1:45" x14ac:dyDescent="0.35">
      <c r="A276" s="16">
        <v>7824.1001759999999</v>
      </c>
      <c r="B276" s="14">
        <v>145.97269152840425</v>
      </c>
      <c r="C276" s="14">
        <v>144.03177967428206</v>
      </c>
      <c r="D276" s="14">
        <v>144.39458189009707</v>
      </c>
      <c r="E276" s="14">
        <v>148.79480876448901</v>
      </c>
      <c r="F276" s="14">
        <v>155.1557476139312</v>
      </c>
      <c r="G276" s="14">
        <v>163.36119772872817</v>
      </c>
      <c r="H276" s="14">
        <v>172.74125501744069</v>
      </c>
      <c r="I276" s="14">
        <v>172.07065092172496</v>
      </c>
      <c r="J276" s="14">
        <v>178.76189178848716</v>
      </c>
      <c r="K276" s="14">
        <v>177.14248189793963</v>
      </c>
      <c r="L276" s="14">
        <v>174.93566841982297</v>
      </c>
      <c r="M276" s="14">
        <v>172.32445247181832</v>
      </c>
      <c r="N276" s="14">
        <v>166.93381954852094</v>
      </c>
      <c r="O276" s="14">
        <v>163.83410061698322</v>
      </c>
      <c r="P276" s="14">
        <v>161.93138899616972</v>
      </c>
      <c r="Q276" s="14">
        <v>158.26266658944277</v>
      </c>
      <c r="R276" s="15">
        <v>154.32874256299655</v>
      </c>
      <c r="S276" s="14">
        <v>144.53738276225405</v>
      </c>
      <c r="T276" s="14">
        <v>144.03177967428206</v>
      </c>
      <c r="U276" s="14">
        <v>144.39458189009707</v>
      </c>
      <c r="V276" s="14">
        <v>148.79480876448901</v>
      </c>
      <c r="W276" s="14">
        <v>155.1557476139312</v>
      </c>
      <c r="X276" s="14">
        <v>163.36119772872817</v>
      </c>
      <c r="Y276" s="14">
        <v>172.74125501744069</v>
      </c>
      <c r="Z276" s="14">
        <v>172.07065092172496</v>
      </c>
      <c r="AA276" s="14">
        <v>178.76189178848716</v>
      </c>
      <c r="AB276" s="14">
        <v>177.14248189793963</v>
      </c>
      <c r="AC276" s="14">
        <v>174.93566841982297</v>
      </c>
      <c r="AD276" s="14">
        <v>172.32445247181832</v>
      </c>
      <c r="AE276" s="14">
        <v>166.93381954852094</v>
      </c>
      <c r="AF276" s="14">
        <v>163.83410061698322</v>
      </c>
      <c r="AG276" s="14">
        <v>161.93138899616972</v>
      </c>
      <c r="AH276" s="14">
        <v>158.26266658944277</v>
      </c>
      <c r="AI276" s="15">
        <v>154.32874256299655</v>
      </c>
      <c r="AJ276" s="14">
        <v>142.77757201420749</v>
      </c>
      <c r="AK276" s="14">
        <v>146.0748921525946</v>
      </c>
      <c r="AL276" s="14">
        <v>144.39458189009707</v>
      </c>
      <c r="AM276" s="14">
        <v>148.79480876448901</v>
      </c>
      <c r="AN276" s="14">
        <v>155.1557476139312</v>
      </c>
      <c r="AO276" s="14">
        <v>163.36119772872817</v>
      </c>
      <c r="AP276" s="14">
        <v>172.74125501744069</v>
      </c>
      <c r="AQ276" s="14">
        <v>172.07065092172496</v>
      </c>
      <c r="AR276" s="14">
        <v>158.26266658944277</v>
      </c>
      <c r="AS276" s="14">
        <v>154.32874256299655</v>
      </c>
    </row>
    <row r="277" spans="1:45" x14ac:dyDescent="0.35">
      <c r="A277" s="16">
        <v>7846.8077759999996</v>
      </c>
      <c r="B277" s="14">
        <v>145.9625914667179</v>
      </c>
      <c r="C277" s="14">
        <v>144.01737958633365</v>
      </c>
      <c r="D277" s="14">
        <v>144.37988180031681</v>
      </c>
      <c r="E277" s="14">
        <v>148.77030861485426</v>
      </c>
      <c r="F277" s="14">
        <v>155.11714737817996</v>
      </c>
      <c r="G277" s="14">
        <v>163.3057973903706</v>
      </c>
      <c r="H277" s="14">
        <v>172.66095452700517</v>
      </c>
      <c r="I277" s="14">
        <v>171.9902504306788</v>
      </c>
      <c r="J277" s="14">
        <v>178.67769127423284</v>
      </c>
      <c r="K277" s="14">
        <v>177.06878144781416</v>
      </c>
      <c r="L277" s="14">
        <v>174.86876801122881</v>
      </c>
      <c r="M277" s="14">
        <v>172.25775206444547</v>
      </c>
      <c r="N277" s="14">
        <v>166.8675191435913</v>
      </c>
      <c r="O277" s="14">
        <v>163.76820021449677</v>
      </c>
      <c r="P277" s="14">
        <v>161.86458858818619</v>
      </c>
      <c r="Q277" s="14">
        <v>158.19846619733849</v>
      </c>
      <c r="R277" s="15">
        <v>154.26654218310767</v>
      </c>
      <c r="S277" s="14">
        <v>144.52768270301095</v>
      </c>
      <c r="T277" s="14">
        <v>144.01737958633365</v>
      </c>
      <c r="U277" s="14">
        <v>144.37988180031681</v>
      </c>
      <c r="V277" s="14">
        <v>148.77030861485426</v>
      </c>
      <c r="W277" s="14">
        <v>155.11714737817996</v>
      </c>
      <c r="X277" s="14">
        <v>163.3057973903706</v>
      </c>
      <c r="Y277" s="14">
        <v>172.66095452700517</v>
      </c>
      <c r="Z277" s="14">
        <v>171.9902504306788</v>
      </c>
      <c r="AA277" s="14">
        <v>178.67769127423284</v>
      </c>
      <c r="AB277" s="14">
        <v>177.06878144781416</v>
      </c>
      <c r="AC277" s="14">
        <v>174.86876801122881</v>
      </c>
      <c r="AD277" s="14">
        <v>172.25775206444547</v>
      </c>
      <c r="AE277" s="14">
        <v>166.8675191435913</v>
      </c>
      <c r="AF277" s="14">
        <v>163.76820021449677</v>
      </c>
      <c r="AG277" s="14">
        <v>161.86458858818619</v>
      </c>
      <c r="AH277" s="14">
        <v>158.19846619733849</v>
      </c>
      <c r="AI277" s="15">
        <v>154.26654218310767</v>
      </c>
      <c r="AJ277" s="14">
        <v>142.76797195557501</v>
      </c>
      <c r="AK277" s="14">
        <v>146.06489209151886</v>
      </c>
      <c r="AL277" s="14">
        <v>144.37988180031681</v>
      </c>
      <c r="AM277" s="14">
        <v>148.77030861485426</v>
      </c>
      <c r="AN277" s="14">
        <v>155.11714737817996</v>
      </c>
      <c r="AO277" s="14">
        <v>163.3057973903706</v>
      </c>
      <c r="AP277" s="14">
        <v>172.66095452700517</v>
      </c>
      <c r="AQ277" s="14">
        <v>171.9902504306788</v>
      </c>
      <c r="AR277" s="14">
        <v>158.19846619733849</v>
      </c>
      <c r="AS277" s="14">
        <v>154.26654218310767</v>
      </c>
    </row>
    <row r="278" spans="1:45" x14ac:dyDescent="0.35">
      <c r="A278" s="16">
        <v>7877.2115759999997</v>
      </c>
      <c r="B278" s="14">
        <v>145.97099151802141</v>
      </c>
      <c r="C278" s="14">
        <v>144.01997960221357</v>
      </c>
      <c r="D278" s="14">
        <v>144.38218181436409</v>
      </c>
      <c r="E278" s="14">
        <v>148.75940854828215</v>
      </c>
      <c r="F278" s="14">
        <v>155.08744719678614</v>
      </c>
      <c r="G278" s="14">
        <v>163.25339707033547</v>
      </c>
      <c r="H278" s="14">
        <v>172.57545400481055</v>
      </c>
      <c r="I278" s="14">
        <v>171.90454990726292</v>
      </c>
      <c r="J278" s="14">
        <v>178.58649071722522</v>
      </c>
      <c r="K278" s="14">
        <v>176.9911809738685</v>
      </c>
      <c r="L278" s="14">
        <v>174.8002675928625</v>
      </c>
      <c r="M278" s="14">
        <v>172.18965164852236</v>
      </c>
      <c r="N278" s="14">
        <v>166.79981873011067</v>
      </c>
      <c r="O278" s="14">
        <v>163.70119980529128</v>
      </c>
      <c r="P278" s="14">
        <v>161.79608816981982</v>
      </c>
      <c r="Q278" s="14">
        <v>158.13346580034843</v>
      </c>
      <c r="R278" s="15">
        <v>154.20394180077557</v>
      </c>
      <c r="S278" s="14">
        <v>144.53578275248188</v>
      </c>
      <c r="T278" s="14">
        <v>144.01997960221357</v>
      </c>
      <c r="U278" s="14">
        <v>144.38218181436409</v>
      </c>
      <c r="V278" s="14">
        <v>148.75940854828215</v>
      </c>
      <c r="W278" s="14">
        <v>155.08744719678614</v>
      </c>
      <c r="X278" s="14">
        <v>163.25339707033547</v>
      </c>
      <c r="Y278" s="14">
        <v>172.57545400481055</v>
      </c>
      <c r="Z278" s="14">
        <v>171.90454990726292</v>
      </c>
      <c r="AA278" s="14">
        <v>178.58649071722522</v>
      </c>
      <c r="AB278" s="14">
        <v>176.9911809738685</v>
      </c>
      <c r="AC278" s="14">
        <v>174.8002675928625</v>
      </c>
      <c r="AD278" s="14">
        <v>172.18965164852236</v>
      </c>
      <c r="AE278" s="14">
        <v>166.79981873011067</v>
      </c>
      <c r="AF278" s="14">
        <v>163.70119980529128</v>
      </c>
      <c r="AG278" s="14">
        <v>161.79608816981982</v>
      </c>
      <c r="AH278" s="14">
        <v>158.13346580034843</v>
      </c>
      <c r="AI278" s="15">
        <v>154.20394180077557</v>
      </c>
      <c r="AJ278" s="14">
        <v>142.77597200443532</v>
      </c>
      <c r="AK278" s="14">
        <v>146.07319214221175</v>
      </c>
      <c r="AL278" s="14">
        <v>144.38218181436409</v>
      </c>
      <c r="AM278" s="14">
        <v>148.75940854828215</v>
      </c>
      <c r="AN278" s="14">
        <v>155.08744719678614</v>
      </c>
      <c r="AO278" s="14">
        <v>163.25339707033547</v>
      </c>
      <c r="AP278" s="14">
        <v>172.57545400481055</v>
      </c>
      <c r="AQ278" s="14">
        <v>171.90454990726292</v>
      </c>
      <c r="AR278" s="14">
        <v>158.13346580034843</v>
      </c>
      <c r="AS278" s="14">
        <v>154.20394180077557</v>
      </c>
    </row>
    <row r="279" spans="1:45" x14ac:dyDescent="0.35">
      <c r="A279" s="16">
        <v>7915.3115760000001</v>
      </c>
      <c r="B279" s="14">
        <v>145.9978916823141</v>
      </c>
      <c r="C279" s="14">
        <v>144.03957972192106</v>
      </c>
      <c r="D279" s="14">
        <v>144.40128193101776</v>
      </c>
      <c r="E279" s="14">
        <v>148.76210856477201</v>
      </c>
      <c r="F279" s="14">
        <v>155.06664706974965</v>
      </c>
      <c r="G279" s="14">
        <v>163.20429677045539</v>
      </c>
      <c r="H279" s="14">
        <v>172.48535345452126</v>
      </c>
      <c r="I279" s="14">
        <v>171.81344935086591</v>
      </c>
      <c r="J279" s="14">
        <v>178.48829011746503</v>
      </c>
      <c r="K279" s="14">
        <v>176.90958047549339</v>
      </c>
      <c r="L279" s="14">
        <v>174.73006716411334</v>
      </c>
      <c r="M279" s="14">
        <v>172.12005122343766</v>
      </c>
      <c r="N279" s="14">
        <v>166.73071830807987</v>
      </c>
      <c r="O279" s="14">
        <v>163.63289938814691</v>
      </c>
      <c r="P279" s="14">
        <v>161.72598774168131</v>
      </c>
      <c r="Q279" s="14">
        <v>158.06766539847263</v>
      </c>
      <c r="R279" s="15">
        <v>154.14104141661156</v>
      </c>
      <c r="S279" s="14">
        <v>144.56178291127819</v>
      </c>
      <c r="T279" s="14">
        <v>144.03957972192106</v>
      </c>
      <c r="U279" s="14">
        <v>144.40128193101776</v>
      </c>
      <c r="V279" s="14">
        <v>148.76210856477201</v>
      </c>
      <c r="W279" s="14">
        <v>155.06664706974965</v>
      </c>
      <c r="X279" s="14">
        <v>163.20429677045539</v>
      </c>
      <c r="Y279" s="14">
        <v>172.48535345452126</v>
      </c>
      <c r="Z279" s="14">
        <v>171.81344935086591</v>
      </c>
      <c r="AA279" s="14">
        <v>178.48829011746503</v>
      </c>
      <c r="AB279" s="14">
        <v>176.90958047549339</v>
      </c>
      <c r="AC279" s="14">
        <v>174.73006716411334</v>
      </c>
      <c r="AD279" s="14">
        <v>172.12005122343766</v>
      </c>
      <c r="AE279" s="14">
        <v>166.73071830807987</v>
      </c>
      <c r="AF279" s="14">
        <v>163.63289938814691</v>
      </c>
      <c r="AG279" s="14">
        <v>161.72598774168131</v>
      </c>
      <c r="AH279" s="14">
        <v>158.06766539847263</v>
      </c>
      <c r="AI279" s="15">
        <v>154.14104141661156</v>
      </c>
      <c r="AJ279" s="14">
        <v>142.80167216139901</v>
      </c>
      <c r="AK279" s="14">
        <v>146.10009230650445</v>
      </c>
      <c r="AL279" s="14">
        <v>144.40128193101776</v>
      </c>
      <c r="AM279" s="14">
        <v>148.76210856477201</v>
      </c>
      <c r="AN279" s="14">
        <v>155.06664706974965</v>
      </c>
      <c r="AO279" s="14">
        <v>163.20429677045539</v>
      </c>
      <c r="AP279" s="14">
        <v>172.48535345452126</v>
      </c>
      <c r="AQ279" s="14">
        <v>171.81344935086591</v>
      </c>
      <c r="AR279" s="14">
        <v>158.06766539847263</v>
      </c>
      <c r="AS279" s="14">
        <v>154.14104141661156</v>
      </c>
    </row>
    <row r="280" spans="1:45" x14ac:dyDescent="0.35">
      <c r="A280" s="16">
        <v>7945.7161380000007</v>
      </c>
      <c r="B280" s="14">
        <v>146.00359171712705</v>
      </c>
      <c r="C280" s="14">
        <v>144.0393797206998</v>
      </c>
      <c r="D280" s="14">
        <v>144.40078192796392</v>
      </c>
      <c r="E280" s="14">
        <v>148.74840848109875</v>
      </c>
      <c r="F280" s="14">
        <v>155.03424687186524</v>
      </c>
      <c r="G280" s="14">
        <v>163.14909643331907</v>
      </c>
      <c r="H280" s="14">
        <v>172.39785292011189</v>
      </c>
      <c r="I280" s="14">
        <v>171.72494881034888</v>
      </c>
      <c r="J280" s="14">
        <v>178.39408954213496</v>
      </c>
      <c r="K280" s="14">
        <v>176.8287799820047</v>
      </c>
      <c r="L280" s="14">
        <v>174.65886672925646</v>
      </c>
      <c r="M280" s="14">
        <v>172.04925079102401</v>
      </c>
      <c r="N280" s="14">
        <v>166.66031787810874</v>
      </c>
      <c r="O280" s="14">
        <v>163.56319896245091</v>
      </c>
      <c r="P280" s="14">
        <v>161.65478730682443</v>
      </c>
      <c r="Q280" s="14">
        <v>157.99996498499203</v>
      </c>
      <c r="R280" s="15">
        <v>154.07594101901088</v>
      </c>
      <c r="S280" s="14">
        <v>144.56728294486916</v>
      </c>
      <c r="T280" s="14">
        <v>144.0393797206998</v>
      </c>
      <c r="U280" s="14">
        <v>144.40078192796392</v>
      </c>
      <c r="V280" s="14">
        <v>148.74840848109875</v>
      </c>
      <c r="W280" s="14">
        <v>155.03424687186524</v>
      </c>
      <c r="X280" s="14">
        <v>163.14909643331907</v>
      </c>
      <c r="Y280" s="14">
        <v>172.39785292011189</v>
      </c>
      <c r="Z280" s="14">
        <v>171.72494881034888</v>
      </c>
      <c r="AA280" s="14">
        <v>178.39408954213496</v>
      </c>
      <c r="AB280" s="14">
        <v>176.8287799820047</v>
      </c>
      <c r="AC280" s="14">
        <v>174.65886672925646</v>
      </c>
      <c r="AD280" s="14">
        <v>172.04925079102401</v>
      </c>
      <c r="AE280" s="14">
        <v>166.66031787810874</v>
      </c>
      <c r="AF280" s="14">
        <v>163.56319896245091</v>
      </c>
      <c r="AG280" s="14">
        <v>161.65478730682443</v>
      </c>
      <c r="AH280" s="14">
        <v>157.99996498499203</v>
      </c>
      <c r="AI280" s="15">
        <v>154.07594101901088</v>
      </c>
      <c r="AJ280" s="14">
        <v>142.8071721949907</v>
      </c>
      <c r="AK280" s="14">
        <v>146.10579234131743</v>
      </c>
      <c r="AL280" s="14">
        <v>144.40078192796392</v>
      </c>
      <c r="AM280" s="14">
        <v>148.74840848109875</v>
      </c>
      <c r="AN280" s="14">
        <v>155.03424687186524</v>
      </c>
      <c r="AO280" s="14">
        <v>163.14909643331907</v>
      </c>
      <c r="AP280" s="14">
        <v>172.39785292011189</v>
      </c>
      <c r="AQ280" s="14">
        <v>171.72494881034888</v>
      </c>
      <c r="AR280" s="14">
        <v>157.99996498499203</v>
      </c>
      <c r="AS280" s="14">
        <v>154.07594101901088</v>
      </c>
    </row>
    <row r="281" spans="1:45" x14ac:dyDescent="0.35">
      <c r="A281" s="16">
        <v>7968.4252619999997</v>
      </c>
      <c r="B281" s="14">
        <v>145.98809162246033</v>
      </c>
      <c r="C281" s="14">
        <v>144.01937959854908</v>
      </c>
      <c r="D281" s="14">
        <v>144.38068180520253</v>
      </c>
      <c r="E281" s="14">
        <v>148.71850829848364</v>
      </c>
      <c r="F281" s="14">
        <v>154.99024660313364</v>
      </c>
      <c r="G281" s="14">
        <v>163.08789605953794</v>
      </c>
      <c r="H281" s="14">
        <v>172.31255239913853</v>
      </c>
      <c r="I281" s="14">
        <v>171.63914828632232</v>
      </c>
      <c r="J281" s="14">
        <v>178.30388899123506</v>
      </c>
      <c r="K281" s="14">
        <v>176.74897949462303</v>
      </c>
      <c r="L281" s="14">
        <v>174.58646628707061</v>
      </c>
      <c r="M281" s="14">
        <v>171.97735035189197</v>
      </c>
      <c r="N281" s="14">
        <v>166.58871744080932</v>
      </c>
      <c r="O281" s="14">
        <v>163.49199852759472</v>
      </c>
      <c r="P281" s="14">
        <v>161.58268686647116</v>
      </c>
      <c r="Q281" s="14">
        <v>157.9305645611293</v>
      </c>
      <c r="R281" s="15">
        <v>154.00854060736287</v>
      </c>
      <c r="S281" s="14">
        <v>144.55228285325632</v>
      </c>
      <c r="T281" s="14">
        <v>144.01937959854908</v>
      </c>
      <c r="U281" s="14">
        <v>144.38068180520253</v>
      </c>
      <c r="V281" s="14">
        <v>148.71850829848364</v>
      </c>
      <c r="W281" s="14">
        <v>154.99024660313364</v>
      </c>
      <c r="X281" s="14">
        <v>163.08789605953794</v>
      </c>
      <c r="Y281" s="14">
        <v>172.31255239913853</v>
      </c>
      <c r="Z281" s="14">
        <v>171.63914828632232</v>
      </c>
      <c r="AA281" s="14">
        <v>178.30388899123506</v>
      </c>
      <c r="AB281" s="14">
        <v>176.74897949462303</v>
      </c>
      <c r="AC281" s="14">
        <v>174.58646628707061</v>
      </c>
      <c r="AD281" s="14">
        <v>171.97735035189197</v>
      </c>
      <c r="AE281" s="14">
        <v>166.58871744080932</v>
      </c>
      <c r="AF281" s="14">
        <v>163.49199852759472</v>
      </c>
      <c r="AG281" s="14">
        <v>161.58268686647116</v>
      </c>
      <c r="AH281" s="14">
        <v>157.9305645611293</v>
      </c>
      <c r="AI281" s="15">
        <v>154.00854060736287</v>
      </c>
      <c r="AJ281" s="14">
        <v>142.79227210398847</v>
      </c>
      <c r="AK281" s="14">
        <v>146.09029224665071</v>
      </c>
      <c r="AL281" s="14">
        <v>144.38068180520253</v>
      </c>
      <c r="AM281" s="14">
        <v>148.71850829848364</v>
      </c>
      <c r="AN281" s="14">
        <v>154.99024660313364</v>
      </c>
      <c r="AO281" s="14">
        <v>163.08789605953794</v>
      </c>
      <c r="AP281" s="14">
        <v>172.31255239913853</v>
      </c>
      <c r="AQ281" s="14">
        <v>171.63914828632232</v>
      </c>
      <c r="AR281" s="14">
        <v>157.9305645611293</v>
      </c>
      <c r="AS281" s="14">
        <v>154.00854060736287</v>
      </c>
    </row>
    <row r="282" spans="1:45" x14ac:dyDescent="0.35">
      <c r="A282" s="16">
        <v>7991.133624000001</v>
      </c>
      <c r="B282" s="14">
        <v>145.97409153695449</v>
      </c>
      <c r="C282" s="14">
        <v>144.00107948678118</v>
      </c>
      <c r="D282" s="14">
        <v>144.36208169160204</v>
      </c>
      <c r="E282" s="14">
        <v>148.69000812441874</v>
      </c>
      <c r="F282" s="14">
        <v>154.9477463435629</v>
      </c>
      <c r="G282" s="14">
        <v>163.02819569491834</v>
      </c>
      <c r="H282" s="14">
        <v>172.22895188854869</v>
      </c>
      <c r="I282" s="14">
        <v>171.55484777145668</v>
      </c>
      <c r="J282" s="14">
        <v>178.21508844888541</v>
      </c>
      <c r="K282" s="14">
        <v>176.67037901457036</v>
      </c>
      <c r="L282" s="14">
        <v>174.51546585343567</v>
      </c>
      <c r="M282" s="14">
        <v>171.90684992131023</v>
      </c>
      <c r="N282" s="14">
        <v>166.51851701206013</v>
      </c>
      <c r="O282" s="14">
        <v>163.42239810251004</v>
      </c>
      <c r="P282" s="14">
        <v>161.51198643466813</v>
      </c>
      <c r="Q282" s="14">
        <v>157.8625641458168</v>
      </c>
      <c r="R282" s="15">
        <v>153.94264020487574</v>
      </c>
      <c r="S282" s="14">
        <v>144.53878277080432</v>
      </c>
      <c r="T282" s="14">
        <v>144.00107948678118</v>
      </c>
      <c r="U282" s="14">
        <v>144.36208169160204</v>
      </c>
      <c r="V282" s="14">
        <v>148.69000812441874</v>
      </c>
      <c r="W282" s="14">
        <v>154.9477463435629</v>
      </c>
      <c r="X282" s="14">
        <v>163.02819569491834</v>
      </c>
      <c r="Y282" s="14">
        <v>172.22895188854869</v>
      </c>
      <c r="Z282" s="14">
        <v>171.55484777145668</v>
      </c>
      <c r="AA282" s="14">
        <v>178.21508844888541</v>
      </c>
      <c r="AB282" s="14">
        <v>176.67037901457036</v>
      </c>
      <c r="AC282" s="14">
        <v>174.51546585343567</v>
      </c>
      <c r="AD282" s="14">
        <v>171.90684992131023</v>
      </c>
      <c r="AE282" s="14">
        <v>166.51851701206013</v>
      </c>
      <c r="AF282" s="14">
        <v>163.42239810251004</v>
      </c>
      <c r="AG282" s="14">
        <v>161.51198643466813</v>
      </c>
      <c r="AH282" s="14">
        <v>157.8625641458168</v>
      </c>
      <c r="AI282" s="15">
        <v>153.94264020487574</v>
      </c>
      <c r="AJ282" s="14">
        <v>142.77887202214711</v>
      </c>
      <c r="AK282" s="14">
        <v>146.07629216114483</v>
      </c>
      <c r="AL282" s="14">
        <v>144.36208169160204</v>
      </c>
      <c r="AM282" s="14">
        <v>148.69000812441874</v>
      </c>
      <c r="AN282" s="14">
        <v>154.9477463435629</v>
      </c>
      <c r="AO282" s="14">
        <v>163.02819569491834</v>
      </c>
      <c r="AP282" s="14">
        <v>172.22895188854869</v>
      </c>
      <c r="AQ282" s="14">
        <v>171.55484777145668</v>
      </c>
      <c r="AR282" s="14">
        <v>157.8625641458168</v>
      </c>
      <c r="AS282" s="14">
        <v>153.94264020487574</v>
      </c>
    </row>
    <row r="283" spans="1:45" x14ac:dyDescent="0.35">
      <c r="A283" s="16">
        <v>8013.8412240000007</v>
      </c>
      <c r="B283" s="14">
        <v>145.96169146122082</v>
      </c>
      <c r="C283" s="14">
        <v>143.98417938356354</v>
      </c>
      <c r="D283" s="14">
        <v>144.34508158777444</v>
      </c>
      <c r="E283" s="14">
        <v>148.66310796012607</v>
      </c>
      <c r="F283" s="14">
        <v>154.90684609376504</v>
      </c>
      <c r="G283" s="14">
        <v>162.96999533945959</v>
      </c>
      <c r="H283" s="14">
        <v>172.14695138773033</v>
      </c>
      <c r="I283" s="14">
        <v>171.47204726575256</v>
      </c>
      <c r="J283" s="14">
        <v>178.1277879156973</v>
      </c>
      <c r="K283" s="14">
        <v>176.59317854306857</v>
      </c>
      <c r="L283" s="14">
        <v>174.44596542896161</v>
      </c>
      <c r="M283" s="14">
        <v>171.83784949989004</v>
      </c>
      <c r="N283" s="14">
        <v>166.44981659247185</v>
      </c>
      <c r="O283" s="14">
        <v>163.35419768597558</v>
      </c>
      <c r="P283" s="14">
        <v>161.44278601202598</v>
      </c>
      <c r="Q283" s="14">
        <v>157.79606373966521</v>
      </c>
      <c r="R283" s="15">
        <v>153.8782398115502</v>
      </c>
      <c r="S283" s="14">
        <v>144.52678269751385</v>
      </c>
      <c r="T283" s="14">
        <v>143.98417938356354</v>
      </c>
      <c r="U283" s="14">
        <v>144.34508158777444</v>
      </c>
      <c r="V283" s="14">
        <v>148.66310796012607</v>
      </c>
      <c r="W283" s="14">
        <v>154.90684609376504</v>
      </c>
      <c r="X283" s="14">
        <v>162.96999533945959</v>
      </c>
      <c r="Y283" s="14">
        <v>172.14695138773033</v>
      </c>
      <c r="Z283" s="14">
        <v>171.47204726575256</v>
      </c>
      <c r="AA283" s="14">
        <v>178.1277879156973</v>
      </c>
      <c r="AB283" s="14">
        <v>176.59317854306857</v>
      </c>
      <c r="AC283" s="14">
        <v>174.44596542896161</v>
      </c>
      <c r="AD283" s="14">
        <v>171.83784949989004</v>
      </c>
      <c r="AE283" s="14">
        <v>166.44981659247185</v>
      </c>
      <c r="AF283" s="14">
        <v>163.35419768597558</v>
      </c>
      <c r="AG283" s="14">
        <v>161.44278601202598</v>
      </c>
      <c r="AH283" s="14">
        <v>157.79606373966521</v>
      </c>
      <c r="AI283" s="15">
        <v>153.8782398115502</v>
      </c>
      <c r="AJ283" s="14">
        <v>142.76697194946729</v>
      </c>
      <c r="AK283" s="14">
        <v>146.06389208541188</v>
      </c>
      <c r="AL283" s="14">
        <v>144.34508158777444</v>
      </c>
      <c r="AM283" s="14">
        <v>148.66310796012607</v>
      </c>
      <c r="AN283" s="14">
        <v>154.90684609376504</v>
      </c>
      <c r="AO283" s="14">
        <v>162.96999533945959</v>
      </c>
      <c r="AP283" s="14">
        <v>172.14695138773033</v>
      </c>
      <c r="AQ283" s="14">
        <v>171.47204726575256</v>
      </c>
      <c r="AR283" s="14">
        <v>157.79606373966521</v>
      </c>
      <c r="AS283" s="14">
        <v>153.8782398115502</v>
      </c>
    </row>
    <row r="284" spans="1:45" x14ac:dyDescent="0.35">
      <c r="A284" s="16">
        <v>8036.5488240000004</v>
      </c>
      <c r="B284" s="14">
        <v>145.94809137815889</v>
      </c>
      <c r="C284" s="14">
        <v>143.96627927423884</v>
      </c>
      <c r="D284" s="14">
        <v>144.32688147661719</v>
      </c>
      <c r="E284" s="14">
        <v>148.63520778972568</v>
      </c>
      <c r="F284" s="14">
        <v>154.86484583724817</v>
      </c>
      <c r="G284" s="14">
        <v>162.91059497667118</v>
      </c>
      <c r="H284" s="14">
        <v>172.0640508814156</v>
      </c>
      <c r="I284" s="14">
        <v>171.38824675394076</v>
      </c>
      <c r="J284" s="14">
        <v>178.03918737456959</v>
      </c>
      <c r="K284" s="14">
        <v>176.51477806423716</v>
      </c>
      <c r="L284" s="14">
        <v>174.37536499776922</v>
      </c>
      <c r="M284" s="14">
        <v>171.76774907175147</v>
      </c>
      <c r="N284" s="14">
        <v>166.38011616677653</v>
      </c>
      <c r="O284" s="14">
        <v>163.28499726333411</v>
      </c>
      <c r="P284" s="14">
        <v>161.37248558266617</v>
      </c>
      <c r="Q284" s="14">
        <v>157.72846332679595</v>
      </c>
      <c r="R284" s="15">
        <v>153.81263941089566</v>
      </c>
      <c r="S284" s="14">
        <v>144.51368261750508</v>
      </c>
      <c r="T284" s="14">
        <v>143.96627927423884</v>
      </c>
      <c r="U284" s="14">
        <v>144.32688147661719</v>
      </c>
      <c r="V284" s="14">
        <v>148.63520778972568</v>
      </c>
      <c r="W284" s="14">
        <v>154.86484583724817</v>
      </c>
      <c r="X284" s="14">
        <v>162.91059497667118</v>
      </c>
      <c r="Y284" s="14">
        <v>172.0640508814156</v>
      </c>
      <c r="Z284" s="14">
        <v>171.38824675394076</v>
      </c>
      <c r="AA284" s="14">
        <v>178.03918737456959</v>
      </c>
      <c r="AB284" s="14">
        <v>176.51477806423716</v>
      </c>
      <c r="AC284" s="14">
        <v>174.37536499776922</v>
      </c>
      <c r="AD284" s="14">
        <v>171.76774907175147</v>
      </c>
      <c r="AE284" s="14">
        <v>166.38011616677653</v>
      </c>
      <c r="AF284" s="14">
        <v>163.28499726333411</v>
      </c>
      <c r="AG284" s="14">
        <v>161.37248558266617</v>
      </c>
      <c r="AH284" s="14">
        <v>157.72846332679595</v>
      </c>
      <c r="AI284" s="15">
        <v>153.81263941089566</v>
      </c>
      <c r="AJ284" s="14">
        <v>142.75397187006985</v>
      </c>
      <c r="AK284" s="14">
        <v>146.05029200234924</v>
      </c>
      <c r="AL284" s="14">
        <v>144.32688147661719</v>
      </c>
      <c r="AM284" s="14">
        <v>148.63520778972568</v>
      </c>
      <c r="AN284" s="14">
        <v>154.86484583724817</v>
      </c>
      <c r="AO284" s="14">
        <v>162.91059497667118</v>
      </c>
      <c r="AP284" s="14">
        <v>172.0640508814156</v>
      </c>
      <c r="AQ284" s="14">
        <v>171.38824675394076</v>
      </c>
      <c r="AR284" s="14">
        <v>157.72846332679595</v>
      </c>
      <c r="AS284" s="14">
        <v>153.81263941089566</v>
      </c>
    </row>
    <row r="285" spans="1:45" x14ac:dyDescent="0.35">
      <c r="A285" s="16">
        <v>8059.2564240000011</v>
      </c>
      <c r="B285" s="14">
        <v>145.93349128898853</v>
      </c>
      <c r="C285" s="14">
        <v>143.94717915758449</v>
      </c>
      <c r="D285" s="14">
        <v>144.30758135874157</v>
      </c>
      <c r="E285" s="14">
        <v>148.60610761199629</v>
      </c>
      <c r="F285" s="14">
        <v>154.82164557340232</v>
      </c>
      <c r="G285" s="14">
        <v>162.8499946065545</v>
      </c>
      <c r="H285" s="14">
        <v>171.98005036838182</v>
      </c>
      <c r="I285" s="14">
        <v>171.30324623479999</v>
      </c>
      <c r="J285" s="14">
        <v>177.94948682672288</v>
      </c>
      <c r="K285" s="14">
        <v>176.43517757807746</v>
      </c>
      <c r="L285" s="14">
        <v>174.30356455924783</v>
      </c>
      <c r="M285" s="14">
        <v>171.69654863689459</v>
      </c>
      <c r="N285" s="14">
        <v>166.30921573375224</v>
      </c>
      <c r="O285" s="14">
        <v>163.214596833363</v>
      </c>
      <c r="P285" s="14">
        <v>161.30108514658804</v>
      </c>
      <c r="Q285" s="14">
        <v>157.65976290720766</v>
      </c>
      <c r="R285" s="15">
        <v>153.74613900474472</v>
      </c>
      <c r="S285" s="14">
        <v>144.4995825313886</v>
      </c>
      <c r="T285" s="14">
        <v>143.94717915758449</v>
      </c>
      <c r="U285" s="14">
        <v>144.30758135874157</v>
      </c>
      <c r="V285" s="14">
        <v>148.60610761199629</v>
      </c>
      <c r="W285" s="14">
        <v>154.82164557340232</v>
      </c>
      <c r="X285" s="14">
        <v>162.8499946065545</v>
      </c>
      <c r="Y285" s="14">
        <v>171.98005036838182</v>
      </c>
      <c r="Z285" s="14">
        <v>171.30324623479999</v>
      </c>
      <c r="AA285" s="14">
        <v>177.94948682672288</v>
      </c>
      <c r="AB285" s="14">
        <v>176.43517757807746</v>
      </c>
      <c r="AC285" s="14">
        <v>174.30356455924783</v>
      </c>
      <c r="AD285" s="14">
        <v>171.69654863689459</v>
      </c>
      <c r="AE285" s="14">
        <v>166.30921573375224</v>
      </c>
      <c r="AF285" s="14">
        <v>163.214596833363</v>
      </c>
      <c r="AG285" s="14">
        <v>161.30108514658804</v>
      </c>
      <c r="AH285" s="14">
        <v>157.65976290720766</v>
      </c>
      <c r="AI285" s="15">
        <v>153.74613900474472</v>
      </c>
      <c r="AJ285" s="14">
        <v>142.73997178456398</v>
      </c>
      <c r="AK285" s="14">
        <v>146.03569191317888</v>
      </c>
      <c r="AL285" s="14">
        <v>144.30758135874157</v>
      </c>
      <c r="AM285" s="14">
        <v>148.60610761199629</v>
      </c>
      <c r="AN285" s="14">
        <v>154.82164557340232</v>
      </c>
      <c r="AO285" s="14">
        <v>162.8499946065545</v>
      </c>
      <c r="AP285" s="14">
        <v>171.98005036838182</v>
      </c>
      <c r="AQ285" s="14">
        <v>171.30324623479999</v>
      </c>
      <c r="AR285" s="14">
        <v>157.65976290720766</v>
      </c>
      <c r="AS285" s="14">
        <v>153.74613900474472</v>
      </c>
    </row>
    <row r="286" spans="1:45" x14ac:dyDescent="0.35">
      <c r="A286" s="16">
        <v>8081.9647860000005</v>
      </c>
      <c r="B286" s="14">
        <v>145.91619118332835</v>
      </c>
      <c r="C286" s="14">
        <v>143.92567902627221</v>
      </c>
      <c r="D286" s="14">
        <v>144.28578122559736</v>
      </c>
      <c r="E286" s="14">
        <v>148.57440741838701</v>
      </c>
      <c r="F286" s="14">
        <v>154.77584529367724</v>
      </c>
      <c r="G286" s="14">
        <v>162.78679422055791</v>
      </c>
      <c r="H286" s="14">
        <v>171.89364984069081</v>
      </c>
      <c r="I286" s="14">
        <v>171.21564569977929</v>
      </c>
      <c r="J286" s="14">
        <v>177.85698626177563</v>
      </c>
      <c r="K286" s="14">
        <v>176.35277707481589</v>
      </c>
      <c r="L286" s="14">
        <v>174.2292641054579</v>
      </c>
      <c r="M286" s="14">
        <v>171.62284818676915</v>
      </c>
      <c r="N286" s="14">
        <v>166.23581528545867</v>
      </c>
      <c r="O286" s="14">
        <v>163.1417963887346</v>
      </c>
      <c r="P286" s="14">
        <v>161.22718469524131</v>
      </c>
      <c r="Q286" s="14">
        <v>157.58866247296208</v>
      </c>
      <c r="R286" s="15">
        <v>153.67703858271389</v>
      </c>
      <c r="S286" s="14">
        <v>144.4828824293929</v>
      </c>
      <c r="T286" s="14">
        <v>143.92567902627221</v>
      </c>
      <c r="U286" s="14">
        <v>144.28578122559736</v>
      </c>
      <c r="V286" s="14">
        <v>148.57440741838701</v>
      </c>
      <c r="W286" s="14">
        <v>154.77584529367724</v>
      </c>
      <c r="X286" s="14">
        <v>162.78679422055791</v>
      </c>
      <c r="Y286" s="14">
        <v>171.89364984069081</v>
      </c>
      <c r="Z286" s="14">
        <v>171.21564569977929</v>
      </c>
      <c r="AA286" s="14">
        <v>177.85698626177563</v>
      </c>
      <c r="AB286" s="14">
        <v>176.35277707481589</v>
      </c>
      <c r="AC286" s="14">
        <v>174.2292641054579</v>
      </c>
      <c r="AD286" s="14">
        <v>171.62284818676915</v>
      </c>
      <c r="AE286" s="14">
        <v>166.23581528545867</v>
      </c>
      <c r="AF286" s="14">
        <v>163.1417963887346</v>
      </c>
      <c r="AG286" s="14">
        <v>161.22718469524131</v>
      </c>
      <c r="AH286" s="14">
        <v>157.58866247296208</v>
      </c>
      <c r="AI286" s="15">
        <v>153.67703858271389</v>
      </c>
      <c r="AJ286" s="14">
        <v>142.7233716831789</v>
      </c>
      <c r="AK286" s="14">
        <v>146.0183918075187</v>
      </c>
      <c r="AL286" s="14">
        <v>144.28578122559736</v>
      </c>
      <c r="AM286" s="14">
        <v>148.57440741838701</v>
      </c>
      <c r="AN286" s="14">
        <v>154.77584529367724</v>
      </c>
      <c r="AO286" s="14">
        <v>162.78679422055791</v>
      </c>
      <c r="AP286" s="14">
        <v>171.89364984069081</v>
      </c>
      <c r="AQ286" s="14">
        <v>171.21564569977929</v>
      </c>
      <c r="AR286" s="14">
        <v>157.58866247296208</v>
      </c>
      <c r="AS286" s="14">
        <v>153.67703858271389</v>
      </c>
    </row>
    <row r="287" spans="1:45" x14ac:dyDescent="0.35">
      <c r="A287" s="16">
        <v>8104.6739100000004</v>
      </c>
      <c r="B287" s="14">
        <v>145.89639106239886</v>
      </c>
      <c r="C287" s="14">
        <v>143.90147887847004</v>
      </c>
      <c r="D287" s="14">
        <v>144.26138107657329</v>
      </c>
      <c r="E287" s="14">
        <v>148.54020720950919</v>
      </c>
      <c r="F287" s="14">
        <v>154.7275449986829</v>
      </c>
      <c r="G287" s="14">
        <v>162.72079381746084</v>
      </c>
      <c r="H287" s="14">
        <v>171.80454929650926</v>
      </c>
      <c r="I287" s="14">
        <v>171.12544514887938</v>
      </c>
      <c r="J287" s="14">
        <v>177.76188568094852</v>
      </c>
      <c r="K287" s="14">
        <v>176.26777655567511</v>
      </c>
      <c r="L287" s="14">
        <v>174.15246363639866</v>
      </c>
      <c r="M287" s="14">
        <v>171.54664772137511</v>
      </c>
      <c r="N287" s="14">
        <v>166.16001482250718</v>
      </c>
      <c r="O287" s="14">
        <v>163.06639592822563</v>
      </c>
      <c r="P287" s="14">
        <v>161.15088422923594</v>
      </c>
      <c r="Q287" s="14">
        <v>157.51496202283593</v>
      </c>
      <c r="R287" s="15">
        <v>153.60563814663575</v>
      </c>
      <c r="S287" s="14">
        <v>144.46378231273923</v>
      </c>
      <c r="T287" s="14">
        <v>143.90147887847004</v>
      </c>
      <c r="U287" s="14">
        <v>144.26138107657329</v>
      </c>
      <c r="V287" s="14">
        <v>148.54020720950919</v>
      </c>
      <c r="W287" s="14">
        <v>154.7275449986829</v>
      </c>
      <c r="X287" s="14">
        <v>162.72079381746084</v>
      </c>
      <c r="Y287" s="14">
        <v>171.80454929650926</v>
      </c>
      <c r="Z287" s="14">
        <v>171.12544514887938</v>
      </c>
      <c r="AA287" s="14">
        <v>177.76188568094852</v>
      </c>
      <c r="AB287" s="14">
        <v>176.26777655567511</v>
      </c>
      <c r="AC287" s="14">
        <v>174.15246363639866</v>
      </c>
      <c r="AD287" s="14">
        <v>171.54664772137511</v>
      </c>
      <c r="AE287" s="14">
        <v>166.16001482250718</v>
      </c>
      <c r="AF287" s="14">
        <v>163.06639592822563</v>
      </c>
      <c r="AG287" s="14">
        <v>161.15088422923594</v>
      </c>
      <c r="AH287" s="14">
        <v>157.51496202283593</v>
      </c>
      <c r="AI287" s="15">
        <v>153.60563814663575</v>
      </c>
      <c r="AJ287" s="14">
        <v>142.70437156713587</v>
      </c>
      <c r="AK287" s="14">
        <v>145.99859168658924</v>
      </c>
      <c r="AL287" s="14">
        <v>144.26138107657329</v>
      </c>
      <c r="AM287" s="14">
        <v>148.54020720950919</v>
      </c>
      <c r="AN287" s="14">
        <v>154.7275449986829</v>
      </c>
      <c r="AO287" s="14">
        <v>162.72079381746084</v>
      </c>
      <c r="AP287" s="14">
        <v>171.80454929650926</v>
      </c>
      <c r="AQ287" s="14">
        <v>171.12544514887938</v>
      </c>
      <c r="AR287" s="14">
        <v>157.51496202283593</v>
      </c>
      <c r="AS287" s="14">
        <v>153.60563814663575</v>
      </c>
    </row>
    <row r="288" spans="1:45" x14ac:dyDescent="0.35">
      <c r="A288" s="16">
        <v>8135.0784720000001</v>
      </c>
      <c r="B288" s="14">
        <v>145.88799101109535</v>
      </c>
      <c r="C288" s="14">
        <v>143.88727879174292</v>
      </c>
      <c r="D288" s="14">
        <v>144.24678098740293</v>
      </c>
      <c r="E288" s="14">
        <v>148.51250704033075</v>
      </c>
      <c r="F288" s="14">
        <v>154.68104471468271</v>
      </c>
      <c r="G288" s="14">
        <v>162.65059338871166</v>
      </c>
      <c r="H288" s="14">
        <v>171.70374868086915</v>
      </c>
      <c r="I288" s="14">
        <v>171.0228445222458</v>
      </c>
      <c r="J288" s="14">
        <v>177.65238501217368</v>
      </c>
      <c r="K288" s="14">
        <v>176.17137596690836</v>
      </c>
      <c r="L288" s="14">
        <v>174.06706311481534</v>
      </c>
      <c r="M288" s="14">
        <v>171.46224720589879</v>
      </c>
      <c r="N288" s="14">
        <v>166.07591430886345</v>
      </c>
      <c r="O288" s="14">
        <v>162.98299541885703</v>
      </c>
      <c r="P288" s="14">
        <v>161.06608371131642</v>
      </c>
      <c r="Q288" s="14">
        <v>157.43376152690402</v>
      </c>
      <c r="R288" s="15">
        <v>153.5271376671937</v>
      </c>
      <c r="S288" s="14">
        <v>144.4556822632683</v>
      </c>
      <c r="T288" s="14">
        <v>143.88727879174292</v>
      </c>
      <c r="U288" s="14">
        <v>144.24678098740293</v>
      </c>
      <c r="V288" s="14">
        <v>148.51250704033075</v>
      </c>
      <c r="W288" s="14">
        <v>154.68104471468271</v>
      </c>
      <c r="X288" s="14">
        <v>162.65059338871166</v>
      </c>
      <c r="Y288" s="14">
        <v>171.70374868086915</v>
      </c>
      <c r="Z288" s="14">
        <v>171.0228445222458</v>
      </c>
      <c r="AA288" s="14">
        <v>177.65238501217368</v>
      </c>
      <c r="AB288" s="14">
        <v>176.17137596690836</v>
      </c>
      <c r="AC288" s="14">
        <v>174.06706311481534</v>
      </c>
      <c r="AD288" s="14">
        <v>171.46224720589879</v>
      </c>
      <c r="AE288" s="14">
        <v>166.07591430886345</v>
      </c>
      <c r="AF288" s="14">
        <v>162.98299541885703</v>
      </c>
      <c r="AG288" s="14">
        <v>161.06608371131642</v>
      </c>
      <c r="AH288" s="14">
        <v>157.43376152690402</v>
      </c>
      <c r="AI288" s="15">
        <v>153.5271376671937</v>
      </c>
      <c r="AJ288" s="14">
        <v>142.69637151827558</v>
      </c>
      <c r="AK288" s="14">
        <v>145.99019163528573</v>
      </c>
      <c r="AL288" s="14">
        <v>144.24678098740293</v>
      </c>
      <c r="AM288" s="14">
        <v>148.51250704033075</v>
      </c>
      <c r="AN288" s="14">
        <v>154.68104471468271</v>
      </c>
      <c r="AO288" s="14">
        <v>162.65059338871166</v>
      </c>
      <c r="AP288" s="14">
        <v>171.70374868086915</v>
      </c>
      <c r="AQ288" s="14">
        <v>171.0228445222458</v>
      </c>
      <c r="AR288" s="14">
        <v>157.43376152690402</v>
      </c>
      <c r="AS288" s="14">
        <v>153.5271376671937</v>
      </c>
    </row>
    <row r="289" spans="1:45" x14ac:dyDescent="0.35">
      <c r="A289" s="16">
        <v>8173.1784720000005</v>
      </c>
      <c r="B289" s="14">
        <v>145.89109103002914</v>
      </c>
      <c r="C289" s="14">
        <v>143.88297876548089</v>
      </c>
      <c r="D289" s="14">
        <v>144.24218095930831</v>
      </c>
      <c r="E289" s="14">
        <v>148.49150691207231</v>
      </c>
      <c r="F289" s="14">
        <v>154.63624444106463</v>
      </c>
      <c r="G289" s="14">
        <v>162.57629293492104</v>
      </c>
      <c r="H289" s="14">
        <v>171.59184799743568</v>
      </c>
      <c r="I289" s="14">
        <v>170.90794382048992</v>
      </c>
      <c r="J289" s="14">
        <v>177.52848425544909</v>
      </c>
      <c r="K289" s="14">
        <v>176.06367530912701</v>
      </c>
      <c r="L289" s="14">
        <v>173.97306254070656</v>
      </c>
      <c r="M289" s="14">
        <v>171.36944663911899</v>
      </c>
      <c r="N289" s="14">
        <v>165.98361374513749</v>
      </c>
      <c r="O289" s="14">
        <v>162.89159486062815</v>
      </c>
      <c r="P289" s="14">
        <v>160.97288314209408</v>
      </c>
      <c r="Q289" s="14">
        <v>157.3450609851657</v>
      </c>
      <c r="R289" s="15">
        <v>153.44163714499905</v>
      </c>
      <c r="S289" s="14">
        <v>144.45868228159074</v>
      </c>
      <c r="T289" s="14">
        <v>143.88297876548089</v>
      </c>
      <c r="U289" s="14">
        <v>144.24218095930831</v>
      </c>
      <c r="V289" s="14">
        <v>148.49150691207231</v>
      </c>
      <c r="W289" s="14">
        <v>154.63624444106463</v>
      </c>
      <c r="X289" s="14">
        <v>162.57629293492104</v>
      </c>
      <c r="Y289" s="14">
        <v>171.59184799743568</v>
      </c>
      <c r="Z289" s="14">
        <v>170.90794382048992</v>
      </c>
      <c r="AA289" s="14">
        <v>177.52848425544909</v>
      </c>
      <c r="AB289" s="14">
        <v>176.06367530912701</v>
      </c>
      <c r="AC289" s="14">
        <v>173.97306254070656</v>
      </c>
      <c r="AD289" s="14">
        <v>171.36944663911899</v>
      </c>
      <c r="AE289" s="14">
        <v>165.98361374513749</v>
      </c>
      <c r="AF289" s="14">
        <v>162.89159486062815</v>
      </c>
      <c r="AG289" s="14">
        <v>160.97288314209408</v>
      </c>
      <c r="AH289" s="14">
        <v>157.3450609851657</v>
      </c>
      <c r="AI289" s="15">
        <v>153.44163714499905</v>
      </c>
      <c r="AJ289" s="14">
        <v>142.69937153659799</v>
      </c>
      <c r="AK289" s="14">
        <v>145.99329165421946</v>
      </c>
      <c r="AL289" s="14">
        <v>144.24218095930831</v>
      </c>
      <c r="AM289" s="14">
        <v>148.49150691207231</v>
      </c>
      <c r="AN289" s="14">
        <v>154.63624444106463</v>
      </c>
      <c r="AO289" s="14">
        <v>162.57629293492104</v>
      </c>
      <c r="AP289" s="14">
        <v>171.59184799743568</v>
      </c>
      <c r="AQ289" s="14">
        <v>170.90794382048992</v>
      </c>
      <c r="AR289" s="14">
        <v>157.3450609851657</v>
      </c>
      <c r="AS289" s="14">
        <v>153.44163714499905</v>
      </c>
    </row>
    <row r="290" spans="1:45" x14ac:dyDescent="0.35">
      <c r="A290" s="16">
        <v>8203.5830340000011</v>
      </c>
      <c r="B290" s="14">
        <v>145.88429098849781</v>
      </c>
      <c r="C290" s="14">
        <v>143.87027868791463</v>
      </c>
      <c r="D290" s="14">
        <v>144.22918087991016</v>
      </c>
      <c r="E290" s="14">
        <v>148.46540675266539</v>
      </c>
      <c r="F290" s="14">
        <v>154.59124416622532</v>
      </c>
      <c r="G290" s="14">
        <v>162.5074925147228</v>
      </c>
      <c r="H290" s="14">
        <v>171.49344739645352</v>
      </c>
      <c r="I290" s="14">
        <v>170.80694320362855</v>
      </c>
      <c r="J290" s="14">
        <v>177.42018359400254</v>
      </c>
      <c r="K290" s="14">
        <v>175.96837472707861</v>
      </c>
      <c r="L290" s="14">
        <v>173.8890620276735</v>
      </c>
      <c r="M290" s="14">
        <v>171.28634613158232</v>
      </c>
      <c r="N290" s="14">
        <v>165.90101324065469</v>
      </c>
      <c r="O290" s="14">
        <v>162.80959435980984</v>
      </c>
      <c r="P290" s="14">
        <v>160.88948263272547</v>
      </c>
      <c r="Q290" s="14">
        <v>157.26536049839464</v>
      </c>
      <c r="R290" s="15">
        <v>153.36463667471858</v>
      </c>
      <c r="S290" s="14">
        <v>144.45208224128069</v>
      </c>
      <c r="T290" s="14">
        <v>143.87027868791463</v>
      </c>
      <c r="U290" s="14">
        <v>144.22918087991016</v>
      </c>
      <c r="V290" s="14">
        <v>148.46540675266539</v>
      </c>
      <c r="W290" s="14">
        <v>154.59124416622532</v>
      </c>
      <c r="X290" s="14">
        <v>162.5074925147228</v>
      </c>
      <c r="Y290" s="14">
        <v>171.49344739645352</v>
      </c>
      <c r="Z290" s="14">
        <v>170.80694320362855</v>
      </c>
      <c r="AA290" s="14">
        <v>177.42018359400254</v>
      </c>
      <c r="AB290" s="14">
        <v>175.96837472707861</v>
      </c>
      <c r="AC290" s="14">
        <v>173.8890620276735</v>
      </c>
      <c r="AD290" s="14">
        <v>171.28634613158232</v>
      </c>
      <c r="AE290" s="14">
        <v>165.90101324065469</v>
      </c>
      <c r="AF290" s="14">
        <v>162.80959435980984</v>
      </c>
      <c r="AG290" s="14">
        <v>160.88948263272547</v>
      </c>
      <c r="AH290" s="14">
        <v>157.26536049839464</v>
      </c>
      <c r="AI290" s="15">
        <v>153.36463667471858</v>
      </c>
      <c r="AJ290" s="14">
        <v>142.69277149628797</v>
      </c>
      <c r="AK290" s="14">
        <v>145.98649161268816</v>
      </c>
      <c r="AL290" s="14">
        <v>144.22918087991016</v>
      </c>
      <c r="AM290" s="14">
        <v>148.46540675266539</v>
      </c>
      <c r="AN290" s="14">
        <v>154.59124416622532</v>
      </c>
      <c r="AO290" s="14">
        <v>162.5074925147228</v>
      </c>
      <c r="AP290" s="14">
        <v>171.49344739645352</v>
      </c>
      <c r="AQ290" s="14">
        <v>170.80694320362855</v>
      </c>
      <c r="AR290" s="14">
        <v>157.26536049839464</v>
      </c>
      <c r="AS290" s="14">
        <v>153.36463667471858</v>
      </c>
    </row>
    <row r="291" spans="1:45" x14ac:dyDescent="0.35">
      <c r="A291" s="16">
        <v>8226.2921580000002</v>
      </c>
      <c r="B291" s="14">
        <v>145.86749088589079</v>
      </c>
      <c r="C291" s="14">
        <v>143.84907855843491</v>
      </c>
      <c r="D291" s="14">
        <v>144.20788074981979</v>
      </c>
      <c r="E291" s="14">
        <v>148.43440656333192</v>
      </c>
      <c r="F291" s="14">
        <v>154.54594388955411</v>
      </c>
      <c r="G291" s="14">
        <v>162.44419212811556</v>
      </c>
      <c r="H291" s="14">
        <v>171.40814687548084</v>
      </c>
      <c r="I291" s="14">
        <v>170.71994267227305</v>
      </c>
      <c r="J291" s="14">
        <v>177.32758302844471</v>
      </c>
      <c r="K291" s="14">
        <v>175.88557422137384</v>
      </c>
      <c r="L291" s="14">
        <v>173.81486157449416</v>
      </c>
      <c r="M291" s="14">
        <v>171.21304568390008</v>
      </c>
      <c r="N291" s="14">
        <v>165.82801279480432</v>
      </c>
      <c r="O291" s="14">
        <v>162.73719391762398</v>
      </c>
      <c r="P291" s="14">
        <v>160.81598218382126</v>
      </c>
      <c r="Q291" s="14">
        <v>157.19456006598099</v>
      </c>
      <c r="R291" s="15">
        <v>153.2960362557416</v>
      </c>
      <c r="S291" s="14">
        <v>144.43588214233884</v>
      </c>
      <c r="T291" s="14">
        <v>143.84907855843491</v>
      </c>
      <c r="U291" s="14">
        <v>144.20788074981979</v>
      </c>
      <c r="V291" s="14">
        <v>148.43440656333192</v>
      </c>
      <c r="W291" s="14">
        <v>154.54594388955411</v>
      </c>
      <c r="X291" s="14">
        <v>162.44419212811556</v>
      </c>
      <c r="Y291" s="14">
        <v>171.40814687548084</v>
      </c>
      <c r="Z291" s="14">
        <v>170.71994267227305</v>
      </c>
      <c r="AA291" s="14">
        <v>177.32758302844471</v>
      </c>
      <c r="AB291" s="14">
        <v>175.88557422137384</v>
      </c>
      <c r="AC291" s="14">
        <v>173.81486157449416</v>
      </c>
      <c r="AD291" s="14">
        <v>171.21304568390008</v>
      </c>
      <c r="AE291" s="14">
        <v>165.82801279480432</v>
      </c>
      <c r="AF291" s="14">
        <v>162.73719391762398</v>
      </c>
      <c r="AG291" s="14">
        <v>160.81598218382126</v>
      </c>
      <c r="AH291" s="14">
        <v>157.19456006598099</v>
      </c>
      <c r="AI291" s="15">
        <v>153.2960362557416</v>
      </c>
      <c r="AJ291" s="14">
        <v>142.67677139856738</v>
      </c>
      <c r="AK291" s="14">
        <v>145.96969151008111</v>
      </c>
      <c r="AL291" s="14">
        <v>144.20788074981979</v>
      </c>
      <c r="AM291" s="14">
        <v>148.43440656333192</v>
      </c>
      <c r="AN291" s="14">
        <v>154.54594388955411</v>
      </c>
      <c r="AO291" s="14">
        <v>162.44419212811556</v>
      </c>
      <c r="AP291" s="14">
        <v>171.40814687548084</v>
      </c>
      <c r="AQ291" s="14">
        <v>170.71994267227305</v>
      </c>
      <c r="AR291" s="14">
        <v>157.19456006598099</v>
      </c>
      <c r="AS291" s="14">
        <v>153.2960362557416</v>
      </c>
    </row>
    <row r="292" spans="1:45" x14ac:dyDescent="0.35">
      <c r="A292" s="16">
        <v>8249.0028060000004</v>
      </c>
      <c r="B292" s="14">
        <v>145.83929071365847</v>
      </c>
      <c r="C292" s="14">
        <v>143.81627835810801</v>
      </c>
      <c r="D292" s="14">
        <v>144.17508054949289</v>
      </c>
      <c r="E292" s="14">
        <v>148.39180630315053</v>
      </c>
      <c r="F292" s="14">
        <v>154.48904354203501</v>
      </c>
      <c r="G292" s="14">
        <v>162.36929167066111</v>
      </c>
      <c r="H292" s="14">
        <v>171.31144628488153</v>
      </c>
      <c r="I292" s="14">
        <v>170.62124206945899</v>
      </c>
      <c r="J292" s="14">
        <v>177.22338239203893</v>
      </c>
      <c r="K292" s="14">
        <v>175.79127364543314</v>
      </c>
      <c r="L292" s="14">
        <v>173.7295610535208</v>
      </c>
      <c r="M292" s="14">
        <v>171.12864516842376</v>
      </c>
      <c r="N292" s="14">
        <v>165.74391228116062</v>
      </c>
      <c r="O292" s="14">
        <v>162.65359340703409</v>
      </c>
      <c r="P292" s="14">
        <v>160.731381667123</v>
      </c>
      <c r="Q292" s="14">
        <v>157.11285956699456</v>
      </c>
      <c r="R292" s="15">
        <v>153.21653577019251</v>
      </c>
      <c r="S292" s="14">
        <v>144.40858197560291</v>
      </c>
      <c r="T292" s="14">
        <v>143.81627835810801</v>
      </c>
      <c r="U292" s="14">
        <v>144.17508054949289</v>
      </c>
      <c r="V292" s="14">
        <v>148.39180630315053</v>
      </c>
      <c r="W292" s="14">
        <v>154.48904354203501</v>
      </c>
      <c r="X292" s="14">
        <v>162.36929167066111</v>
      </c>
      <c r="Y292" s="14">
        <v>171.31144628488153</v>
      </c>
      <c r="Z292" s="14">
        <v>170.62124206945899</v>
      </c>
      <c r="AA292" s="14">
        <v>177.22338239203893</v>
      </c>
      <c r="AB292" s="14">
        <v>175.79127364543314</v>
      </c>
      <c r="AC292" s="14">
        <v>173.7295610535208</v>
      </c>
      <c r="AD292" s="14">
        <v>171.12864516842376</v>
      </c>
      <c r="AE292" s="14">
        <v>165.74391228116062</v>
      </c>
      <c r="AF292" s="14">
        <v>162.65359340703409</v>
      </c>
      <c r="AG292" s="14">
        <v>160.731381667123</v>
      </c>
      <c r="AH292" s="14">
        <v>157.11285956699456</v>
      </c>
      <c r="AI292" s="15">
        <v>153.21653577019251</v>
      </c>
      <c r="AJ292" s="14">
        <v>142.64967123305345</v>
      </c>
      <c r="AK292" s="14">
        <v>145.94149133784884</v>
      </c>
      <c r="AL292" s="14">
        <v>144.17508054949289</v>
      </c>
      <c r="AM292" s="14">
        <v>148.39180630315053</v>
      </c>
      <c r="AN292" s="14">
        <v>154.48904354203501</v>
      </c>
      <c r="AO292" s="14">
        <v>162.36929167066111</v>
      </c>
      <c r="AP292" s="14">
        <v>171.31144628488153</v>
      </c>
      <c r="AQ292" s="14">
        <v>170.62124206945899</v>
      </c>
      <c r="AR292" s="14">
        <v>157.11285956699456</v>
      </c>
      <c r="AS292" s="14">
        <v>153.21653577019251</v>
      </c>
    </row>
    <row r="293" spans="1:45" x14ac:dyDescent="0.35">
      <c r="A293" s="16">
        <v>8271.714978</v>
      </c>
      <c r="B293" s="14">
        <v>145.79949047057829</v>
      </c>
      <c r="C293" s="14">
        <v>143.77207808815444</v>
      </c>
      <c r="D293" s="14">
        <v>144.13078027892868</v>
      </c>
      <c r="E293" s="14">
        <v>148.33770597273258</v>
      </c>
      <c r="F293" s="14">
        <v>154.42074312488992</v>
      </c>
      <c r="G293" s="14">
        <v>162.28259114113752</v>
      </c>
      <c r="H293" s="14">
        <v>171.20304562282436</v>
      </c>
      <c r="I293" s="14">
        <v>170.51114139701897</v>
      </c>
      <c r="J293" s="14">
        <v>177.10748168417533</v>
      </c>
      <c r="K293" s="14">
        <v>175.68547299925586</v>
      </c>
      <c r="L293" s="14">
        <v>173.63296046353281</v>
      </c>
      <c r="M293" s="14">
        <v>171.03304458454281</v>
      </c>
      <c r="N293" s="14">
        <v>165.64861169911222</v>
      </c>
      <c r="O293" s="14">
        <v>162.55889282865019</v>
      </c>
      <c r="P293" s="14">
        <v>160.63578108324273</v>
      </c>
      <c r="Q293" s="14">
        <v>157.0199589996048</v>
      </c>
      <c r="R293" s="15">
        <v>153.12603521746001</v>
      </c>
      <c r="S293" s="14">
        <v>144.37008174046235</v>
      </c>
      <c r="T293" s="14">
        <v>143.77207808815444</v>
      </c>
      <c r="U293" s="14">
        <v>144.13078027892868</v>
      </c>
      <c r="V293" s="14">
        <v>148.33770597273258</v>
      </c>
      <c r="W293" s="14">
        <v>154.42074312488992</v>
      </c>
      <c r="X293" s="14">
        <v>162.28259114113752</v>
      </c>
      <c r="Y293" s="14">
        <v>171.20304562282436</v>
      </c>
      <c r="Z293" s="14">
        <v>170.51114139701897</v>
      </c>
      <c r="AA293" s="14">
        <v>177.10748168417533</v>
      </c>
      <c r="AB293" s="14">
        <v>175.68547299925586</v>
      </c>
      <c r="AC293" s="14">
        <v>173.63296046353281</v>
      </c>
      <c r="AD293" s="14">
        <v>171.03304458454281</v>
      </c>
      <c r="AE293" s="14">
        <v>165.64861169911222</v>
      </c>
      <c r="AF293" s="14">
        <v>162.55889282865019</v>
      </c>
      <c r="AG293" s="14">
        <v>160.63578108324273</v>
      </c>
      <c r="AH293" s="14">
        <v>157.0199589996048</v>
      </c>
      <c r="AI293" s="15">
        <v>153.12603521746001</v>
      </c>
      <c r="AJ293" s="14">
        <v>142.61157100035607</v>
      </c>
      <c r="AK293" s="14">
        <v>145.90169109476864</v>
      </c>
      <c r="AL293" s="14">
        <v>144.13078027892868</v>
      </c>
      <c r="AM293" s="14">
        <v>148.33770597273258</v>
      </c>
      <c r="AN293" s="14">
        <v>154.42074312488992</v>
      </c>
      <c r="AO293" s="14">
        <v>162.28259114113752</v>
      </c>
      <c r="AP293" s="14">
        <v>171.20304562282436</v>
      </c>
      <c r="AQ293" s="14">
        <v>170.51114139701897</v>
      </c>
      <c r="AR293" s="14">
        <v>157.0199589996048</v>
      </c>
      <c r="AS293" s="14">
        <v>153.12603521746001</v>
      </c>
    </row>
    <row r="294" spans="1:45" x14ac:dyDescent="0.35">
      <c r="A294" s="16">
        <v>8294.4271499999995</v>
      </c>
      <c r="B294" s="14">
        <v>145.76209024215675</v>
      </c>
      <c r="C294" s="14">
        <v>143.73027783285951</v>
      </c>
      <c r="D294" s="14">
        <v>144.08888002302314</v>
      </c>
      <c r="E294" s="14">
        <v>148.28600565697326</v>
      </c>
      <c r="F294" s="14">
        <v>154.35474272179283</v>
      </c>
      <c r="G294" s="14">
        <v>162.19829062627184</v>
      </c>
      <c r="H294" s="14">
        <v>171.09714497603647</v>
      </c>
      <c r="I294" s="14">
        <v>170.4033407386263</v>
      </c>
      <c r="J294" s="14">
        <v>176.99398099096965</v>
      </c>
      <c r="K294" s="14">
        <v>175.5818723665146</v>
      </c>
      <c r="L294" s="14">
        <v>173.53865988759213</v>
      </c>
      <c r="M294" s="14">
        <v>170.93974401470982</v>
      </c>
      <c r="N294" s="14">
        <v>165.55571113172178</v>
      </c>
      <c r="O294" s="14">
        <v>162.46649226431362</v>
      </c>
      <c r="P294" s="14">
        <v>160.54238051279845</v>
      </c>
      <c r="Q294" s="14">
        <v>156.9294584468723</v>
      </c>
      <c r="R294" s="15">
        <v>153.03793467938547</v>
      </c>
      <c r="S294" s="14">
        <v>144.3339815199804</v>
      </c>
      <c r="T294" s="14">
        <v>143.73027783285951</v>
      </c>
      <c r="U294" s="14">
        <v>144.08888002302314</v>
      </c>
      <c r="V294" s="14">
        <v>148.28600565697326</v>
      </c>
      <c r="W294" s="14">
        <v>154.35474272179283</v>
      </c>
      <c r="X294" s="14">
        <v>162.19829062627184</v>
      </c>
      <c r="Y294" s="14">
        <v>171.09714497603647</v>
      </c>
      <c r="Z294" s="14">
        <v>170.4033407386263</v>
      </c>
      <c r="AA294" s="14">
        <v>176.99398099096965</v>
      </c>
      <c r="AB294" s="14">
        <v>175.5818723665146</v>
      </c>
      <c r="AC294" s="14">
        <v>173.53865988759213</v>
      </c>
      <c r="AD294" s="14">
        <v>170.93974401470982</v>
      </c>
      <c r="AE294" s="14">
        <v>165.55571113172178</v>
      </c>
      <c r="AF294" s="14">
        <v>162.46649226431362</v>
      </c>
      <c r="AG294" s="14">
        <v>160.54238051279845</v>
      </c>
      <c r="AH294" s="14">
        <v>156.9294584468723</v>
      </c>
      <c r="AI294" s="15">
        <v>153.03793467938547</v>
      </c>
      <c r="AJ294" s="14">
        <v>142.57577078170604</v>
      </c>
      <c r="AK294" s="14">
        <v>145.86429086634706</v>
      </c>
      <c r="AL294" s="14">
        <v>144.08888002302314</v>
      </c>
      <c r="AM294" s="14">
        <v>148.28600565697326</v>
      </c>
      <c r="AN294" s="14">
        <v>154.35474272179283</v>
      </c>
      <c r="AO294" s="14">
        <v>162.19829062627184</v>
      </c>
      <c r="AP294" s="14">
        <v>171.09714497603647</v>
      </c>
      <c r="AQ294" s="14">
        <v>170.4033407386263</v>
      </c>
      <c r="AR294" s="14">
        <v>156.9294584468723</v>
      </c>
      <c r="AS294" s="14">
        <v>153.03793467938547</v>
      </c>
    </row>
    <row r="295" spans="1:45" x14ac:dyDescent="0.35">
      <c r="A295" s="16">
        <v>8317.1393220000009</v>
      </c>
      <c r="B295" s="14">
        <v>145.72719002900308</v>
      </c>
      <c r="C295" s="14">
        <v>143.69087759222253</v>
      </c>
      <c r="D295" s="14">
        <v>144.04937978177483</v>
      </c>
      <c r="E295" s="14">
        <v>148.23680535648256</v>
      </c>
      <c r="F295" s="14">
        <v>154.29114233335304</v>
      </c>
      <c r="G295" s="14">
        <v>162.11639012606415</v>
      </c>
      <c r="H295" s="14">
        <v>170.99384434512774</v>
      </c>
      <c r="I295" s="14">
        <v>170.29804009550222</v>
      </c>
      <c r="J295" s="14">
        <v>176.88268031120069</v>
      </c>
      <c r="K295" s="14">
        <v>175.48047174721003</v>
      </c>
      <c r="L295" s="14">
        <v>173.44655932508743</v>
      </c>
      <c r="M295" s="14">
        <v>170.84874345892345</v>
      </c>
      <c r="N295" s="14">
        <v>165.46511057837864</v>
      </c>
      <c r="O295" s="14">
        <v>162.37639171402432</v>
      </c>
      <c r="P295" s="14">
        <v>160.45127995640146</v>
      </c>
      <c r="Q295" s="14">
        <v>156.84125790818715</v>
      </c>
      <c r="R295" s="15">
        <v>152.9520341547483</v>
      </c>
      <c r="S295" s="14">
        <v>144.30018131354578</v>
      </c>
      <c r="T295" s="14">
        <v>143.69087759222253</v>
      </c>
      <c r="U295" s="14">
        <v>144.04937978177483</v>
      </c>
      <c r="V295" s="14">
        <v>148.23680535648256</v>
      </c>
      <c r="W295" s="14">
        <v>154.29114233335304</v>
      </c>
      <c r="X295" s="14">
        <v>162.11639012606415</v>
      </c>
      <c r="Y295" s="14">
        <v>170.99384434512774</v>
      </c>
      <c r="Z295" s="14">
        <v>170.29804009550222</v>
      </c>
      <c r="AA295" s="14">
        <v>176.88268031120069</v>
      </c>
      <c r="AB295" s="14">
        <v>175.48047174721003</v>
      </c>
      <c r="AC295" s="14">
        <v>173.44655932508743</v>
      </c>
      <c r="AD295" s="14">
        <v>170.84874345892345</v>
      </c>
      <c r="AE295" s="14">
        <v>165.46511057837864</v>
      </c>
      <c r="AF295" s="14">
        <v>162.37639171402432</v>
      </c>
      <c r="AG295" s="14">
        <v>160.45127995640146</v>
      </c>
      <c r="AH295" s="14">
        <v>156.84125790818715</v>
      </c>
      <c r="AI295" s="15">
        <v>152.9520341547483</v>
      </c>
      <c r="AJ295" s="14">
        <v>142.54217057649265</v>
      </c>
      <c r="AK295" s="14">
        <v>145.82939065319408</v>
      </c>
      <c r="AL295" s="14">
        <v>144.04937978177483</v>
      </c>
      <c r="AM295" s="14">
        <v>148.23680535648256</v>
      </c>
      <c r="AN295" s="14">
        <v>154.29114233335304</v>
      </c>
      <c r="AO295" s="14">
        <v>162.11639012606415</v>
      </c>
      <c r="AP295" s="14">
        <v>170.99384434512774</v>
      </c>
      <c r="AQ295" s="14">
        <v>170.29804009550222</v>
      </c>
      <c r="AR295" s="14">
        <v>156.84125790818715</v>
      </c>
      <c r="AS295" s="14">
        <v>152.9520341547483</v>
      </c>
    </row>
    <row r="296" spans="1:45" x14ac:dyDescent="0.35">
      <c r="A296" s="16">
        <v>8339.8514940000005</v>
      </c>
      <c r="B296" s="14">
        <v>145.69188981340685</v>
      </c>
      <c r="C296" s="14">
        <v>143.65117734975297</v>
      </c>
      <c r="D296" s="14">
        <v>144.00957953869533</v>
      </c>
      <c r="E296" s="14">
        <v>148.18730505415922</v>
      </c>
      <c r="F296" s="14">
        <v>154.22714194247069</v>
      </c>
      <c r="G296" s="14">
        <v>162.03408962341388</v>
      </c>
      <c r="H296" s="14">
        <v>170.89024371238651</v>
      </c>
      <c r="I296" s="14">
        <v>170.19233944993556</v>
      </c>
      <c r="J296" s="14">
        <v>176.7710796295998</v>
      </c>
      <c r="K296" s="14">
        <v>175.37867112546292</v>
      </c>
      <c r="L296" s="14">
        <v>173.35415876075083</v>
      </c>
      <c r="M296" s="14">
        <v>170.75744290130524</v>
      </c>
      <c r="N296" s="14">
        <v>165.37411002259299</v>
      </c>
      <c r="O296" s="14">
        <v>162.28589116129183</v>
      </c>
      <c r="P296" s="14">
        <v>160.35987939817261</v>
      </c>
      <c r="Q296" s="14">
        <v>156.75265736705944</v>
      </c>
      <c r="R296" s="15">
        <v>152.86583362827858</v>
      </c>
      <c r="S296" s="14">
        <v>144.2659811046679</v>
      </c>
      <c r="T296" s="14">
        <v>143.65117734975297</v>
      </c>
      <c r="U296" s="14">
        <v>144.00957953869533</v>
      </c>
      <c r="V296" s="14">
        <v>148.18730505415922</v>
      </c>
      <c r="W296" s="14">
        <v>154.22714194247069</v>
      </c>
      <c r="X296" s="14">
        <v>162.03408962341388</v>
      </c>
      <c r="Y296" s="14">
        <v>170.89024371238651</v>
      </c>
      <c r="Z296" s="14">
        <v>170.19233944993556</v>
      </c>
      <c r="AA296" s="14">
        <v>176.7710796295998</v>
      </c>
      <c r="AB296" s="14">
        <v>175.37867112546292</v>
      </c>
      <c r="AC296" s="14">
        <v>173.35415876075083</v>
      </c>
      <c r="AD296" s="14">
        <v>170.75744290130524</v>
      </c>
      <c r="AE296" s="14">
        <v>165.37411002259299</v>
      </c>
      <c r="AF296" s="14">
        <v>162.28589116129183</v>
      </c>
      <c r="AG296" s="14">
        <v>160.35987939817261</v>
      </c>
      <c r="AH296" s="14">
        <v>156.75265736705944</v>
      </c>
      <c r="AI296" s="15">
        <v>152.86583362827858</v>
      </c>
      <c r="AJ296" s="14">
        <v>142.508370370058</v>
      </c>
      <c r="AK296" s="14">
        <v>145.7940904375979</v>
      </c>
      <c r="AL296" s="14">
        <v>144.00957953869533</v>
      </c>
      <c r="AM296" s="14">
        <v>148.18730505415922</v>
      </c>
      <c r="AN296" s="14">
        <v>154.22714194247069</v>
      </c>
      <c r="AO296" s="14">
        <v>162.03408962341388</v>
      </c>
      <c r="AP296" s="14">
        <v>170.89024371238651</v>
      </c>
      <c r="AQ296" s="14">
        <v>170.19233944993556</v>
      </c>
      <c r="AR296" s="14">
        <v>156.75265736705944</v>
      </c>
      <c r="AS296" s="14">
        <v>152.86583362827858</v>
      </c>
    </row>
    <row r="297" spans="1:45" x14ac:dyDescent="0.35">
      <c r="A297" s="16">
        <v>8362.563666</v>
      </c>
      <c r="B297" s="14">
        <v>145.65628959597879</v>
      </c>
      <c r="C297" s="14">
        <v>143.61127710606215</v>
      </c>
      <c r="D297" s="14">
        <v>143.96947929378254</v>
      </c>
      <c r="E297" s="14">
        <v>148.13740474939269</v>
      </c>
      <c r="F297" s="14">
        <v>154.16274154914512</v>
      </c>
      <c r="G297" s="14">
        <v>161.95148911893105</v>
      </c>
      <c r="H297" s="14">
        <v>170.7865430790346</v>
      </c>
      <c r="I297" s="14">
        <v>170.08643880314699</v>
      </c>
      <c r="J297" s="14">
        <v>176.65897894494441</v>
      </c>
      <c r="K297" s="14">
        <v>175.27637050066193</v>
      </c>
      <c r="L297" s="14">
        <v>173.26135819397106</v>
      </c>
      <c r="M297" s="14">
        <v>170.6658423418551</v>
      </c>
      <c r="N297" s="14">
        <v>165.28290946558539</v>
      </c>
      <c r="O297" s="14">
        <v>162.19519060733808</v>
      </c>
      <c r="P297" s="14">
        <v>160.26817883811114</v>
      </c>
      <c r="Q297" s="14">
        <v>156.66385682470977</v>
      </c>
      <c r="R297" s="15">
        <v>152.77933309997618</v>
      </c>
      <c r="S297" s="14">
        <v>144.23158089456879</v>
      </c>
      <c r="T297" s="14">
        <v>143.61127710606215</v>
      </c>
      <c r="U297" s="14">
        <v>143.96947929378254</v>
      </c>
      <c r="V297" s="14">
        <v>148.13740474939269</v>
      </c>
      <c r="W297" s="14">
        <v>154.16274154914512</v>
      </c>
      <c r="X297" s="14">
        <v>161.95148911893105</v>
      </c>
      <c r="Y297" s="14">
        <v>170.7865430790346</v>
      </c>
      <c r="Z297" s="14">
        <v>170.08643880314699</v>
      </c>
      <c r="AA297" s="14">
        <v>176.65897894494441</v>
      </c>
      <c r="AB297" s="14">
        <v>175.27637050066193</v>
      </c>
      <c r="AC297" s="14">
        <v>173.26135819397106</v>
      </c>
      <c r="AD297" s="14">
        <v>170.6658423418551</v>
      </c>
      <c r="AE297" s="14">
        <v>165.28290946558539</v>
      </c>
      <c r="AF297" s="14">
        <v>162.19519060733808</v>
      </c>
      <c r="AG297" s="14">
        <v>160.26817883811114</v>
      </c>
      <c r="AH297" s="14">
        <v>156.66385682470977</v>
      </c>
      <c r="AI297" s="15">
        <v>152.77933309997618</v>
      </c>
      <c r="AJ297" s="14">
        <v>142.4742701617908</v>
      </c>
      <c r="AK297" s="14">
        <v>145.75849022016911</v>
      </c>
      <c r="AL297" s="14">
        <v>143.96947929378254</v>
      </c>
      <c r="AM297" s="14">
        <v>148.13740474939269</v>
      </c>
      <c r="AN297" s="14">
        <v>154.16274154914512</v>
      </c>
      <c r="AO297" s="14">
        <v>161.95148911893105</v>
      </c>
      <c r="AP297" s="14">
        <v>170.7865430790346</v>
      </c>
      <c r="AQ297" s="14">
        <v>170.08643880314699</v>
      </c>
      <c r="AR297" s="14">
        <v>156.66385682470977</v>
      </c>
      <c r="AS297" s="14">
        <v>152.77933309997618</v>
      </c>
    </row>
    <row r="298" spans="1:45" x14ac:dyDescent="0.35">
      <c r="A298" s="16">
        <v>8388.931152000001</v>
      </c>
      <c r="B298" s="14">
        <v>145.63338945611622</v>
      </c>
      <c r="C298" s="14">
        <v>143.58327693505112</v>
      </c>
      <c r="D298" s="14">
        <v>143.9413791221609</v>
      </c>
      <c r="E298" s="14">
        <v>148.09800450875571</v>
      </c>
      <c r="F298" s="14">
        <v>154.10714120956629</v>
      </c>
      <c r="G298" s="14">
        <v>161.87398864559671</v>
      </c>
      <c r="H298" s="14">
        <v>170.68464245667681</v>
      </c>
      <c r="I298" s="14">
        <v>169.98183816429867</v>
      </c>
      <c r="J298" s="14">
        <v>176.54717826212155</v>
      </c>
      <c r="K298" s="14">
        <v>175.17556988502182</v>
      </c>
      <c r="L298" s="14">
        <v>173.17145764490371</v>
      </c>
      <c r="M298" s="14">
        <v>170.57724180072668</v>
      </c>
      <c r="N298" s="14">
        <v>165.1947089269002</v>
      </c>
      <c r="O298" s="14">
        <v>162.10759007231809</v>
      </c>
      <c r="P298" s="14">
        <v>160.17937829576215</v>
      </c>
      <c r="Q298" s="14">
        <v>156.57835630251583</v>
      </c>
      <c r="R298" s="15">
        <v>152.69643259366148</v>
      </c>
      <c r="S298" s="14">
        <v>144.209480759592</v>
      </c>
      <c r="T298" s="14">
        <v>143.58327693505112</v>
      </c>
      <c r="U298" s="14">
        <v>143.9413791221609</v>
      </c>
      <c r="V298" s="14">
        <v>148.09800450875571</v>
      </c>
      <c r="W298" s="14">
        <v>154.10714120956629</v>
      </c>
      <c r="X298" s="14">
        <v>161.87398864559671</v>
      </c>
      <c r="Y298" s="14">
        <v>170.68464245667681</v>
      </c>
      <c r="Z298" s="14">
        <v>169.98183816429867</v>
      </c>
      <c r="AA298" s="14">
        <v>176.54717826212155</v>
      </c>
      <c r="AB298" s="14">
        <v>175.17556988502182</v>
      </c>
      <c r="AC298" s="14">
        <v>173.17145764490371</v>
      </c>
      <c r="AD298" s="14">
        <v>170.57724180072668</v>
      </c>
      <c r="AE298" s="14">
        <v>165.1947089269002</v>
      </c>
      <c r="AF298" s="14">
        <v>162.10759007231809</v>
      </c>
      <c r="AG298" s="14">
        <v>160.17937829576215</v>
      </c>
      <c r="AH298" s="14">
        <v>156.57835630251583</v>
      </c>
      <c r="AI298" s="15">
        <v>152.69643259366148</v>
      </c>
      <c r="AJ298" s="14">
        <v>142.45227002742533</v>
      </c>
      <c r="AK298" s="14">
        <v>145.73559008030659</v>
      </c>
      <c r="AL298" s="14">
        <v>143.9413791221609</v>
      </c>
      <c r="AM298" s="14">
        <v>148.09800450875571</v>
      </c>
      <c r="AN298" s="14">
        <v>154.10714120956629</v>
      </c>
      <c r="AO298" s="14">
        <v>161.87398864559671</v>
      </c>
      <c r="AP298" s="14">
        <v>170.68464245667681</v>
      </c>
      <c r="AQ298" s="14">
        <v>169.98183816429867</v>
      </c>
      <c r="AR298" s="14">
        <v>156.57835630251583</v>
      </c>
      <c r="AS298" s="14">
        <v>152.69643259366148</v>
      </c>
    </row>
    <row r="299" spans="1:45" x14ac:dyDescent="0.35">
      <c r="A299" s="16">
        <v>8418.9539520000017</v>
      </c>
      <c r="B299" s="14">
        <v>145.62318939381925</v>
      </c>
      <c r="C299" s="14">
        <v>143.56727683733052</v>
      </c>
      <c r="D299" s="14">
        <v>143.92527902382966</v>
      </c>
      <c r="E299" s="14">
        <v>148.06910433224829</v>
      </c>
      <c r="F299" s="14">
        <v>154.05964091945771</v>
      </c>
      <c r="G299" s="14">
        <v>161.80178820463283</v>
      </c>
      <c r="H299" s="14">
        <v>170.58524184958696</v>
      </c>
      <c r="I299" s="14">
        <v>169.87873753461125</v>
      </c>
      <c r="J299" s="14">
        <v>176.43547757990936</v>
      </c>
      <c r="K299" s="14">
        <v>175.07616927793262</v>
      </c>
      <c r="L299" s="14">
        <v>173.08435711293689</v>
      </c>
      <c r="M299" s="14">
        <v>170.49174127853274</v>
      </c>
      <c r="N299" s="14">
        <v>165.10960840714878</v>
      </c>
      <c r="O299" s="14">
        <v>162.0231895568418</v>
      </c>
      <c r="P299" s="14">
        <v>160.09357777173491</v>
      </c>
      <c r="Q299" s="14">
        <v>156.49615580047552</v>
      </c>
      <c r="R299" s="15">
        <v>152.61703210872304</v>
      </c>
      <c r="S299" s="14">
        <v>144.19958069912761</v>
      </c>
      <c r="T299" s="14">
        <v>143.56727683733052</v>
      </c>
      <c r="U299" s="14">
        <v>143.92527902382966</v>
      </c>
      <c r="V299" s="14">
        <v>148.06910433224829</v>
      </c>
      <c r="W299" s="14">
        <v>154.05964091945771</v>
      </c>
      <c r="X299" s="14">
        <v>161.80178820463283</v>
      </c>
      <c r="Y299" s="14">
        <v>170.58524184958696</v>
      </c>
      <c r="Z299" s="14">
        <v>169.87873753461125</v>
      </c>
      <c r="AA299" s="14">
        <v>176.43547757990936</v>
      </c>
      <c r="AB299" s="14">
        <v>175.07616927793262</v>
      </c>
      <c r="AC299" s="14">
        <v>173.08435711293689</v>
      </c>
      <c r="AD299" s="14">
        <v>170.49174127853274</v>
      </c>
      <c r="AE299" s="14">
        <v>165.10960840714878</v>
      </c>
      <c r="AF299" s="14">
        <v>162.0231895568418</v>
      </c>
      <c r="AG299" s="14">
        <v>160.09357777173491</v>
      </c>
      <c r="AH299" s="14">
        <v>156.49615580047552</v>
      </c>
      <c r="AI299" s="15">
        <v>152.61703210872304</v>
      </c>
      <c r="AJ299" s="14">
        <v>142.44246996757158</v>
      </c>
      <c r="AK299" s="14">
        <v>145.72539001800962</v>
      </c>
      <c r="AL299" s="14">
        <v>143.92527902382966</v>
      </c>
      <c r="AM299" s="14">
        <v>148.06910433224829</v>
      </c>
      <c r="AN299" s="14">
        <v>154.05964091945771</v>
      </c>
      <c r="AO299" s="14">
        <v>161.80178820463283</v>
      </c>
      <c r="AP299" s="14">
        <v>170.58524184958696</v>
      </c>
      <c r="AQ299" s="14">
        <v>169.87873753461125</v>
      </c>
      <c r="AR299" s="14">
        <v>156.49615580047552</v>
      </c>
      <c r="AS299" s="14">
        <v>152.61703210872304</v>
      </c>
    </row>
    <row r="300" spans="1:45" x14ac:dyDescent="0.35">
      <c r="A300" s="16">
        <v>8453.0153520000003</v>
      </c>
      <c r="B300" s="14">
        <v>145.6278894225245</v>
      </c>
      <c r="C300" s="14">
        <v>143.56537682572645</v>
      </c>
      <c r="D300" s="14">
        <v>143.92337901222487</v>
      </c>
      <c r="E300" s="14">
        <v>148.05260423147385</v>
      </c>
      <c r="F300" s="14">
        <v>154.02224069103613</v>
      </c>
      <c r="G300" s="14">
        <v>161.73618780397828</v>
      </c>
      <c r="H300" s="14">
        <v>170.48894126143156</v>
      </c>
      <c r="I300" s="14">
        <v>169.77803691958178</v>
      </c>
      <c r="J300" s="14">
        <v>176.32487690441621</v>
      </c>
      <c r="K300" s="14">
        <v>174.97916868550143</v>
      </c>
      <c r="L300" s="14">
        <v>173.00125660540021</v>
      </c>
      <c r="M300" s="14">
        <v>170.41044078198951</v>
      </c>
      <c r="N300" s="14">
        <v>165.02880791365942</v>
      </c>
      <c r="O300" s="14">
        <v>161.94308906762754</v>
      </c>
      <c r="P300" s="14">
        <v>160.0119772733598</v>
      </c>
      <c r="Q300" s="14">
        <v>156.41865532714186</v>
      </c>
      <c r="R300" s="15">
        <v>152.54243165310049</v>
      </c>
      <c r="S300" s="14">
        <v>144.20418072722228</v>
      </c>
      <c r="T300" s="14">
        <v>143.56537682572645</v>
      </c>
      <c r="U300" s="14">
        <v>143.92337901222487</v>
      </c>
      <c r="V300" s="14">
        <v>148.05260423147385</v>
      </c>
      <c r="W300" s="14">
        <v>154.02224069103613</v>
      </c>
      <c r="X300" s="14">
        <v>161.73618780397828</v>
      </c>
      <c r="Y300" s="14">
        <v>170.48894126143156</v>
      </c>
      <c r="Z300" s="14">
        <v>169.77803691958178</v>
      </c>
      <c r="AA300" s="14">
        <v>176.32487690441621</v>
      </c>
      <c r="AB300" s="14">
        <v>174.97916868550143</v>
      </c>
      <c r="AC300" s="14">
        <v>173.00125660540021</v>
      </c>
      <c r="AD300" s="14">
        <v>170.41044078198951</v>
      </c>
      <c r="AE300" s="14">
        <v>165.02880791365942</v>
      </c>
      <c r="AF300" s="14">
        <v>161.94308906762754</v>
      </c>
      <c r="AG300" s="14">
        <v>160.0119772733598</v>
      </c>
      <c r="AH300" s="14">
        <v>156.41865532714186</v>
      </c>
      <c r="AI300" s="15">
        <v>152.54243165310049</v>
      </c>
      <c r="AJ300" s="14">
        <v>142.4470699956662</v>
      </c>
      <c r="AK300" s="14">
        <v>145.73009004671488</v>
      </c>
      <c r="AL300" s="14">
        <v>143.92337901222487</v>
      </c>
      <c r="AM300" s="14">
        <v>148.05260423147385</v>
      </c>
      <c r="AN300" s="14">
        <v>154.02224069103613</v>
      </c>
      <c r="AO300" s="14">
        <v>161.73618780397828</v>
      </c>
      <c r="AP300" s="14">
        <v>170.48894126143156</v>
      </c>
      <c r="AQ300" s="14">
        <v>169.77803691958178</v>
      </c>
      <c r="AR300" s="14">
        <v>156.41865532714186</v>
      </c>
      <c r="AS300" s="14">
        <v>152.54243165310049</v>
      </c>
    </row>
    <row r="301" spans="1:45" x14ac:dyDescent="0.35">
      <c r="A301" s="16">
        <v>8491.1153520000007</v>
      </c>
      <c r="B301" s="14">
        <v>145.64768954345399</v>
      </c>
      <c r="C301" s="14">
        <v>143.5774768996275</v>
      </c>
      <c r="D301" s="14">
        <v>143.93557908673728</v>
      </c>
      <c r="E301" s="14">
        <v>148.04860420704372</v>
      </c>
      <c r="F301" s="14">
        <v>153.99484052368962</v>
      </c>
      <c r="G301" s="14">
        <v>161.67728744424443</v>
      </c>
      <c r="H301" s="14">
        <v>170.39624069526238</v>
      </c>
      <c r="I301" s="14">
        <v>169.67983631982156</v>
      </c>
      <c r="J301" s="14">
        <v>176.21527623502936</v>
      </c>
      <c r="K301" s="14">
        <v>174.88446810711753</v>
      </c>
      <c r="L301" s="14">
        <v>172.92205612168371</v>
      </c>
      <c r="M301" s="14">
        <v>170.33344031170901</v>
      </c>
      <c r="N301" s="14">
        <v>164.95220744582215</v>
      </c>
      <c r="O301" s="14">
        <v>161.86738860528737</v>
      </c>
      <c r="P301" s="14">
        <v>159.93447680002615</v>
      </c>
      <c r="Q301" s="14">
        <v>156.34565488129152</v>
      </c>
      <c r="R301" s="15">
        <v>152.47263122679456</v>
      </c>
      <c r="S301" s="14">
        <v>144.2232808438759</v>
      </c>
      <c r="T301" s="14">
        <v>143.5774768996275</v>
      </c>
      <c r="U301" s="14">
        <v>143.93557908673728</v>
      </c>
      <c r="V301" s="14">
        <v>148.04860420704372</v>
      </c>
      <c r="W301" s="14">
        <v>153.99484052368962</v>
      </c>
      <c r="X301" s="14">
        <v>161.67728744424443</v>
      </c>
      <c r="Y301" s="14">
        <v>170.39624069526238</v>
      </c>
      <c r="Z301" s="14">
        <v>169.67983631982156</v>
      </c>
      <c r="AA301" s="14">
        <v>176.21527623502936</v>
      </c>
      <c r="AB301" s="14">
        <v>174.88446810711753</v>
      </c>
      <c r="AC301" s="14">
        <v>172.92205612168371</v>
      </c>
      <c r="AD301" s="14">
        <v>170.33344031170901</v>
      </c>
      <c r="AE301" s="14">
        <v>164.95220744582215</v>
      </c>
      <c r="AF301" s="14">
        <v>161.86738860528737</v>
      </c>
      <c r="AG301" s="14">
        <v>159.93447680002615</v>
      </c>
      <c r="AH301" s="14">
        <v>156.34565488129152</v>
      </c>
      <c r="AI301" s="15">
        <v>152.47263122679456</v>
      </c>
      <c r="AJ301" s="14">
        <v>142.46597011109861</v>
      </c>
      <c r="AK301" s="14">
        <v>145.74989016764434</v>
      </c>
      <c r="AL301" s="14">
        <v>143.93557908673728</v>
      </c>
      <c r="AM301" s="14">
        <v>148.04860420704372</v>
      </c>
      <c r="AN301" s="14">
        <v>153.99484052368962</v>
      </c>
      <c r="AO301" s="14">
        <v>161.67728744424443</v>
      </c>
      <c r="AP301" s="14">
        <v>170.39624069526238</v>
      </c>
      <c r="AQ301" s="14">
        <v>169.67983631982156</v>
      </c>
      <c r="AR301" s="14">
        <v>156.34565488129152</v>
      </c>
      <c r="AS301" s="14">
        <v>152.47263122679456</v>
      </c>
    </row>
    <row r="302" spans="1:45" x14ac:dyDescent="0.35">
      <c r="A302" s="16">
        <v>8521.5199140000004</v>
      </c>
      <c r="B302" s="14">
        <v>145.64698953917886</v>
      </c>
      <c r="C302" s="14">
        <v>143.57057685748555</v>
      </c>
      <c r="D302" s="14">
        <v>143.92897904642723</v>
      </c>
      <c r="E302" s="14">
        <v>148.02900408733552</v>
      </c>
      <c r="F302" s="14">
        <v>153.95654028977097</v>
      </c>
      <c r="G302" s="14">
        <v>161.61388705702589</v>
      </c>
      <c r="H302" s="14">
        <v>170.30604014436247</v>
      </c>
      <c r="I302" s="14">
        <v>169.58513574143768</v>
      </c>
      <c r="J302" s="14">
        <v>176.11127559984556</v>
      </c>
      <c r="K302" s="14">
        <v>174.79246754522347</v>
      </c>
      <c r="L302" s="14">
        <v>172.84285563796655</v>
      </c>
      <c r="M302" s="14">
        <v>170.25603983898529</v>
      </c>
      <c r="N302" s="14">
        <v>164.8753069761523</v>
      </c>
      <c r="O302" s="14">
        <v>161.79118813989263</v>
      </c>
      <c r="P302" s="14">
        <v>159.85687632608048</v>
      </c>
      <c r="Q302" s="14">
        <v>156.27175442994408</v>
      </c>
      <c r="R302" s="15">
        <v>152.40143079193768</v>
      </c>
      <c r="S302" s="14">
        <v>144.22268084021144</v>
      </c>
      <c r="T302" s="14">
        <v>143.57057685748555</v>
      </c>
      <c r="U302" s="14">
        <v>143.92897904642723</v>
      </c>
      <c r="V302" s="14">
        <v>148.02900408733552</v>
      </c>
      <c r="W302" s="14">
        <v>153.95654028977097</v>
      </c>
      <c r="X302" s="14">
        <v>161.61388705702589</v>
      </c>
      <c r="Y302" s="14">
        <v>170.30604014436247</v>
      </c>
      <c r="Z302" s="14">
        <v>169.58513574143768</v>
      </c>
      <c r="AA302" s="14">
        <v>176.11127559984556</v>
      </c>
      <c r="AB302" s="14">
        <v>174.79246754522347</v>
      </c>
      <c r="AC302" s="14">
        <v>172.84285563796655</v>
      </c>
      <c r="AD302" s="14">
        <v>170.25603983898529</v>
      </c>
      <c r="AE302" s="14">
        <v>164.8753069761523</v>
      </c>
      <c r="AF302" s="14">
        <v>161.79118813989263</v>
      </c>
      <c r="AG302" s="14">
        <v>159.85687632608048</v>
      </c>
      <c r="AH302" s="14">
        <v>156.27175442994408</v>
      </c>
      <c r="AI302" s="15">
        <v>152.40143079193768</v>
      </c>
      <c r="AJ302" s="14">
        <v>142.46527010682277</v>
      </c>
      <c r="AK302" s="14">
        <v>145.74919016336924</v>
      </c>
      <c r="AL302" s="14">
        <v>143.92897904642723</v>
      </c>
      <c r="AM302" s="14">
        <v>148.02900408733552</v>
      </c>
      <c r="AN302" s="14">
        <v>153.95654028977097</v>
      </c>
      <c r="AO302" s="14">
        <v>161.61388705702589</v>
      </c>
      <c r="AP302" s="14">
        <v>170.30604014436247</v>
      </c>
      <c r="AQ302" s="14">
        <v>169.58513574143768</v>
      </c>
      <c r="AR302" s="14">
        <v>156.27175442994408</v>
      </c>
      <c r="AS302" s="14">
        <v>152.40143079193768</v>
      </c>
    </row>
    <row r="303" spans="1:45" x14ac:dyDescent="0.35">
      <c r="A303" s="16">
        <v>8544.2290380000013</v>
      </c>
      <c r="B303" s="14">
        <v>145.62588941030981</v>
      </c>
      <c r="C303" s="14">
        <v>143.54497670113247</v>
      </c>
      <c r="D303" s="14">
        <v>143.90347889068548</v>
      </c>
      <c r="E303" s="14">
        <v>147.99380387235064</v>
      </c>
      <c r="F303" s="14">
        <v>153.90743998989089</v>
      </c>
      <c r="G303" s="14">
        <v>161.54568664049214</v>
      </c>
      <c r="H303" s="14">
        <v>170.21783960567731</v>
      </c>
      <c r="I303" s="14">
        <v>169.4937351832088</v>
      </c>
      <c r="J303" s="14">
        <v>176.01297499947469</v>
      </c>
      <c r="K303" s="14">
        <v>174.70336700104193</v>
      </c>
      <c r="L303" s="14">
        <v>172.76365515424936</v>
      </c>
      <c r="M303" s="14">
        <v>170.17833936442972</v>
      </c>
      <c r="N303" s="14">
        <v>164.7980065040399</v>
      </c>
      <c r="O303" s="14">
        <v>161.7143876708341</v>
      </c>
      <c r="P303" s="14">
        <v>159.77907585091421</v>
      </c>
      <c r="Q303" s="14">
        <v>156.19675397187905</v>
      </c>
      <c r="R303" s="15">
        <v>152.32873034791925</v>
      </c>
      <c r="S303" s="14">
        <v>144.20228071561746</v>
      </c>
      <c r="T303" s="14">
        <v>143.54497670113247</v>
      </c>
      <c r="U303" s="14">
        <v>143.90347889068548</v>
      </c>
      <c r="V303" s="14">
        <v>147.99380387235064</v>
      </c>
      <c r="W303" s="14">
        <v>153.90743998989089</v>
      </c>
      <c r="X303" s="14">
        <v>161.54568664049214</v>
      </c>
      <c r="Y303" s="14">
        <v>170.21783960567731</v>
      </c>
      <c r="Z303" s="14">
        <v>169.4937351832088</v>
      </c>
      <c r="AA303" s="14">
        <v>176.01297499947469</v>
      </c>
      <c r="AB303" s="14">
        <v>174.70336700104193</v>
      </c>
      <c r="AC303" s="14">
        <v>172.76365515424936</v>
      </c>
      <c r="AD303" s="14">
        <v>170.17833936442972</v>
      </c>
      <c r="AE303" s="14">
        <v>164.7980065040399</v>
      </c>
      <c r="AF303" s="14">
        <v>161.7143876708341</v>
      </c>
      <c r="AG303" s="14">
        <v>159.77907585091421</v>
      </c>
      <c r="AH303" s="14">
        <v>156.19675397187905</v>
      </c>
      <c r="AI303" s="15">
        <v>152.32873034791925</v>
      </c>
      <c r="AJ303" s="14">
        <v>142.44516998406144</v>
      </c>
      <c r="AK303" s="14">
        <v>145.72809003450013</v>
      </c>
      <c r="AL303" s="14">
        <v>143.90347889068548</v>
      </c>
      <c r="AM303" s="14">
        <v>147.99380387235064</v>
      </c>
      <c r="AN303" s="14">
        <v>153.90743998989089</v>
      </c>
      <c r="AO303" s="14">
        <v>161.54568664049214</v>
      </c>
      <c r="AP303" s="14">
        <v>170.21783960567731</v>
      </c>
      <c r="AQ303" s="14">
        <v>169.4937351832088</v>
      </c>
      <c r="AR303" s="14">
        <v>156.19675397187905</v>
      </c>
      <c r="AS303" s="14">
        <v>152.32873034791925</v>
      </c>
    </row>
    <row r="304" spans="1:45" x14ac:dyDescent="0.35">
      <c r="A304" s="16">
        <v>8574.633600000001</v>
      </c>
      <c r="B304" s="14">
        <v>145.61488934312638</v>
      </c>
      <c r="C304" s="14">
        <v>143.52777659608293</v>
      </c>
      <c r="D304" s="14">
        <v>143.88657878746778</v>
      </c>
      <c r="E304" s="14">
        <v>147.96390368973485</v>
      </c>
      <c r="F304" s="14">
        <v>153.85873969245333</v>
      </c>
      <c r="G304" s="14">
        <v>161.47168618853408</v>
      </c>
      <c r="H304" s="14">
        <v>170.11713899064853</v>
      </c>
      <c r="I304" s="14">
        <v>169.38863454130666</v>
      </c>
      <c r="J304" s="14">
        <v>175.89817429832945</v>
      </c>
      <c r="K304" s="14">
        <v>174.60066637379771</v>
      </c>
      <c r="L304" s="14">
        <v>172.67415460762459</v>
      </c>
      <c r="M304" s="14">
        <v>170.09093883063096</v>
      </c>
      <c r="N304" s="14">
        <v>164.71100597268372</v>
      </c>
      <c r="O304" s="14">
        <v>161.62808714375302</v>
      </c>
      <c r="P304" s="14">
        <v>159.69147531589422</v>
      </c>
      <c r="Q304" s="14">
        <v>156.11285345945657</v>
      </c>
      <c r="R304" s="15">
        <v>152.24762985259795</v>
      </c>
      <c r="S304" s="14">
        <v>144.19168065087797</v>
      </c>
      <c r="T304" s="14">
        <v>143.52777659608293</v>
      </c>
      <c r="U304" s="14">
        <v>143.88657878746778</v>
      </c>
      <c r="V304" s="14">
        <v>147.96390368973485</v>
      </c>
      <c r="W304" s="14">
        <v>153.85873969245333</v>
      </c>
      <c r="X304" s="14">
        <v>161.47168618853408</v>
      </c>
      <c r="Y304" s="14">
        <v>170.11713899064853</v>
      </c>
      <c r="Z304" s="14">
        <v>169.38863454130666</v>
      </c>
      <c r="AA304" s="14">
        <v>175.89817429832945</v>
      </c>
      <c r="AB304" s="14">
        <v>174.60066637379771</v>
      </c>
      <c r="AC304" s="14">
        <v>172.67415460762459</v>
      </c>
      <c r="AD304" s="14">
        <v>170.09093883063096</v>
      </c>
      <c r="AE304" s="14">
        <v>164.71100597268372</v>
      </c>
      <c r="AF304" s="14">
        <v>161.62808714375302</v>
      </c>
      <c r="AG304" s="14">
        <v>159.69147531589422</v>
      </c>
      <c r="AH304" s="14">
        <v>156.11285345945657</v>
      </c>
      <c r="AI304" s="15">
        <v>152.24762985259795</v>
      </c>
      <c r="AJ304" s="14">
        <v>142.43456991932192</v>
      </c>
      <c r="AK304" s="14">
        <v>145.71708996731743</v>
      </c>
      <c r="AL304" s="14">
        <v>143.88657878746778</v>
      </c>
      <c r="AM304" s="14">
        <v>147.96390368973485</v>
      </c>
      <c r="AN304" s="14">
        <v>153.85873969245333</v>
      </c>
      <c r="AO304" s="14">
        <v>161.47168618853408</v>
      </c>
      <c r="AP304" s="14">
        <v>170.11713899064853</v>
      </c>
      <c r="AQ304" s="14">
        <v>169.38863454130666</v>
      </c>
      <c r="AR304" s="14">
        <v>156.11285345945657</v>
      </c>
      <c r="AS304" s="14">
        <v>152.24762985259795</v>
      </c>
    </row>
    <row r="305" spans="1:45" x14ac:dyDescent="0.35">
      <c r="A305" s="16">
        <v>8612.7335999999996</v>
      </c>
      <c r="B305" s="14">
        <v>145.61388933701934</v>
      </c>
      <c r="C305" s="14">
        <v>143.51927654416878</v>
      </c>
      <c r="D305" s="14">
        <v>143.87807873555366</v>
      </c>
      <c r="E305" s="14">
        <v>147.93920353887884</v>
      </c>
      <c r="F305" s="14">
        <v>153.81063939868091</v>
      </c>
      <c r="G305" s="14">
        <v>161.39198570176305</v>
      </c>
      <c r="H305" s="14">
        <v>170.00453830293927</v>
      </c>
      <c r="I305" s="14">
        <v>169.26983381573123</v>
      </c>
      <c r="J305" s="14">
        <v>175.767073497631</v>
      </c>
      <c r="K305" s="14">
        <v>174.48426566288023</v>
      </c>
      <c r="L305" s="14">
        <v>172.57435399809219</v>
      </c>
      <c r="M305" s="14">
        <v>169.99373823697849</v>
      </c>
      <c r="N305" s="14">
        <v>164.61440538269571</v>
      </c>
      <c r="O305" s="14">
        <v>161.53228655865075</v>
      </c>
      <c r="P305" s="14">
        <v>159.59397472040914</v>
      </c>
      <c r="Q305" s="14">
        <v>156.0200528926768</v>
      </c>
      <c r="R305" s="15">
        <v>152.15822930658379</v>
      </c>
      <c r="S305" s="14">
        <v>144.1907806453809</v>
      </c>
      <c r="T305" s="14">
        <v>143.51927654416878</v>
      </c>
      <c r="U305" s="14">
        <v>143.87807873555366</v>
      </c>
      <c r="V305" s="14">
        <v>147.93920353887884</v>
      </c>
      <c r="W305" s="14">
        <v>153.81063939868091</v>
      </c>
      <c r="X305" s="14">
        <v>161.39198570176305</v>
      </c>
      <c r="Y305" s="14">
        <v>170.00453830293927</v>
      </c>
      <c r="Z305" s="14">
        <v>169.26983381573123</v>
      </c>
      <c r="AA305" s="14">
        <v>175.767073497631</v>
      </c>
      <c r="AB305" s="14">
        <v>174.48426566288023</v>
      </c>
      <c r="AC305" s="14">
        <v>172.57435399809219</v>
      </c>
      <c r="AD305" s="14">
        <v>169.99373823697849</v>
      </c>
      <c r="AE305" s="14">
        <v>164.61440538269571</v>
      </c>
      <c r="AF305" s="14">
        <v>161.53228655865075</v>
      </c>
      <c r="AG305" s="14">
        <v>159.59397472040914</v>
      </c>
      <c r="AH305" s="14">
        <v>156.0200528926768</v>
      </c>
      <c r="AI305" s="15">
        <v>152.15822930658379</v>
      </c>
      <c r="AJ305" s="14">
        <v>142.43356991321423</v>
      </c>
      <c r="AK305" s="14">
        <v>145.71608996120972</v>
      </c>
      <c r="AL305" s="14">
        <v>143.87807873555366</v>
      </c>
      <c r="AM305" s="14">
        <v>147.93920353887884</v>
      </c>
      <c r="AN305" s="14">
        <v>153.81063939868091</v>
      </c>
      <c r="AO305" s="14">
        <v>161.39198570176305</v>
      </c>
      <c r="AP305" s="14">
        <v>170.00453830293927</v>
      </c>
      <c r="AQ305" s="14">
        <v>169.26983381573123</v>
      </c>
      <c r="AR305" s="14">
        <v>156.0200528926768</v>
      </c>
      <c r="AS305" s="14">
        <v>152.15822930658379</v>
      </c>
    </row>
    <row r="306" spans="1:45" x14ac:dyDescent="0.35">
      <c r="A306" s="16">
        <v>8650.8335999999999</v>
      </c>
      <c r="B306" s="14">
        <v>145.61908936877848</v>
      </c>
      <c r="C306" s="14">
        <v>143.51697653012147</v>
      </c>
      <c r="D306" s="14">
        <v>143.87587872211699</v>
      </c>
      <c r="E306" s="14">
        <v>147.9208034265003</v>
      </c>
      <c r="F306" s="14">
        <v>153.76863914216403</v>
      </c>
      <c r="G306" s="14">
        <v>161.31838525224822</v>
      </c>
      <c r="H306" s="14">
        <v>169.89853765554074</v>
      </c>
      <c r="I306" s="14">
        <v>169.15713312741133</v>
      </c>
      <c r="J306" s="14">
        <v>175.64177273235617</v>
      </c>
      <c r="K306" s="14">
        <v>174.37366498738641</v>
      </c>
      <c r="L306" s="14">
        <v>172.48025342337277</v>
      </c>
      <c r="M306" s="14">
        <v>169.90243767936022</v>
      </c>
      <c r="N306" s="14">
        <v>164.52370482874196</v>
      </c>
      <c r="O306" s="14">
        <v>161.44238600958343</v>
      </c>
      <c r="P306" s="14">
        <v>159.50237416095834</v>
      </c>
      <c r="Q306" s="14">
        <v>155.93305236132056</v>
      </c>
      <c r="R306" s="15">
        <v>152.07462879599396</v>
      </c>
      <c r="S306" s="14">
        <v>144.19578067591874</v>
      </c>
      <c r="T306" s="14">
        <v>143.51697653012147</v>
      </c>
      <c r="U306" s="14">
        <v>143.87587872211699</v>
      </c>
      <c r="V306" s="14">
        <v>147.9208034265003</v>
      </c>
      <c r="W306" s="14">
        <v>153.76863914216403</v>
      </c>
      <c r="X306" s="14">
        <v>161.31838525224822</v>
      </c>
      <c r="Y306" s="14">
        <v>169.89853765554074</v>
      </c>
      <c r="Z306" s="14">
        <v>169.15713312741133</v>
      </c>
      <c r="AA306" s="14">
        <v>175.64177273235617</v>
      </c>
      <c r="AB306" s="14">
        <v>174.37366498738641</v>
      </c>
      <c r="AC306" s="14">
        <v>172.48025342337277</v>
      </c>
      <c r="AD306" s="14">
        <v>169.90243767936022</v>
      </c>
      <c r="AE306" s="14">
        <v>164.52370482874196</v>
      </c>
      <c r="AF306" s="14">
        <v>161.44238600958343</v>
      </c>
      <c r="AG306" s="14">
        <v>159.50237416095834</v>
      </c>
      <c r="AH306" s="14">
        <v>155.93305236132056</v>
      </c>
      <c r="AI306" s="15">
        <v>152.07462879599396</v>
      </c>
      <c r="AJ306" s="14">
        <v>142.43856994375207</v>
      </c>
      <c r="AK306" s="14">
        <v>145.72128999296885</v>
      </c>
      <c r="AL306" s="14">
        <v>143.87587872211699</v>
      </c>
      <c r="AM306" s="14">
        <v>147.9208034265003</v>
      </c>
      <c r="AN306" s="14">
        <v>153.76863914216403</v>
      </c>
      <c r="AO306" s="14">
        <v>161.31838525224822</v>
      </c>
      <c r="AP306" s="14">
        <v>169.89853765554074</v>
      </c>
      <c r="AQ306" s="14">
        <v>169.15713312741133</v>
      </c>
      <c r="AR306" s="14">
        <v>155.93305236132056</v>
      </c>
      <c r="AS306" s="14">
        <v>152.07462879599396</v>
      </c>
    </row>
    <row r="307" spans="1:45" x14ac:dyDescent="0.35">
      <c r="A307" s="16">
        <v>8688.9336000000003</v>
      </c>
      <c r="B307" s="14">
        <v>145.63038943779378</v>
      </c>
      <c r="C307" s="14">
        <v>143.52077655333034</v>
      </c>
      <c r="D307" s="14">
        <v>143.87977874593651</v>
      </c>
      <c r="E307" s="14">
        <v>147.90850335137728</v>
      </c>
      <c r="F307" s="14">
        <v>153.73293892412531</v>
      </c>
      <c r="G307" s="14">
        <v>161.2508848399896</v>
      </c>
      <c r="H307" s="14">
        <v>169.79883704661896</v>
      </c>
      <c r="I307" s="14">
        <v>169.05073247756957</v>
      </c>
      <c r="J307" s="14">
        <v>175.52237200311626</v>
      </c>
      <c r="K307" s="14">
        <v>174.26866434609485</v>
      </c>
      <c r="L307" s="14">
        <v>172.39185288346633</v>
      </c>
      <c r="M307" s="14">
        <v>169.81713715838686</v>
      </c>
      <c r="N307" s="14">
        <v>164.43890431082244</v>
      </c>
      <c r="O307" s="14">
        <v>161.35838549655037</v>
      </c>
      <c r="P307" s="14">
        <v>159.41667363754243</v>
      </c>
      <c r="Q307" s="14">
        <v>155.85205186660994</v>
      </c>
      <c r="R307" s="15">
        <v>151.99682832082701</v>
      </c>
      <c r="S307" s="14">
        <v>144.20678074310146</v>
      </c>
      <c r="T307" s="14">
        <v>143.52077655333034</v>
      </c>
      <c r="U307" s="14">
        <v>143.87977874593651</v>
      </c>
      <c r="V307" s="14">
        <v>147.90850335137728</v>
      </c>
      <c r="W307" s="14">
        <v>153.73293892412531</v>
      </c>
      <c r="X307" s="14">
        <v>161.2508848399896</v>
      </c>
      <c r="Y307" s="14">
        <v>169.79883704661896</v>
      </c>
      <c r="Z307" s="14">
        <v>169.05073247756957</v>
      </c>
      <c r="AA307" s="14">
        <v>175.52237200311626</v>
      </c>
      <c r="AB307" s="14">
        <v>174.26866434609485</v>
      </c>
      <c r="AC307" s="14">
        <v>172.39185288346633</v>
      </c>
      <c r="AD307" s="14">
        <v>169.81713715838686</v>
      </c>
      <c r="AE307" s="14">
        <v>164.43890431082244</v>
      </c>
      <c r="AF307" s="14">
        <v>161.35838549655037</v>
      </c>
      <c r="AG307" s="14">
        <v>159.41667363754243</v>
      </c>
      <c r="AH307" s="14">
        <v>155.85205186660994</v>
      </c>
      <c r="AI307" s="15">
        <v>151.99682832082701</v>
      </c>
      <c r="AJ307" s="14">
        <v>142.44947001032418</v>
      </c>
      <c r="AK307" s="14">
        <v>145.73259006198415</v>
      </c>
      <c r="AL307" s="14">
        <v>143.87977874593651</v>
      </c>
      <c r="AM307" s="14">
        <v>147.90850335137728</v>
      </c>
      <c r="AN307" s="14">
        <v>153.73293892412531</v>
      </c>
      <c r="AO307" s="14">
        <v>161.2508848399896</v>
      </c>
      <c r="AP307" s="14">
        <v>169.79883704661896</v>
      </c>
      <c r="AQ307" s="14">
        <v>169.05073247756957</v>
      </c>
      <c r="AR307" s="14">
        <v>155.85205186660994</v>
      </c>
      <c r="AS307" s="14">
        <v>151.99682832082701</v>
      </c>
    </row>
    <row r="308" spans="1:45" x14ac:dyDescent="0.35">
      <c r="A308" s="16">
        <v>8727.0336000000007</v>
      </c>
      <c r="B308" s="14">
        <v>145.65198956971673</v>
      </c>
      <c r="C308" s="14">
        <v>143.53497664005747</v>
      </c>
      <c r="D308" s="14">
        <v>143.89387883205299</v>
      </c>
      <c r="E308" s="14">
        <v>147.90650333916255</v>
      </c>
      <c r="F308" s="14">
        <v>153.70743876838287</v>
      </c>
      <c r="G308" s="14">
        <v>161.1937844912492</v>
      </c>
      <c r="H308" s="14">
        <v>169.70973650243741</v>
      </c>
      <c r="I308" s="14">
        <v>168.9545318900241</v>
      </c>
      <c r="J308" s="14">
        <v>175.41287133434074</v>
      </c>
      <c r="K308" s="14">
        <v>174.1734637646571</v>
      </c>
      <c r="L308" s="14">
        <v>172.31335240402495</v>
      </c>
      <c r="M308" s="14">
        <v>169.74163669726795</v>
      </c>
      <c r="N308" s="14">
        <v>164.36400385336799</v>
      </c>
      <c r="O308" s="14">
        <v>161.28438504459231</v>
      </c>
      <c r="P308" s="14">
        <v>159.34087317459088</v>
      </c>
      <c r="Q308" s="14">
        <v>155.78075143114245</v>
      </c>
      <c r="R308" s="15">
        <v>151.92882790551451</v>
      </c>
      <c r="S308" s="14">
        <v>144.22778087135993</v>
      </c>
      <c r="T308" s="14">
        <v>143.53497664005747</v>
      </c>
      <c r="U308" s="14">
        <v>143.89387883205299</v>
      </c>
      <c r="V308" s="14">
        <v>147.90650333916255</v>
      </c>
      <c r="W308" s="14">
        <v>153.70743876838287</v>
      </c>
      <c r="X308" s="14">
        <v>161.1937844912492</v>
      </c>
      <c r="Y308" s="14">
        <v>169.70973650243741</v>
      </c>
      <c r="Z308" s="14">
        <v>168.9545318900241</v>
      </c>
      <c r="AA308" s="14">
        <v>175.41287133434074</v>
      </c>
      <c r="AB308" s="14">
        <v>174.1734637646571</v>
      </c>
      <c r="AC308" s="14">
        <v>172.31335240402495</v>
      </c>
      <c r="AD308" s="14">
        <v>169.74163669726795</v>
      </c>
      <c r="AE308" s="14">
        <v>164.36400385336799</v>
      </c>
      <c r="AF308" s="14">
        <v>161.28438504459231</v>
      </c>
      <c r="AG308" s="14">
        <v>159.34087317459088</v>
      </c>
      <c r="AH308" s="14">
        <v>155.78075143114245</v>
      </c>
      <c r="AI308" s="15">
        <v>151.92882790551451</v>
      </c>
      <c r="AJ308" s="14">
        <v>142.47017013675003</v>
      </c>
      <c r="AK308" s="14">
        <v>145.75419019390708</v>
      </c>
      <c r="AL308" s="14">
        <v>143.89387883205299</v>
      </c>
      <c r="AM308" s="14">
        <v>147.90650333916255</v>
      </c>
      <c r="AN308" s="14">
        <v>153.70743876838287</v>
      </c>
      <c r="AO308" s="14">
        <v>161.1937844912492</v>
      </c>
      <c r="AP308" s="14">
        <v>169.70973650243741</v>
      </c>
      <c r="AQ308" s="14">
        <v>168.9545318900241</v>
      </c>
      <c r="AR308" s="14">
        <v>155.78075143114245</v>
      </c>
      <c r="AS308" s="14">
        <v>151.92882790551451</v>
      </c>
    </row>
    <row r="309" spans="1:45" x14ac:dyDescent="0.35">
      <c r="A309" s="16">
        <v>8765.1336000000301</v>
      </c>
      <c r="B309" s="14">
        <v>145.68388976454659</v>
      </c>
      <c r="C309" s="14">
        <v>143.55937678908086</v>
      </c>
      <c r="D309" s="14">
        <v>143.91827898107638</v>
      </c>
      <c r="E309" s="14">
        <v>147.9147033892441</v>
      </c>
      <c r="F309" s="14">
        <v>153.69223867554803</v>
      </c>
      <c r="G309" s="14">
        <v>161.14688420480579</v>
      </c>
      <c r="H309" s="14">
        <v>169.63123602299535</v>
      </c>
      <c r="I309" s="14">
        <v>168.86873136599758</v>
      </c>
      <c r="J309" s="14">
        <v>175.31347072725157</v>
      </c>
      <c r="K309" s="14">
        <v>174.0880632430738</v>
      </c>
      <c r="L309" s="14">
        <v>172.24465198443667</v>
      </c>
      <c r="M309" s="14">
        <v>169.6760362966134</v>
      </c>
      <c r="N309" s="14">
        <v>164.29900345637796</v>
      </c>
      <c r="O309" s="14">
        <v>161.22018465248803</v>
      </c>
      <c r="P309" s="14">
        <v>159.27487277149314</v>
      </c>
      <c r="Q309" s="14">
        <v>155.71945105675064</v>
      </c>
      <c r="R309" s="15">
        <v>151.87052754944514</v>
      </c>
      <c r="S309" s="14">
        <v>144.25868106008275</v>
      </c>
      <c r="T309" s="14">
        <v>143.55937678908086</v>
      </c>
      <c r="U309" s="14">
        <v>143.91827898107638</v>
      </c>
      <c r="V309" s="14">
        <v>147.9147033892441</v>
      </c>
      <c r="W309" s="14">
        <v>153.69223867554803</v>
      </c>
      <c r="X309" s="14">
        <v>161.14688420480579</v>
      </c>
      <c r="Y309" s="14">
        <v>169.63123602299535</v>
      </c>
      <c r="Z309" s="14">
        <v>168.86873136599758</v>
      </c>
      <c r="AA309" s="14">
        <v>175.31347072725157</v>
      </c>
      <c r="AB309" s="14">
        <v>174.0880632430738</v>
      </c>
      <c r="AC309" s="14">
        <v>172.24465198443667</v>
      </c>
      <c r="AD309" s="14">
        <v>169.6760362966134</v>
      </c>
      <c r="AE309" s="14">
        <v>164.29900345637796</v>
      </c>
      <c r="AF309" s="14">
        <v>161.22018465248803</v>
      </c>
      <c r="AG309" s="14">
        <v>159.27487277149314</v>
      </c>
      <c r="AH309" s="14">
        <v>155.71945105675064</v>
      </c>
      <c r="AI309" s="15">
        <v>151.87052754944514</v>
      </c>
      <c r="AJ309" s="14">
        <v>142.50077032364095</v>
      </c>
      <c r="AK309" s="14">
        <v>145.78609038873762</v>
      </c>
      <c r="AL309" s="14">
        <v>143.91827898107638</v>
      </c>
      <c r="AM309" s="14">
        <v>147.9147033892441</v>
      </c>
      <c r="AN309" s="14">
        <v>153.69223867554803</v>
      </c>
      <c r="AO309" s="14">
        <v>161.14688420480579</v>
      </c>
      <c r="AP309" s="14">
        <v>169.63123602299535</v>
      </c>
      <c r="AQ309" s="14">
        <v>168.86873136599758</v>
      </c>
      <c r="AR309" s="14">
        <v>155.71945105675064</v>
      </c>
      <c r="AS309" s="14">
        <v>151.87052754944514</v>
      </c>
    </row>
    <row r="310" spans="1:45" x14ac:dyDescent="0.35">
      <c r="A310" s="16">
        <v>8803.2335999999996</v>
      </c>
      <c r="B310" s="14">
        <v>145.71248993922276</v>
      </c>
      <c r="C310" s="14">
        <v>143.58037691733929</v>
      </c>
      <c r="D310" s="14">
        <v>143.93937910994546</v>
      </c>
      <c r="E310" s="14">
        <v>147.91970341978194</v>
      </c>
      <c r="F310" s="14">
        <v>153.67373856255887</v>
      </c>
      <c r="G310" s="14">
        <v>161.09668389820735</v>
      </c>
      <c r="H310" s="14">
        <v>169.54963552462021</v>
      </c>
      <c r="I310" s="14">
        <v>168.77963082181532</v>
      </c>
      <c r="J310" s="14">
        <v>175.2104700981748</v>
      </c>
      <c r="K310" s="14">
        <v>173.99906269950287</v>
      </c>
      <c r="L310" s="14">
        <v>172.17245154347276</v>
      </c>
      <c r="M310" s="14">
        <v>169.60723587641445</v>
      </c>
      <c r="N310" s="14">
        <v>164.2308030398442</v>
      </c>
      <c r="O310" s="14">
        <v>161.15268424022938</v>
      </c>
      <c r="P310" s="14">
        <v>159.20577234946231</v>
      </c>
      <c r="Q310" s="14">
        <v>155.65485066220378</v>
      </c>
      <c r="R310" s="15">
        <v>151.80912717444204</v>
      </c>
      <c r="S310" s="14">
        <v>144.28638122926188</v>
      </c>
      <c r="T310" s="14">
        <v>143.58037691733929</v>
      </c>
      <c r="U310" s="14">
        <v>143.93937910994546</v>
      </c>
      <c r="V310" s="14">
        <v>147.91970341978194</v>
      </c>
      <c r="W310" s="14">
        <v>153.67373856255887</v>
      </c>
      <c r="X310" s="14">
        <v>161.09668389820735</v>
      </c>
      <c r="Y310" s="14">
        <v>169.54963552462021</v>
      </c>
      <c r="Z310" s="14">
        <v>168.77963082181532</v>
      </c>
      <c r="AA310" s="14">
        <v>175.2104700981748</v>
      </c>
      <c r="AB310" s="14">
        <v>173.99906269950287</v>
      </c>
      <c r="AC310" s="14">
        <v>172.17245154347276</v>
      </c>
      <c r="AD310" s="14">
        <v>169.60723587641445</v>
      </c>
      <c r="AE310" s="14">
        <v>164.2308030398442</v>
      </c>
      <c r="AF310" s="14">
        <v>161.15268424022938</v>
      </c>
      <c r="AG310" s="14">
        <v>159.20577234946231</v>
      </c>
      <c r="AH310" s="14">
        <v>155.65485066220378</v>
      </c>
      <c r="AI310" s="15">
        <v>151.80912717444204</v>
      </c>
      <c r="AJ310" s="14">
        <v>142.52817049098746</v>
      </c>
      <c r="AK310" s="14">
        <v>145.81469056341314</v>
      </c>
      <c r="AL310" s="14">
        <v>143.93937910994546</v>
      </c>
      <c r="AM310" s="14">
        <v>147.91970341978194</v>
      </c>
      <c r="AN310" s="14">
        <v>153.67373856255887</v>
      </c>
      <c r="AO310" s="14">
        <v>161.09668389820735</v>
      </c>
      <c r="AP310" s="14">
        <v>169.54963552462021</v>
      </c>
      <c r="AQ310" s="14">
        <v>168.77963082181532</v>
      </c>
      <c r="AR310" s="14">
        <v>155.65485066220378</v>
      </c>
      <c r="AS310" s="14">
        <v>151.80912717444204</v>
      </c>
    </row>
    <row r="311" spans="1:45" x14ac:dyDescent="0.35">
      <c r="A311" s="16">
        <v>8841.3336000000309</v>
      </c>
      <c r="B311" s="14">
        <v>145.73769009313261</v>
      </c>
      <c r="C311" s="14">
        <v>143.59787702422145</v>
      </c>
      <c r="D311" s="14">
        <v>143.9571792186602</v>
      </c>
      <c r="E311" s="14">
        <v>147.92130342955346</v>
      </c>
      <c r="F311" s="14">
        <v>153.65193842941466</v>
      </c>
      <c r="G311" s="14">
        <v>161.04308357084324</v>
      </c>
      <c r="H311" s="14">
        <v>169.46503500792267</v>
      </c>
      <c r="I311" s="14">
        <v>168.6871302568681</v>
      </c>
      <c r="J311" s="14">
        <v>175.10376944650045</v>
      </c>
      <c r="K311" s="14">
        <v>173.90636213333369</v>
      </c>
      <c r="L311" s="14">
        <v>172.09675108113188</v>
      </c>
      <c r="M311" s="14">
        <v>169.53503543544986</v>
      </c>
      <c r="N311" s="14">
        <v>164.15930260315471</v>
      </c>
      <c r="O311" s="14">
        <v>161.08208380903699</v>
      </c>
      <c r="P311" s="14">
        <v>159.13337190727646</v>
      </c>
      <c r="Q311" s="14">
        <v>155.58705024811258</v>
      </c>
      <c r="R311" s="15">
        <v>151.74452677989521</v>
      </c>
      <c r="S311" s="14">
        <v>144.31078137828595</v>
      </c>
      <c r="T311" s="14">
        <v>143.59787702422145</v>
      </c>
      <c r="U311" s="14">
        <v>143.9571792186602</v>
      </c>
      <c r="V311" s="14">
        <v>147.92130342955346</v>
      </c>
      <c r="W311" s="14">
        <v>153.65193842941466</v>
      </c>
      <c r="X311" s="14">
        <v>161.04308357084324</v>
      </c>
      <c r="Y311" s="14">
        <v>169.46503500792267</v>
      </c>
      <c r="Z311" s="14">
        <v>168.6871302568681</v>
      </c>
      <c r="AA311" s="14">
        <v>175.10376944650045</v>
      </c>
      <c r="AB311" s="14">
        <v>173.90636213333369</v>
      </c>
      <c r="AC311" s="14">
        <v>172.09675108113188</v>
      </c>
      <c r="AD311" s="14">
        <v>169.53503543544986</v>
      </c>
      <c r="AE311" s="14">
        <v>164.15930260315471</v>
      </c>
      <c r="AF311" s="14">
        <v>161.08208380903699</v>
      </c>
      <c r="AG311" s="14">
        <v>159.13337190727646</v>
      </c>
      <c r="AH311" s="14">
        <v>155.58705024811258</v>
      </c>
      <c r="AI311" s="15">
        <v>151.74452677989521</v>
      </c>
      <c r="AJ311" s="14">
        <v>142.55237063878963</v>
      </c>
      <c r="AK311" s="14">
        <v>145.83989071732299</v>
      </c>
      <c r="AL311" s="14">
        <v>143.9571792186602</v>
      </c>
      <c r="AM311" s="14">
        <v>147.92130342955346</v>
      </c>
      <c r="AN311" s="14">
        <v>153.65193842941466</v>
      </c>
      <c r="AO311" s="14">
        <v>161.04308357084324</v>
      </c>
      <c r="AP311" s="14">
        <v>169.46503500792267</v>
      </c>
      <c r="AQ311" s="14">
        <v>168.6871302568681</v>
      </c>
      <c r="AR311" s="14">
        <v>155.58705024811258</v>
      </c>
      <c r="AS311" s="14">
        <v>151.74452677989521</v>
      </c>
    </row>
    <row r="312" spans="1:45" x14ac:dyDescent="0.35">
      <c r="A312" s="16">
        <v>8879.4336000000003</v>
      </c>
      <c r="B312" s="14">
        <v>145.75509019940347</v>
      </c>
      <c r="C312" s="14">
        <v>143.60757708346458</v>
      </c>
      <c r="D312" s="14">
        <v>143.96697927851395</v>
      </c>
      <c r="E312" s="14">
        <v>147.91510339168732</v>
      </c>
      <c r="F312" s="14">
        <v>153.62223824802081</v>
      </c>
      <c r="G312" s="14">
        <v>160.98168319584011</v>
      </c>
      <c r="H312" s="14">
        <v>169.37273444419671</v>
      </c>
      <c r="I312" s="14">
        <v>168.58682964428183</v>
      </c>
      <c r="J312" s="14">
        <v>174.98896874535518</v>
      </c>
      <c r="K312" s="14">
        <v>173.80546151708293</v>
      </c>
      <c r="L312" s="14">
        <v>172.01315057054134</v>
      </c>
      <c r="M312" s="14">
        <v>169.45523494806889</v>
      </c>
      <c r="N312" s="14">
        <v>164.08020212004885</v>
      </c>
      <c r="O312" s="14">
        <v>161.00368333020626</v>
      </c>
      <c r="P312" s="14">
        <v>159.05327141806291</v>
      </c>
      <c r="Q312" s="14">
        <v>155.51164978760426</v>
      </c>
      <c r="R312" s="15">
        <v>151.67252634015256</v>
      </c>
      <c r="S312" s="14">
        <v>144.32768148150294</v>
      </c>
      <c r="T312" s="14">
        <v>143.60757708346458</v>
      </c>
      <c r="U312" s="14">
        <v>143.96697927851395</v>
      </c>
      <c r="V312" s="14">
        <v>147.91510339168732</v>
      </c>
      <c r="W312" s="14">
        <v>153.62223824802081</v>
      </c>
      <c r="X312" s="14">
        <v>160.98168319584011</v>
      </c>
      <c r="Y312" s="14">
        <v>169.37273444419671</v>
      </c>
      <c r="Z312" s="14">
        <v>168.58682964428183</v>
      </c>
      <c r="AA312" s="14">
        <v>174.98896874535518</v>
      </c>
      <c r="AB312" s="14">
        <v>173.80546151708293</v>
      </c>
      <c r="AC312" s="14">
        <v>172.01315057054134</v>
      </c>
      <c r="AD312" s="14">
        <v>169.45523494806889</v>
      </c>
      <c r="AE312" s="14">
        <v>164.08020212004885</v>
      </c>
      <c r="AF312" s="14">
        <v>161.00368333020626</v>
      </c>
      <c r="AG312" s="14">
        <v>159.05327141806291</v>
      </c>
      <c r="AH312" s="14">
        <v>155.51164978760426</v>
      </c>
      <c r="AI312" s="15">
        <v>151.67252634015256</v>
      </c>
      <c r="AJ312" s="14">
        <v>142.56907074078535</v>
      </c>
      <c r="AK312" s="14">
        <v>145.85729082359379</v>
      </c>
      <c r="AL312" s="14">
        <v>143.96697927851395</v>
      </c>
      <c r="AM312" s="14">
        <v>147.91510339168732</v>
      </c>
      <c r="AN312" s="14">
        <v>153.62223824802081</v>
      </c>
      <c r="AO312" s="14">
        <v>160.98168319584011</v>
      </c>
      <c r="AP312" s="14">
        <v>169.37273444419671</v>
      </c>
      <c r="AQ312" s="14">
        <v>168.58682964428183</v>
      </c>
      <c r="AR312" s="14">
        <v>155.51164978760426</v>
      </c>
      <c r="AS312" s="14">
        <v>151.67252634015256</v>
      </c>
    </row>
    <row r="313" spans="1:45" x14ac:dyDescent="0.35">
      <c r="A313" s="16">
        <v>8917.5336000000298</v>
      </c>
      <c r="B313" s="14">
        <v>145.76459025742531</v>
      </c>
      <c r="C313" s="14">
        <v>143.60937709445804</v>
      </c>
      <c r="D313" s="14">
        <v>143.9689792907287</v>
      </c>
      <c r="E313" s="14">
        <v>147.90090330496022</v>
      </c>
      <c r="F313" s="14">
        <v>153.58463801837732</v>
      </c>
      <c r="G313" s="14">
        <v>160.91228277197737</v>
      </c>
      <c r="H313" s="14">
        <v>169.27273383344306</v>
      </c>
      <c r="I313" s="14">
        <v>168.47862898344661</v>
      </c>
      <c r="J313" s="14">
        <v>174.86596799412766</v>
      </c>
      <c r="K313" s="14">
        <v>173.69646085136128</v>
      </c>
      <c r="L313" s="14">
        <v>171.92175001231246</v>
      </c>
      <c r="M313" s="14">
        <v>169.36773441365884</v>
      </c>
      <c r="N313" s="14">
        <v>163.99330158930331</v>
      </c>
      <c r="O313" s="14">
        <v>160.91778280556838</v>
      </c>
      <c r="P313" s="14">
        <v>158.96567088304221</v>
      </c>
      <c r="Q313" s="14">
        <v>155.42864928067823</v>
      </c>
      <c r="R313" s="15">
        <v>151.59292585399217</v>
      </c>
      <c r="S313" s="14">
        <v>144.33688153769219</v>
      </c>
      <c r="T313" s="14">
        <v>143.60937709445804</v>
      </c>
      <c r="U313" s="14">
        <v>143.9689792907287</v>
      </c>
      <c r="V313" s="14">
        <v>147.90090330496022</v>
      </c>
      <c r="W313" s="14">
        <v>153.58463801837732</v>
      </c>
      <c r="X313" s="14">
        <v>160.91228277197737</v>
      </c>
      <c r="Y313" s="14">
        <v>169.27273383344306</v>
      </c>
      <c r="Z313" s="14">
        <v>168.47862898344661</v>
      </c>
      <c r="AA313" s="14">
        <v>174.86596799412766</v>
      </c>
      <c r="AB313" s="14">
        <v>173.69646085136128</v>
      </c>
      <c r="AC313" s="14">
        <v>171.92175001231246</v>
      </c>
      <c r="AD313" s="14">
        <v>169.36773441365884</v>
      </c>
      <c r="AE313" s="14">
        <v>163.99330158930331</v>
      </c>
      <c r="AF313" s="14">
        <v>160.91778280556838</v>
      </c>
      <c r="AG313" s="14">
        <v>158.96567088304221</v>
      </c>
      <c r="AH313" s="14">
        <v>155.42864928067823</v>
      </c>
      <c r="AI313" s="15">
        <v>151.59292585399217</v>
      </c>
      <c r="AJ313" s="14">
        <v>142.57817079636396</v>
      </c>
      <c r="AK313" s="14">
        <v>145.86679088161566</v>
      </c>
      <c r="AL313" s="14">
        <v>143.9689792907287</v>
      </c>
      <c r="AM313" s="14">
        <v>147.90090330496022</v>
      </c>
      <c r="AN313" s="14">
        <v>153.58463801837732</v>
      </c>
      <c r="AO313" s="14">
        <v>160.91228277197737</v>
      </c>
      <c r="AP313" s="14">
        <v>169.27273383344306</v>
      </c>
      <c r="AQ313" s="14">
        <v>168.47862898344661</v>
      </c>
      <c r="AR313" s="14">
        <v>155.42864928067823</v>
      </c>
      <c r="AS313" s="14">
        <v>151.59292585399217</v>
      </c>
    </row>
    <row r="314" spans="1:45" x14ac:dyDescent="0.35">
      <c r="A314" s="16">
        <v>8955.6336000000301</v>
      </c>
      <c r="B314" s="14">
        <v>145.7988904669138</v>
      </c>
      <c r="C314" s="14">
        <v>143.63607725752945</v>
      </c>
      <c r="D314" s="14">
        <v>143.99577945441072</v>
      </c>
      <c r="E314" s="14">
        <v>147.91160337031033</v>
      </c>
      <c r="F314" s="14">
        <v>153.57183794020042</v>
      </c>
      <c r="G314" s="14">
        <v>160.86778250019191</v>
      </c>
      <c r="H314" s="14">
        <v>169.19793337659922</v>
      </c>
      <c r="I314" s="14">
        <v>168.39532847468868</v>
      </c>
      <c r="J314" s="14">
        <v>174.76756739314621</v>
      </c>
      <c r="K314" s="14">
        <v>173.61166033344176</v>
      </c>
      <c r="L314" s="14">
        <v>171.85424960005386</v>
      </c>
      <c r="M314" s="14">
        <v>169.30433402644101</v>
      </c>
      <c r="N314" s="14">
        <v>163.93060120636056</v>
      </c>
      <c r="O314" s="14">
        <v>160.8557824269015</v>
      </c>
      <c r="P314" s="14">
        <v>158.90187049338113</v>
      </c>
      <c r="Q314" s="14">
        <v>155.36964892033373</v>
      </c>
      <c r="R314" s="15">
        <v>151.53692551197014</v>
      </c>
      <c r="S314" s="14">
        <v>144.37028174168429</v>
      </c>
      <c r="T314" s="14">
        <v>143.63607725752945</v>
      </c>
      <c r="U314" s="14">
        <v>143.99577945441072</v>
      </c>
      <c r="V314" s="14">
        <v>147.91160337031033</v>
      </c>
      <c r="W314" s="14">
        <v>153.57183794020042</v>
      </c>
      <c r="X314" s="14">
        <v>160.86778250019191</v>
      </c>
      <c r="Y314" s="14">
        <v>169.19793337659922</v>
      </c>
      <c r="Z314" s="14">
        <v>168.39532847468868</v>
      </c>
      <c r="AA314" s="14">
        <v>174.76756739314621</v>
      </c>
      <c r="AB314" s="14">
        <v>173.61166033344176</v>
      </c>
      <c r="AC314" s="14">
        <v>171.85424960005386</v>
      </c>
      <c r="AD314" s="14">
        <v>169.30433402644101</v>
      </c>
      <c r="AE314" s="14">
        <v>163.93060120636056</v>
      </c>
      <c r="AF314" s="14">
        <v>160.8557824269015</v>
      </c>
      <c r="AG314" s="14">
        <v>158.90187049338113</v>
      </c>
      <c r="AH314" s="14">
        <v>155.36964892033373</v>
      </c>
      <c r="AI314" s="15">
        <v>151.53692551197014</v>
      </c>
      <c r="AJ314" s="14">
        <v>142.61117099791284</v>
      </c>
      <c r="AK314" s="14">
        <v>145.90109109110415</v>
      </c>
      <c r="AL314" s="14">
        <v>143.99577945441072</v>
      </c>
      <c r="AM314" s="14">
        <v>147.91160337031033</v>
      </c>
      <c r="AN314" s="14">
        <v>153.57183794020042</v>
      </c>
      <c r="AO314" s="14">
        <v>160.86778250019191</v>
      </c>
      <c r="AP314" s="14">
        <v>169.19793337659922</v>
      </c>
      <c r="AQ314" s="14">
        <v>168.39532847468868</v>
      </c>
      <c r="AR314" s="14">
        <v>155.36964892033373</v>
      </c>
      <c r="AS314" s="14">
        <v>151.53692551197014</v>
      </c>
    </row>
    <row r="315" spans="1:45" x14ac:dyDescent="0.35">
      <c r="A315" s="16">
        <v>8993.7336000000305</v>
      </c>
      <c r="B315" s="14">
        <v>145.85819082909089</v>
      </c>
      <c r="C315" s="14">
        <v>143.68767757267815</v>
      </c>
      <c r="D315" s="14">
        <v>144.04747977017072</v>
      </c>
      <c r="E315" s="14">
        <v>147.94720358773912</v>
      </c>
      <c r="F315" s="14">
        <v>153.58403801471283</v>
      </c>
      <c r="G315" s="14">
        <v>160.84818238048371</v>
      </c>
      <c r="H315" s="14">
        <v>169.14823307305397</v>
      </c>
      <c r="I315" s="14">
        <v>168.33702811861863</v>
      </c>
      <c r="J315" s="14">
        <v>174.6936669417988</v>
      </c>
      <c r="K315" s="14">
        <v>173.55125996454706</v>
      </c>
      <c r="L315" s="14">
        <v>171.81074933437606</v>
      </c>
      <c r="M315" s="14">
        <v>169.26483378519339</v>
      </c>
      <c r="N315" s="14">
        <v>163.89170096877746</v>
      </c>
      <c r="O315" s="14">
        <v>160.81778219481475</v>
      </c>
      <c r="P315" s="14">
        <v>158.8620702503016</v>
      </c>
      <c r="Q315" s="14">
        <v>155.33434870473755</v>
      </c>
      <c r="R315" s="15">
        <v>151.50462531469708</v>
      </c>
      <c r="S315" s="14">
        <v>144.42768209225659</v>
      </c>
      <c r="T315" s="14">
        <v>143.68767757267815</v>
      </c>
      <c r="U315" s="14">
        <v>144.04747977017072</v>
      </c>
      <c r="V315" s="14">
        <v>147.94720358773912</v>
      </c>
      <c r="W315" s="14">
        <v>153.58403801471283</v>
      </c>
      <c r="X315" s="14">
        <v>160.84818238048371</v>
      </c>
      <c r="Y315" s="14">
        <v>169.14823307305397</v>
      </c>
      <c r="Z315" s="14">
        <v>168.33702811861863</v>
      </c>
      <c r="AA315" s="14">
        <v>174.6936669417988</v>
      </c>
      <c r="AB315" s="14">
        <v>173.55125996454706</v>
      </c>
      <c r="AC315" s="14">
        <v>171.81074933437606</v>
      </c>
      <c r="AD315" s="14">
        <v>169.26483378519339</v>
      </c>
      <c r="AE315" s="14">
        <v>163.89170096877746</v>
      </c>
      <c r="AF315" s="14">
        <v>160.81778219481475</v>
      </c>
      <c r="AG315" s="14">
        <v>158.8620702503016</v>
      </c>
      <c r="AH315" s="14">
        <v>155.33434870473755</v>
      </c>
      <c r="AI315" s="15">
        <v>151.50462531469708</v>
      </c>
      <c r="AJ315" s="14">
        <v>142.66807134543197</v>
      </c>
      <c r="AK315" s="14">
        <v>145.9603914532812</v>
      </c>
      <c r="AL315" s="14">
        <v>144.04747977017072</v>
      </c>
      <c r="AM315" s="14">
        <v>147.94720358773912</v>
      </c>
      <c r="AN315" s="14">
        <v>153.58403801471283</v>
      </c>
      <c r="AO315" s="14">
        <v>160.84818238048371</v>
      </c>
      <c r="AP315" s="14">
        <v>169.14823307305397</v>
      </c>
      <c r="AQ315" s="14">
        <v>168.33702811861863</v>
      </c>
      <c r="AR315" s="14">
        <v>155.33434870473755</v>
      </c>
      <c r="AS315" s="14">
        <v>151.50462531469708</v>
      </c>
    </row>
    <row r="316" spans="1:45" x14ac:dyDescent="0.35">
      <c r="A316" s="16">
        <v>9031.8336000000309</v>
      </c>
      <c r="B316" s="14">
        <v>145.92279122363769</v>
      </c>
      <c r="C316" s="14">
        <v>143.74457792019726</v>
      </c>
      <c r="D316" s="14">
        <v>144.10458011891112</v>
      </c>
      <c r="E316" s="14">
        <v>147.98820383814828</v>
      </c>
      <c r="F316" s="14">
        <v>153.6016381222056</v>
      </c>
      <c r="G316" s="14">
        <v>160.83398229375658</v>
      </c>
      <c r="H316" s="14">
        <v>169.10413280371174</v>
      </c>
      <c r="I316" s="14">
        <v>168.28412779553034</v>
      </c>
      <c r="J316" s="14">
        <v>174.62496652221117</v>
      </c>
      <c r="K316" s="14">
        <v>173.4958596261888</v>
      </c>
      <c r="L316" s="14">
        <v>171.77224909923549</v>
      </c>
      <c r="M316" s="14">
        <v>169.23063357631554</v>
      </c>
      <c r="N316" s="14">
        <v>163.8581007635641</v>
      </c>
      <c r="O316" s="14">
        <v>160.78498199448714</v>
      </c>
      <c r="P316" s="14">
        <v>158.82757003959119</v>
      </c>
      <c r="Q316" s="14">
        <v>155.30424852090044</v>
      </c>
      <c r="R316" s="15">
        <v>151.4774251485718</v>
      </c>
      <c r="S316" s="14">
        <v>144.4902824745887</v>
      </c>
      <c r="T316" s="14">
        <v>143.74457792019726</v>
      </c>
      <c r="U316" s="14">
        <v>144.10458011891112</v>
      </c>
      <c r="V316" s="14">
        <v>147.98820383814828</v>
      </c>
      <c r="W316" s="14">
        <v>153.6016381222056</v>
      </c>
      <c r="X316" s="14">
        <v>160.83398229375658</v>
      </c>
      <c r="Y316" s="14">
        <v>169.10413280371174</v>
      </c>
      <c r="Z316" s="14">
        <v>168.28412779553034</v>
      </c>
      <c r="AA316" s="14">
        <v>174.62496652221117</v>
      </c>
      <c r="AB316" s="14">
        <v>173.4958596261888</v>
      </c>
      <c r="AC316" s="14">
        <v>171.77224909923549</v>
      </c>
      <c r="AD316" s="14">
        <v>169.23063357631554</v>
      </c>
      <c r="AE316" s="14">
        <v>163.8581007635641</v>
      </c>
      <c r="AF316" s="14">
        <v>160.78498199448714</v>
      </c>
      <c r="AG316" s="14">
        <v>158.82757003959119</v>
      </c>
      <c r="AH316" s="14">
        <v>155.30424852090044</v>
      </c>
      <c r="AI316" s="15">
        <v>151.4774251485718</v>
      </c>
      <c r="AJ316" s="14">
        <v>142.73007172409959</v>
      </c>
      <c r="AK316" s="14">
        <v>146.02499184782806</v>
      </c>
      <c r="AL316" s="14">
        <v>144.10458011891112</v>
      </c>
      <c r="AM316" s="14">
        <v>147.98820383814828</v>
      </c>
      <c r="AN316" s="14">
        <v>153.6016381222056</v>
      </c>
      <c r="AO316" s="14">
        <v>160.83398229375658</v>
      </c>
      <c r="AP316" s="14">
        <v>169.10413280371174</v>
      </c>
      <c r="AQ316" s="14">
        <v>168.28412779553034</v>
      </c>
      <c r="AR316" s="14">
        <v>155.30424852090044</v>
      </c>
      <c r="AS316" s="14">
        <v>151.4774251485718</v>
      </c>
    </row>
    <row r="317" spans="1:45" x14ac:dyDescent="0.35">
      <c r="A317" s="16">
        <v>9069.9336000000312</v>
      </c>
      <c r="B317" s="14">
        <v>145.99289165177626</v>
      </c>
      <c r="C317" s="14">
        <v>143.80687830069678</v>
      </c>
      <c r="D317" s="14">
        <v>144.16708050063261</v>
      </c>
      <c r="E317" s="14">
        <v>148.0347041221485</v>
      </c>
      <c r="F317" s="14">
        <v>153.6247382632894</v>
      </c>
      <c r="G317" s="14">
        <v>160.82518224001055</v>
      </c>
      <c r="H317" s="14">
        <v>169.06563256857183</v>
      </c>
      <c r="I317" s="14">
        <v>168.23672750603308</v>
      </c>
      <c r="J317" s="14">
        <v>174.5612661331607</v>
      </c>
      <c r="K317" s="14">
        <v>173.4454593183691</v>
      </c>
      <c r="L317" s="14">
        <v>171.73874889463278</v>
      </c>
      <c r="M317" s="14">
        <v>169.20153339858618</v>
      </c>
      <c r="N317" s="14">
        <v>163.82970059011052</v>
      </c>
      <c r="O317" s="14">
        <v>160.75738182591931</v>
      </c>
      <c r="P317" s="14">
        <v>158.79806985941931</v>
      </c>
      <c r="Q317" s="14">
        <v>155.27944836943385</v>
      </c>
      <c r="R317" s="15">
        <v>151.455325013595</v>
      </c>
      <c r="S317" s="14">
        <v>144.55818288929055</v>
      </c>
      <c r="T317" s="14">
        <v>143.80687830069678</v>
      </c>
      <c r="U317" s="14">
        <v>144.16708050063261</v>
      </c>
      <c r="V317" s="14">
        <v>148.0347041221485</v>
      </c>
      <c r="W317" s="14">
        <v>153.6247382632894</v>
      </c>
      <c r="X317" s="14">
        <v>160.82518224001055</v>
      </c>
      <c r="Y317" s="14">
        <v>169.06563256857183</v>
      </c>
      <c r="Z317" s="14">
        <v>168.23672750603308</v>
      </c>
      <c r="AA317" s="14">
        <v>174.5612661331607</v>
      </c>
      <c r="AB317" s="14">
        <v>173.4454593183691</v>
      </c>
      <c r="AC317" s="14">
        <v>171.73874889463278</v>
      </c>
      <c r="AD317" s="14">
        <v>169.20153339858618</v>
      </c>
      <c r="AE317" s="14">
        <v>163.82970059011052</v>
      </c>
      <c r="AF317" s="14">
        <v>160.75738182591931</v>
      </c>
      <c r="AG317" s="14">
        <v>158.79806985941931</v>
      </c>
      <c r="AH317" s="14">
        <v>155.27944836943385</v>
      </c>
      <c r="AI317" s="15">
        <v>151.455325013595</v>
      </c>
      <c r="AJ317" s="14">
        <v>142.79727213452563</v>
      </c>
      <c r="AK317" s="14">
        <v>146.09509227596658</v>
      </c>
      <c r="AL317" s="14">
        <v>144.16708050063261</v>
      </c>
      <c r="AM317" s="14">
        <v>148.0347041221485</v>
      </c>
      <c r="AN317" s="14">
        <v>153.6247382632894</v>
      </c>
      <c r="AO317" s="14">
        <v>160.82518224001055</v>
      </c>
      <c r="AP317" s="14">
        <v>169.06563256857183</v>
      </c>
      <c r="AQ317" s="14">
        <v>168.23672750603308</v>
      </c>
      <c r="AR317" s="14">
        <v>155.27944836943385</v>
      </c>
      <c r="AS317" s="14">
        <v>151.455325013595</v>
      </c>
    </row>
    <row r="318" spans="1:45" x14ac:dyDescent="0.35">
      <c r="A318" s="16">
        <v>9108.0336000000298</v>
      </c>
      <c r="B318" s="14">
        <v>146.08599222038796</v>
      </c>
      <c r="C318" s="14">
        <v>143.89227882228079</v>
      </c>
      <c r="D318" s="14">
        <v>144.25268102343784</v>
      </c>
      <c r="E318" s="14">
        <v>148.10410454601188</v>
      </c>
      <c r="F318" s="14">
        <v>153.67083854484707</v>
      </c>
      <c r="G318" s="14">
        <v>160.83958232795894</v>
      </c>
      <c r="H318" s="14">
        <v>169.0505324763476</v>
      </c>
      <c r="I318" s="14">
        <v>168.21242735761959</v>
      </c>
      <c r="J318" s="14">
        <v>174.52046588397351</v>
      </c>
      <c r="K318" s="14">
        <v>173.41765914857933</v>
      </c>
      <c r="L318" s="14">
        <v>171.72754882622877</v>
      </c>
      <c r="M318" s="14">
        <v>169.19483335766549</v>
      </c>
      <c r="N318" s="14">
        <v>163.82360055285432</v>
      </c>
      <c r="O318" s="14">
        <v>160.75198179293892</v>
      </c>
      <c r="P318" s="14">
        <v>158.79096981605537</v>
      </c>
      <c r="Q318" s="14">
        <v>155.27664835233267</v>
      </c>
      <c r="R318" s="15">
        <v>151.45522501298439</v>
      </c>
      <c r="S318" s="14">
        <v>144.64838344019046</v>
      </c>
      <c r="T318" s="14">
        <v>143.89227882228079</v>
      </c>
      <c r="U318" s="14">
        <v>144.25268102343784</v>
      </c>
      <c r="V318" s="14">
        <v>148.10410454601188</v>
      </c>
      <c r="W318" s="14">
        <v>153.67083854484707</v>
      </c>
      <c r="X318" s="14">
        <v>160.83958232795894</v>
      </c>
      <c r="Y318" s="14">
        <v>169.0505324763476</v>
      </c>
      <c r="Z318" s="14">
        <v>168.21242735761959</v>
      </c>
      <c r="AA318" s="14">
        <v>174.52046588397351</v>
      </c>
      <c r="AB318" s="14">
        <v>173.41765914857933</v>
      </c>
      <c r="AC318" s="14">
        <v>171.72754882622877</v>
      </c>
      <c r="AD318" s="14">
        <v>169.19483335766549</v>
      </c>
      <c r="AE318" s="14">
        <v>163.82360055285432</v>
      </c>
      <c r="AF318" s="14">
        <v>160.75198179293892</v>
      </c>
      <c r="AG318" s="14">
        <v>158.79096981605537</v>
      </c>
      <c r="AH318" s="14">
        <v>155.27664835233267</v>
      </c>
      <c r="AI318" s="15">
        <v>151.45522501298439</v>
      </c>
      <c r="AJ318" s="14">
        <v>142.88667268053979</v>
      </c>
      <c r="AK318" s="14">
        <v>146.18819284457828</v>
      </c>
      <c r="AL318" s="14">
        <v>144.25268102343784</v>
      </c>
      <c r="AM318" s="14">
        <v>148.10410454601188</v>
      </c>
      <c r="AN318" s="14">
        <v>153.67083854484707</v>
      </c>
      <c r="AO318" s="14">
        <v>160.83958232795894</v>
      </c>
      <c r="AP318" s="14">
        <v>169.0505324763476</v>
      </c>
      <c r="AQ318" s="14">
        <v>168.21242735761959</v>
      </c>
      <c r="AR318" s="14">
        <v>155.27664835233267</v>
      </c>
      <c r="AS318" s="14">
        <v>151.45522501298439</v>
      </c>
    </row>
    <row r="319" spans="1:45" x14ac:dyDescent="0.35">
      <c r="A319" s="16">
        <v>9146.1336000000301</v>
      </c>
      <c r="B319" s="14">
        <v>146.2022929306948</v>
      </c>
      <c r="C319" s="14">
        <v>144.00077948494857</v>
      </c>
      <c r="D319" s="14">
        <v>144.36138168732694</v>
      </c>
      <c r="E319" s="14">
        <v>148.19670511156977</v>
      </c>
      <c r="F319" s="14">
        <v>153.74013896809916</v>
      </c>
      <c r="G319" s="14">
        <v>160.87708255699181</v>
      </c>
      <c r="H319" s="14">
        <v>169.05863252581855</v>
      </c>
      <c r="I319" s="14">
        <v>168.21132735090126</v>
      </c>
      <c r="J319" s="14">
        <v>174.50246577403749</v>
      </c>
      <c r="K319" s="14">
        <v>173.4124591168202</v>
      </c>
      <c r="L319" s="14">
        <v>171.73864889402213</v>
      </c>
      <c r="M319" s="14">
        <v>169.21033345233221</v>
      </c>
      <c r="N319" s="14">
        <v>163.8398006517962</v>
      </c>
      <c r="O319" s="14">
        <v>160.76898189676658</v>
      </c>
      <c r="P319" s="14">
        <v>158.80596990766824</v>
      </c>
      <c r="Q319" s="14">
        <v>155.29604847081893</v>
      </c>
      <c r="R319" s="15">
        <v>151.47692514551795</v>
      </c>
      <c r="S319" s="14">
        <v>144.76098412789975</v>
      </c>
      <c r="T319" s="14">
        <v>144.00077948494857</v>
      </c>
      <c r="U319" s="14">
        <v>144.36138168732694</v>
      </c>
      <c r="V319" s="14">
        <v>148.19670511156977</v>
      </c>
      <c r="W319" s="14">
        <v>153.74013896809916</v>
      </c>
      <c r="X319" s="14">
        <v>160.87708255699181</v>
      </c>
      <c r="Y319" s="14">
        <v>169.05863252581855</v>
      </c>
      <c r="Z319" s="14">
        <v>168.21132735090126</v>
      </c>
      <c r="AA319" s="14">
        <v>174.50246577403749</v>
      </c>
      <c r="AB319" s="14">
        <v>173.4124591168202</v>
      </c>
      <c r="AC319" s="14">
        <v>171.73864889402213</v>
      </c>
      <c r="AD319" s="14">
        <v>169.21033345233221</v>
      </c>
      <c r="AE319" s="14">
        <v>163.8398006517962</v>
      </c>
      <c r="AF319" s="14">
        <v>160.76898189676658</v>
      </c>
      <c r="AG319" s="14">
        <v>158.80596990766824</v>
      </c>
      <c r="AH319" s="14">
        <v>155.29604847081893</v>
      </c>
      <c r="AI319" s="15">
        <v>151.47692514551795</v>
      </c>
      <c r="AJ319" s="14">
        <v>142.99817336153072</v>
      </c>
      <c r="AK319" s="14">
        <v>146.30449355488514</v>
      </c>
      <c r="AL319" s="14">
        <v>144.36138168732694</v>
      </c>
      <c r="AM319" s="14">
        <v>148.19670511156977</v>
      </c>
      <c r="AN319" s="14">
        <v>153.74013896809916</v>
      </c>
      <c r="AO319" s="14">
        <v>160.87708255699181</v>
      </c>
      <c r="AP319" s="14">
        <v>169.05863252581855</v>
      </c>
      <c r="AQ319" s="14">
        <v>168.21132735090126</v>
      </c>
      <c r="AR319" s="14">
        <v>155.29604847081893</v>
      </c>
      <c r="AS319" s="14">
        <v>151.47692514551795</v>
      </c>
    </row>
    <row r="320" spans="1:45" x14ac:dyDescent="0.35">
      <c r="A320" s="16">
        <v>9184.2336000000305</v>
      </c>
      <c r="B320" s="14">
        <v>146.28679344678173</v>
      </c>
      <c r="C320" s="14">
        <v>144.07747995339719</v>
      </c>
      <c r="D320" s="14">
        <v>144.43818215638618</v>
      </c>
      <c r="E320" s="14">
        <v>148.25750548290841</v>
      </c>
      <c r="F320" s="14">
        <v>153.77753919652142</v>
      </c>
      <c r="G320" s="14">
        <v>160.88268259119417</v>
      </c>
      <c r="H320" s="14">
        <v>169.03523238290214</v>
      </c>
      <c r="I320" s="14">
        <v>168.17842714996303</v>
      </c>
      <c r="J320" s="14">
        <v>174.45236546804969</v>
      </c>
      <c r="K320" s="14">
        <v>173.37535889023053</v>
      </c>
      <c r="L320" s="14">
        <v>171.71844877065013</v>
      </c>
      <c r="M320" s="14">
        <v>169.19503335888675</v>
      </c>
      <c r="N320" s="14">
        <v>163.82520056262652</v>
      </c>
      <c r="O320" s="14">
        <v>160.75518181248265</v>
      </c>
      <c r="P320" s="14">
        <v>158.79036981239088</v>
      </c>
      <c r="Q320" s="14">
        <v>155.28494840302486</v>
      </c>
      <c r="R320" s="15">
        <v>151.46852509421444</v>
      </c>
      <c r="S320" s="14">
        <v>144.84278462749612</v>
      </c>
      <c r="T320" s="14">
        <v>144.07747995339719</v>
      </c>
      <c r="U320" s="14">
        <v>144.43818215638618</v>
      </c>
      <c r="V320" s="14">
        <v>148.25750548290841</v>
      </c>
      <c r="W320" s="14">
        <v>153.77753919652142</v>
      </c>
      <c r="X320" s="14">
        <v>160.88268259119417</v>
      </c>
      <c r="Y320" s="14">
        <v>169.03523238290214</v>
      </c>
      <c r="Z320" s="14">
        <v>168.17842714996303</v>
      </c>
      <c r="AA320" s="14">
        <v>174.45236546804969</v>
      </c>
      <c r="AB320" s="14">
        <v>173.37535889023053</v>
      </c>
      <c r="AC320" s="14">
        <v>171.71844877065013</v>
      </c>
      <c r="AD320" s="14">
        <v>169.19503335888675</v>
      </c>
      <c r="AE320" s="14">
        <v>163.82520056262652</v>
      </c>
      <c r="AF320" s="14">
        <v>160.75518181248265</v>
      </c>
      <c r="AG320" s="14">
        <v>158.79036981239088</v>
      </c>
      <c r="AH320" s="14">
        <v>155.28494840302486</v>
      </c>
      <c r="AI320" s="15">
        <v>151.46852509421444</v>
      </c>
      <c r="AJ320" s="14">
        <v>143.07927385685198</v>
      </c>
      <c r="AK320" s="14">
        <v>146.38899407097205</v>
      </c>
      <c r="AL320" s="14">
        <v>144.43818215638618</v>
      </c>
      <c r="AM320" s="14">
        <v>148.25750548290841</v>
      </c>
      <c r="AN320" s="14">
        <v>153.77753919652142</v>
      </c>
      <c r="AO320" s="14">
        <v>160.88268259119417</v>
      </c>
      <c r="AP320" s="14">
        <v>169.03523238290214</v>
      </c>
      <c r="AQ320" s="14">
        <v>168.17842714996303</v>
      </c>
      <c r="AR320" s="14">
        <v>155.28494840302486</v>
      </c>
      <c r="AS320" s="14">
        <v>151.46852509421444</v>
      </c>
    </row>
    <row r="321" spans="1:45" x14ac:dyDescent="0.35">
      <c r="A321" s="16">
        <v>9222.3336000000309</v>
      </c>
      <c r="B321" s="14">
        <v>146.33949376864945</v>
      </c>
      <c r="C321" s="14">
        <v>144.12238022762517</v>
      </c>
      <c r="D321" s="14">
        <v>144.4832824318361</v>
      </c>
      <c r="E321" s="14">
        <v>148.28650566002716</v>
      </c>
      <c r="F321" s="14">
        <v>153.78313923072378</v>
      </c>
      <c r="G321" s="14">
        <v>160.85658243178722</v>
      </c>
      <c r="H321" s="14">
        <v>168.98023204698782</v>
      </c>
      <c r="I321" s="14">
        <v>168.11372675480555</v>
      </c>
      <c r="J321" s="14">
        <v>174.37006496539945</v>
      </c>
      <c r="K321" s="14">
        <v>173.30655847003231</v>
      </c>
      <c r="L321" s="14">
        <v>171.66704845672271</v>
      </c>
      <c r="M321" s="14">
        <v>169.14893307732979</v>
      </c>
      <c r="N321" s="14">
        <v>163.77980028534401</v>
      </c>
      <c r="O321" s="14">
        <v>160.71068154069718</v>
      </c>
      <c r="P321" s="14">
        <v>158.74406952961198</v>
      </c>
      <c r="Q321" s="14">
        <v>155.24334814895121</v>
      </c>
      <c r="R321" s="15">
        <v>151.42992485846389</v>
      </c>
      <c r="S321" s="14">
        <v>144.89388493959163</v>
      </c>
      <c r="T321" s="14">
        <v>144.12238022762517</v>
      </c>
      <c r="U321" s="14">
        <v>144.4832824318361</v>
      </c>
      <c r="V321" s="14">
        <v>148.28650566002716</v>
      </c>
      <c r="W321" s="14">
        <v>153.78313923072378</v>
      </c>
      <c r="X321" s="14">
        <v>160.85658243178722</v>
      </c>
      <c r="Y321" s="14">
        <v>168.98023204698782</v>
      </c>
      <c r="Z321" s="14">
        <v>168.11372675480555</v>
      </c>
      <c r="AA321" s="14">
        <v>174.37006496539945</v>
      </c>
      <c r="AB321" s="14">
        <v>173.30655847003231</v>
      </c>
      <c r="AC321" s="14">
        <v>171.66704845672271</v>
      </c>
      <c r="AD321" s="14">
        <v>169.14893307732979</v>
      </c>
      <c r="AE321" s="14">
        <v>163.77980028534401</v>
      </c>
      <c r="AF321" s="14">
        <v>160.71068154069718</v>
      </c>
      <c r="AG321" s="14">
        <v>158.74406952961198</v>
      </c>
      <c r="AH321" s="14">
        <v>155.24334814895121</v>
      </c>
      <c r="AI321" s="15">
        <v>151.42992485846389</v>
      </c>
      <c r="AJ321" s="14">
        <v>143.12987416589365</v>
      </c>
      <c r="AK321" s="14">
        <v>146.44169439283976</v>
      </c>
      <c r="AL321" s="14">
        <v>144.4832824318361</v>
      </c>
      <c r="AM321" s="14">
        <v>148.28650566002716</v>
      </c>
      <c r="AN321" s="14">
        <v>153.78313923072378</v>
      </c>
      <c r="AO321" s="14">
        <v>160.85658243178722</v>
      </c>
      <c r="AP321" s="14">
        <v>168.98023204698782</v>
      </c>
      <c r="AQ321" s="14">
        <v>168.11372675480555</v>
      </c>
      <c r="AR321" s="14">
        <v>155.24334814895121</v>
      </c>
      <c r="AS321" s="14">
        <v>151.42992485846389</v>
      </c>
    </row>
    <row r="322" spans="1:45" x14ac:dyDescent="0.35">
      <c r="A322" s="16">
        <v>9260.4336000000312</v>
      </c>
      <c r="B322" s="14">
        <v>146.41769424625889</v>
      </c>
      <c r="C322" s="14">
        <v>144.1927806575963</v>
      </c>
      <c r="D322" s="14">
        <v>144.55388286302852</v>
      </c>
      <c r="E322" s="14">
        <v>148.34100599288763</v>
      </c>
      <c r="F322" s="14">
        <v>153.81423942066786</v>
      </c>
      <c r="G322" s="14">
        <v>160.85598242812276</v>
      </c>
      <c r="H322" s="14">
        <v>168.9509318680372</v>
      </c>
      <c r="I322" s="14">
        <v>168.07462651600116</v>
      </c>
      <c r="J322" s="14">
        <v>174.3130646172697</v>
      </c>
      <c r="K322" s="14">
        <v>173.26265820191136</v>
      </c>
      <c r="L322" s="14">
        <v>171.64024829304066</v>
      </c>
      <c r="M322" s="14">
        <v>169.12743294601748</v>
      </c>
      <c r="N322" s="14">
        <v>163.75910015891813</v>
      </c>
      <c r="O322" s="14">
        <v>160.69068141854643</v>
      </c>
      <c r="P322" s="14">
        <v>158.72236939707841</v>
      </c>
      <c r="Q322" s="14">
        <v>155.22614804390162</v>
      </c>
      <c r="R322" s="15">
        <v>151.4155247705155</v>
      </c>
      <c r="S322" s="14">
        <v>144.96978540315379</v>
      </c>
      <c r="T322" s="14">
        <v>144.1927806575963</v>
      </c>
      <c r="U322" s="14">
        <v>144.55388286302852</v>
      </c>
      <c r="V322" s="14">
        <v>148.34100599288763</v>
      </c>
      <c r="W322" s="14">
        <v>153.81423942066786</v>
      </c>
      <c r="X322" s="14">
        <v>160.85598242812276</v>
      </c>
      <c r="Y322" s="14">
        <v>168.9509318680372</v>
      </c>
      <c r="Z322" s="14">
        <v>168.07462651600116</v>
      </c>
      <c r="AA322" s="14">
        <v>174.3130646172697</v>
      </c>
      <c r="AB322" s="14">
        <v>173.26265820191136</v>
      </c>
      <c r="AC322" s="14">
        <v>171.64024829304066</v>
      </c>
      <c r="AD322" s="14">
        <v>169.12743294601748</v>
      </c>
      <c r="AE322" s="14">
        <v>163.75910015891813</v>
      </c>
      <c r="AF322" s="14">
        <v>160.69068141854643</v>
      </c>
      <c r="AG322" s="14">
        <v>158.72236939707841</v>
      </c>
      <c r="AH322" s="14">
        <v>155.22614804390162</v>
      </c>
      <c r="AI322" s="15">
        <v>151.4155247705155</v>
      </c>
      <c r="AJ322" s="14">
        <v>143.20497462456936</v>
      </c>
      <c r="AK322" s="14">
        <v>146.51989487044924</v>
      </c>
      <c r="AL322" s="14">
        <v>144.55388286302852</v>
      </c>
      <c r="AM322" s="14">
        <v>148.34100599288763</v>
      </c>
      <c r="AN322" s="14">
        <v>153.81423942066786</v>
      </c>
      <c r="AO322" s="14">
        <v>160.85598242812276</v>
      </c>
      <c r="AP322" s="14">
        <v>168.9509318680372</v>
      </c>
      <c r="AQ322" s="14">
        <v>168.07462651600116</v>
      </c>
      <c r="AR322" s="14">
        <v>155.22614804390162</v>
      </c>
      <c r="AS322" s="14">
        <v>151.4155247705155</v>
      </c>
    </row>
    <row r="323" spans="1:45" x14ac:dyDescent="0.35">
      <c r="A323" s="16">
        <v>9298.5336000000298</v>
      </c>
      <c r="B323" s="14">
        <v>146.52149488022141</v>
      </c>
      <c r="C323" s="14">
        <v>144.2887812439198</v>
      </c>
      <c r="D323" s="14">
        <v>144.64988344935202</v>
      </c>
      <c r="E323" s="14">
        <v>148.42090648087992</v>
      </c>
      <c r="F323" s="14">
        <v>153.87073976574376</v>
      </c>
      <c r="G323" s="14">
        <v>160.8808825802007</v>
      </c>
      <c r="H323" s="14">
        <v>168.94723184543892</v>
      </c>
      <c r="I323" s="14">
        <v>168.06102643293852</v>
      </c>
      <c r="J323" s="14">
        <v>174.28126442304978</v>
      </c>
      <c r="K323" s="14">
        <v>173.24375808647895</v>
      </c>
      <c r="L323" s="14">
        <v>171.63804827960396</v>
      </c>
      <c r="M323" s="14">
        <v>169.13053296495056</v>
      </c>
      <c r="N323" s="14">
        <v>163.76300018273767</v>
      </c>
      <c r="O323" s="14">
        <v>160.69538144725172</v>
      </c>
      <c r="P323" s="14">
        <v>158.72516941417956</v>
      </c>
      <c r="Q323" s="14">
        <v>155.23344808848682</v>
      </c>
      <c r="R323" s="15">
        <v>151.42542483097989</v>
      </c>
      <c r="S323" s="14">
        <v>145.07028601696129</v>
      </c>
      <c r="T323" s="14">
        <v>144.2887812439198</v>
      </c>
      <c r="U323" s="14">
        <v>144.64988344935202</v>
      </c>
      <c r="V323" s="14">
        <v>148.42090648087992</v>
      </c>
      <c r="W323" s="14">
        <v>153.87073976574376</v>
      </c>
      <c r="X323" s="14">
        <v>160.8808825802007</v>
      </c>
      <c r="Y323" s="14">
        <v>168.94723184543892</v>
      </c>
      <c r="Z323" s="14">
        <v>168.06102643293852</v>
      </c>
      <c r="AA323" s="14">
        <v>174.28126442304978</v>
      </c>
      <c r="AB323" s="14">
        <v>173.24375808647895</v>
      </c>
      <c r="AC323" s="14">
        <v>171.63804827960396</v>
      </c>
      <c r="AD323" s="14">
        <v>169.13053296495056</v>
      </c>
      <c r="AE323" s="14">
        <v>163.76300018273767</v>
      </c>
      <c r="AF323" s="14">
        <v>160.69538144725172</v>
      </c>
      <c r="AG323" s="14">
        <v>158.72516941417956</v>
      </c>
      <c r="AH323" s="14">
        <v>155.23344808848682</v>
      </c>
      <c r="AI323" s="15">
        <v>151.42542483097989</v>
      </c>
      <c r="AJ323" s="14">
        <v>143.30447523226982</v>
      </c>
      <c r="AK323" s="14">
        <v>146.62359550380114</v>
      </c>
      <c r="AL323" s="14">
        <v>144.64988344935202</v>
      </c>
      <c r="AM323" s="14">
        <v>148.42090648087992</v>
      </c>
      <c r="AN323" s="14">
        <v>153.87073976574376</v>
      </c>
      <c r="AO323" s="14">
        <v>160.8808825802007</v>
      </c>
      <c r="AP323" s="14">
        <v>168.94723184543892</v>
      </c>
      <c r="AQ323" s="14">
        <v>168.06102643293852</v>
      </c>
      <c r="AR323" s="14">
        <v>155.23344808848682</v>
      </c>
      <c r="AS323" s="14">
        <v>151.42542483097989</v>
      </c>
    </row>
    <row r="324" spans="1:45" x14ac:dyDescent="0.35">
      <c r="A324" s="16">
        <v>9328.9374000000298</v>
      </c>
      <c r="B324" s="14">
        <v>146.56649515506075</v>
      </c>
      <c r="C324" s="14">
        <v>144.32748148028168</v>
      </c>
      <c r="D324" s="14">
        <v>144.68858368571389</v>
      </c>
      <c r="E324" s="14">
        <v>148.44680663906558</v>
      </c>
      <c r="F324" s="14">
        <v>153.87773980849704</v>
      </c>
      <c r="G324" s="14">
        <v>160.86278246965406</v>
      </c>
      <c r="H324" s="14">
        <v>168.90653159686235</v>
      </c>
      <c r="I324" s="14">
        <v>168.01222613489031</v>
      </c>
      <c r="J324" s="14">
        <v>174.21766403461069</v>
      </c>
      <c r="K324" s="14">
        <v>173.19085776338997</v>
      </c>
      <c r="L324" s="14">
        <v>171.59904804141021</v>
      </c>
      <c r="M324" s="14">
        <v>169.09613275485142</v>
      </c>
      <c r="N324" s="14">
        <v>163.72929997691364</v>
      </c>
      <c r="O324" s="14">
        <v>160.66238124570353</v>
      </c>
      <c r="P324" s="14">
        <v>158.69076920407974</v>
      </c>
      <c r="Q324" s="14">
        <v>155.20274790098523</v>
      </c>
      <c r="R324" s="15">
        <v>151.39712465813628</v>
      </c>
      <c r="S324" s="14">
        <v>145.11368628202843</v>
      </c>
      <c r="T324" s="14">
        <v>144.32748148028168</v>
      </c>
      <c r="U324" s="14">
        <v>144.68858368571389</v>
      </c>
      <c r="V324" s="14">
        <v>148.44680663906558</v>
      </c>
      <c r="W324" s="14">
        <v>153.87773980849704</v>
      </c>
      <c r="X324" s="14">
        <v>160.86278246965406</v>
      </c>
      <c r="Y324" s="14">
        <v>168.90653159686235</v>
      </c>
      <c r="Z324" s="14">
        <v>168.01222613489031</v>
      </c>
      <c r="AA324" s="14">
        <v>174.21766403461069</v>
      </c>
      <c r="AB324" s="14">
        <v>173.19085776338997</v>
      </c>
      <c r="AC324" s="14">
        <v>171.59904804141021</v>
      </c>
      <c r="AD324" s="14">
        <v>169.09613275485142</v>
      </c>
      <c r="AE324" s="14">
        <v>163.72929997691364</v>
      </c>
      <c r="AF324" s="14">
        <v>160.66238124570353</v>
      </c>
      <c r="AG324" s="14">
        <v>158.69076920407974</v>
      </c>
      <c r="AH324" s="14">
        <v>155.20274790098523</v>
      </c>
      <c r="AI324" s="15">
        <v>151.39712465813628</v>
      </c>
      <c r="AJ324" s="14">
        <v>143.34757549550437</v>
      </c>
      <c r="AK324" s="14">
        <v>146.6686957792511</v>
      </c>
      <c r="AL324" s="14">
        <v>144.68858368571389</v>
      </c>
      <c r="AM324" s="14">
        <v>148.44680663906558</v>
      </c>
      <c r="AN324" s="14">
        <v>153.87773980849704</v>
      </c>
      <c r="AO324" s="14">
        <v>160.86278246965406</v>
      </c>
      <c r="AP324" s="14">
        <v>168.90653159686235</v>
      </c>
      <c r="AQ324" s="14">
        <v>168.01222613489031</v>
      </c>
      <c r="AR324" s="14">
        <v>155.20274790098523</v>
      </c>
      <c r="AS324" s="14">
        <v>151.39712465813628</v>
      </c>
    </row>
    <row r="325" spans="1:45" x14ac:dyDescent="0.35">
      <c r="A325" s="16">
        <v>9351.6450000000295</v>
      </c>
      <c r="B325" s="14">
        <v>146.55239506894426</v>
      </c>
      <c r="C325" s="14">
        <v>144.30878136607055</v>
      </c>
      <c r="D325" s="14">
        <v>144.66978357089212</v>
      </c>
      <c r="E325" s="14">
        <v>148.41840646561133</v>
      </c>
      <c r="F325" s="14">
        <v>153.83513954831565</v>
      </c>
      <c r="G325" s="14">
        <v>160.80148209526158</v>
      </c>
      <c r="H325" s="14">
        <v>168.82843111986352</v>
      </c>
      <c r="I325" s="14">
        <v>167.92802562063599</v>
      </c>
      <c r="J325" s="14">
        <v>174.12236345256227</v>
      </c>
      <c r="K325" s="14">
        <v>173.10385723203376</v>
      </c>
      <c r="L325" s="14">
        <v>171.52334757906934</v>
      </c>
      <c r="M325" s="14">
        <v>169.02433231633009</v>
      </c>
      <c r="N325" s="14">
        <v>163.6581995426674</v>
      </c>
      <c r="O325" s="14">
        <v>160.59178081451114</v>
      </c>
      <c r="P325" s="14">
        <v>158.61906876616973</v>
      </c>
      <c r="Q325" s="14">
        <v>155.13414748200827</v>
      </c>
      <c r="R325" s="15">
        <v>151.33082425320663</v>
      </c>
      <c r="S325" s="14">
        <v>145.09998619835514</v>
      </c>
      <c r="T325" s="14">
        <v>144.30878136607055</v>
      </c>
      <c r="U325" s="14">
        <v>144.66978357089212</v>
      </c>
      <c r="V325" s="14">
        <v>148.41840646561133</v>
      </c>
      <c r="W325" s="14">
        <v>153.83513954831565</v>
      </c>
      <c r="X325" s="14">
        <v>160.80148209526158</v>
      </c>
      <c r="Y325" s="14">
        <v>168.82843111986352</v>
      </c>
      <c r="Z325" s="14">
        <v>167.92802562063599</v>
      </c>
      <c r="AA325" s="14">
        <v>174.12236345256227</v>
      </c>
      <c r="AB325" s="14">
        <v>173.10385723203376</v>
      </c>
      <c r="AC325" s="14">
        <v>171.52334757906934</v>
      </c>
      <c r="AD325" s="14">
        <v>169.02433231633009</v>
      </c>
      <c r="AE325" s="14">
        <v>163.6581995426674</v>
      </c>
      <c r="AF325" s="14">
        <v>160.59178081451114</v>
      </c>
      <c r="AG325" s="14">
        <v>158.61906876616973</v>
      </c>
      <c r="AH325" s="14">
        <v>155.13414748200827</v>
      </c>
      <c r="AI325" s="15">
        <v>151.33082425320663</v>
      </c>
      <c r="AJ325" s="14">
        <v>143.33397541244173</v>
      </c>
      <c r="AK325" s="14">
        <v>146.65449569252397</v>
      </c>
      <c r="AL325" s="14">
        <v>144.66978357089212</v>
      </c>
      <c r="AM325" s="14">
        <v>148.41840646561133</v>
      </c>
      <c r="AN325" s="14">
        <v>153.83513954831565</v>
      </c>
      <c r="AO325" s="14">
        <v>160.80148209526158</v>
      </c>
      <c r="AP325" s="14">
        <v>168.82843111986352</v>
      </c>
      <c r="AQ325" s="14">
        <v>167.92802562063599</v>
      </c>
      <c r="AR325" s="14">
        <v>155.13414748200827</v>
      </c>
      <c r="AS325" s="14">
        <v>151.33082425320663</v>
      </c>
    </row>
    <row r="326" spans="1:45" x14ac:dyDescent="0.35">
      <c r="A326" s="16">
        <v>9382.0488000000296</v>
      </c>
      <c r="B326" s="14">
        <v>146.60689540180476</v>
      </c>
      <c r="C326" s="14">
        <v>144.35738166289681</v>
      </c>
      <c r="D326" s="14">
        <v>144.7181838664971</v>
      </c>
      <c r="E326" s="14">
        <v>148.45400668303944</v>
      </c>
      <c r="F326" s="14">
        <v>153.85173964970073</v>
      </c>
      <c r="G326" s="14">
        <v>160.79298204334742</v>
      </c>
      <c r="H326" s="14">
        <v>168.79723092930809</v>
      </c>
      <c r="I326" s="14">
        <v>167.88902538244156</v>
      </c>
      <c r="J326" s="14">
        <v>174.0681631215337</v>
      </c>
      <c r="K326" s="14">
        <v>173.06025696574537</v>
      </c>
      <c r="L326" s="14">
        <v>171.49354739706484</v>
      </c>
      <c r="M326" s="14">
        <v>168.9993321636415</v>
      </c>
      <c r="N326" s="14">
        <v>163.63389939425394</v>
      </c>
      <c r="O326" s="14">
        <v>160.56808066976214</v>
      </c>
      <c r="P326" s="14">
        <v>158.59406861348114</v>
      </c>
      <c r="Q326" s="14">
        <v>155.11274735130661</v>
      </c>
      <c r="R326" s="15">
        <v>151.3118241371636</v>
      </c>
      <c r="S326" s="14">
        <v>145.15278652083279</v>
      </c>
      <c r="T326" s="14">
        <v>144.35738166289681</v>
      </c>
      <c r="U326" s="14">
        <v>144.7181838664971</v>
      </c>
      <c r="V326" s="14">
        <v>148.45400668303944</v>
      </c>
      <c r="W326" s="14">
        <v>153.85173964970073</v>
      </c>
      <c r="X326" s="14">
        <v>160.79298204334742</v>
      </c>
      <c r="Y326" s="14">
        <v>168.79723092930809</v>
      </c>
      <c r="Z326" s="14">
        <v>167.88902538244156</v>
      </c>
      <c r="AA326" s="14">
        <v>174.0681631215337</v>
      </c>
      <c r="AB326" s="14">
        <v>173.06025696574537</v>
      </c>
      <c r="AC326" s="14">
        <v>171.49354739706484</v>
      </c>
      <c r="AD326" s="14">
        <v>168.9993321636415</v>
      </c>
      <c r="AE326" s="14">
        <v>163.63389939425394</v>
      </c>
      <c r="AF326" s="14">
        <v>160.56808066976214</v>
      </c>
      <c r="AG326" s="14">
        <v>158.59406861348114</v>
      </c>
      <c r="AH326" s="14">
        <v>155.11274735130661</v>
      </c>
      <c r="AI326" s="15">
        <v>151.3118241371636</v>
      </c>
      <c r="AJ326" s="14">
        <v>143.38627573186622</v>
      </c>
      <c r="AK326" s="14">
        <v>146.70899602538444</v>
      </c>
      <c r="AL326" s="14">
        <v>144.7181838664971</v>
      </c>
      <c r="AM326" s="14">
        <v>148.45400668303944</v>
      </c>
      <c r="AN326" s="14">
        <v>153.85173964970073</v>
      </c>
      <c r="AO326" s="14">
        <v>160.79298204334742</v>
      </c>
      <c r="AP326" s="14">
        <v>168.79723092930809</v>
      </c>
      <c r="AQ326" s="14">
        <v>167.88902538244156</v>
      </c>
      <c r="AR326" s="14">
        <v>155.11274735130661</v>
      </c>
      <c r="AS326" s="14">
        <v>151.3118241371636</v>
      </c>
    </row>
    <row r="327" spans="1:45" x14ac:dyDescent="0.35">
      <c r="A327" s="16">
        <v>9420.14880000003</v>
      </c>
      <c r="B327" s="14">
        <v>146.7299961536429</v>
      </c>
      <c r="C327" s="14">
        <v>144.47308236953916</v>
      </c>
      <c r="D327" s="14">
        <v>144.83358457130686</v>
      </c>
      <c r="E327" s="14">
        <v>148.55340729012858</v>
      </c>
      <c r="F327" s="14">
        <v>153.92744011204161</v>
      </c>
      <c r="G327" s="14">
        <v>160.83738231452227</v>
      </c>
      <c r="H327" s="14">
        <v>168.81353102886126</v>
      </c>
      <c r="I327" s="14">
        <v>167.89502541908709</v>
      </c>
      <c r="J327" s="14">
        <v>174.05486304030296</v>
      </c>
      <c r="K327" s="14">
        <v>173.05975696269152</v>
      </c>
      <c r="L327" s="14">
        <v>171.50944749417411</v>
      </c>
      <c r="M327" s="14">
        <v>169.02113229678636</v>
      </c>
      <c r="N327" s="14">
        <v>163.65649953228456</v>
      </c>
      <c r="O327" s="14">
        <v>160.59148081267855</v>
      </c>
      <c r="P327" s="14">
        <v>158.61556874479342</v>
      </c>
      <c r="Q327" s="14">
        <v>155.13864750949224</v>
      </c>
      <c r="R327" s="15">
        <v>151.3401243100065</v>
      </c>
      <c r="S327" s="14">
        <v>145.27218725007342</v>
      </c>
      <c r="T327" s="14">
        <v>144.47308236953916</v>
      </c>
      <c r="U327" s="14">
        <v>144.83358457130686</v>
      </c>
      <c r="V327" s="14">
        <v>148.55340729012858</v>
      </c>
      <c r="W327" s="14">
        <v>153.92744011204161</v>
      </c>
      <c r="X327" s="14">
        <v>160.83738231452227</v>
      </c>
      <c r="Y327" s="14">
        <v>168.81353102886126</v>
      </c>
      <c r="Z327" s="14">
        <v>167.89502541908709</v>
      </c>
      <c r="AA327" s="14">
        <v>174.05486304030296</v>
      </c>
      <c r="AB327" s="14">
        <v>173.05975696269152</v>
      </c>
      <c r="AC327" s="14">
        <v>171.50944749417411</v>
      </c>
      <c r="AD327" s="14">
        <v>169.02113229678636</v>
      </c>
      <c r="AE327" s="14">
        <v>163.65649953228456</v>
      </c>
      <c r="AF327" s="14">
        <v>160.59148081267855</v>
      </c>
      <c r="AG327" s="14">
        <v>158.61556874479342</v>
      </c>
      <c r="AH327" s="14">
        <v>155.13864750949224</v>
      </c>
      <c r="AI327" s="15">
        <v>151.3401243100065</v>
      </c>
      <c r="AJ327" s="14">
        <v>143.50447645377716</v>
      </c>
      <c r="AK327" s="14">
        <v>146.83209677722263</v>
      </c>
      <c r="AL327" s="14">
        <v>144.83358457130686</v>
      </c>
      <c r="AM327" s="14">
        <v>148.55340729012858</v>
      </c>
      <c r="AN327" s="14">
        <v>153.92744011204161</v>
      </c>
      <c r="AO327" s="14">
        <v>160.83738231452227</v>
      </c>
      <c r="AP327" s="14">
        <v>168.81353102886126</v>
      </c>
      <c r="AQ327" s="14">
        <v>167.89502541908709</v>
      </c>
      <c r="AR327" s="14">
        <v>155.13864750949224</v>
      </c>
      <c r="AS327" s="14">
        <v>151.3401243100065</v>
      </c>
    </row>
    <row r="328" spans="1:45" x14ac:dyDescent="0.35">
      <c r="A328" s="16">
        <v>9458.2488000000303</v>
      </c>
      <c r="B328" s="14">
        <v>146.83499679493443</v>
      </c>
      <c r="C328" s="14">
        <v>144.57098296746744</v>
      </c>
      <c r="D328" s="14">
        <v>144.93088516557069</v>
      </c>
      <c r="E328" s="14">
        <v>148.63470778667184</v>
      </c>
      <c r="F328" s="14">
        <v>153.98494046322455</v>
      </c>
      <c r="G328" s="14">
        <v>160.86368247515045</v>
      </c>
      <c r="H328" s="14">
        <v>168.81193101908909</v>
      </c>
      <c r="I328" s="14">
        <v>167.88302534579668</v>
      </c>
      <c r="J328" s="14">
        <v>174.02306284608375</v>
      </c>
      <c r="K328" s="14">
        <v>173.04105684848039</v>
      </c>
      <c r="L328" s="14">
        <v>171.50744748195936</v>
      </c>
      <c r="M328" s="14">
        <v>169.02523232182713</v>
      </c>
      <c r="N328" s="14">
        <v>163.66149956282243</v>
      </c>
      <c r="O328" s="14">
        <v>160.59728084810214</v>
      </c>
      <c r="P328" s="14">
        <v>158.61946876861225</v>
      </c>
      <c r="Q328" s="14">
        <v>155.14714756140643</v>
      </c>
      <c r="R328" s="15">
        <v>151.35122437780055</v>
      </c>
      <c r="S328" s="14">
        <v>145.37388787120989</v>
      </c>
      <c r="T328" s="14">
        <v>144.57098296746744</v>
      </c>
      <c r="U328" s="14">
        <v>144.93088516557069</v>
      </c>
      <c r="V328" s="14">
        <v>148.63470778667184</v>
      </c>
      <c r="W328" s="14">
        <v>153.98494046322455</v>
      </c>
      <c r="X328" s="14">
        <v>160.86368247515045</v>
      </c>
      <c r="Y328" s="14">
        <v>168.81193101908909</v>
      </c>
      <c r="Z328" s="14">
        <v>167.88302534579668</v>
      </c>
      <c r="AA328" s="14">
        <v>174.02306284608375</v>
      </c>
      <c r="AB328" s="14">
        <v>173.04105684848039</v>
      </c>
      <c r="AC328" s="14">
        <v>171.50744748195936</v>
      </c>
      <c r="AD328" s="14">
        <v>169.02523232182713</v>
      </c>
      <c r="AE328" s="14">
        <v>163.66149956282243</v>
      </c>
      <c r="AF328" s="14">
        <v>160.59728084810214</v>
      </c>
      <c r="AG328" s="14">
        <v>158.61946876861225</v>
      </c>
      <c r="AH328" s="14">
        <v>155.14714756140643</v>
      </c>
      <c r="AI328" s="15">
        <v>151.35122437780055</v>
      </c>
      <c r="AJ328" s="14">
        <v>143.60527706941724</v>
      </c>
      <c r="AK328" s="14">
        <v>146.93719741912474</v>
      </c>
      <c r="AL328" s="14">
        <v>144.93088516557069</v>
      </c>
      <c r="AM328" s="14">
        <v>148.63470778667184</v>
      </c>
      <c r="AN328" s="14">
        <v>153.98494046322455</v>
      </c>
      <c r="AO328" s="14">
        <v>160.86368247515045</v>
      </c>
      <c r="AP328" s="14">
        <v>168.81193101908909</v>
      </c>
      <c r="AQ328" s="14">
        <v>167.88302534579668</v>
      </c>
      <c r="AR328" s="14">
        <v>155.14714756140643</v>
      </c>
      <c r="AS328" s="14">
        <v>151.35122437780055</v>
      </c>
    </row>
    <row r="329" spans="1:45" x14ac:dyDescent="0.35">
      <c r="A329" s="16">
        <v>9496.3488000000307</v>
      </c>
      <c r="B329" s="14">
        <v>146.92199732629061</v>
      </c>
      <c r="C329" s="14">
        <v>144.65068345423776</v>
      </c>
      <c r="D329" s="14">
        <v>145.01008564928716</v>
      </c>
      <c r="E329" s="14">
        <v>148.69780817205776</v>
      </c>
      <c r="F329" s="14">
        <v>154.02414070264024</v>
      </c>
      <c r="G329" s="14">
        <v>160.87178252462206</v>
      </c>
      <c r="H329" s="14">
        <v>168.79243089999221</v>
      </c>
      <c r="I329" s="14">
        <v>167.8529251619596</v>
      </c>
      <c r="J329" s="14">
        <v>173.97296254009595</v>
      </c>
      <c r="K329" s="14">
        <v>173.00415662311269</v>
      </c>
      <c r="L329" s="14">
        <v>171.48744735980864</v>
      </c>
      <c r="M329" s="14">
        <v>169.01173223937511</v>
      </c>
      <c r="N329" s="14">
        <v>163.64899948647815</v>
      </c>
      <c r="O329" s="14">
        <v>160.58558077664432</v>
      </c>
      <c r="P329" s="14">
        <v>158.60596868616094</v>
      </c>
      <c r="Q329" s="14">
        <v>155.13824750704904</v>
      </c>
      <c r="R329" s="15">
        <v>151.34512434054437</v>
      </c>
      <c r="S329" s="14">
        <v>145.45818838607556</v>
      </c>
      <c r="T329" s="14">
        <v>144.65068345423776</v>
      </c>
      <c r="U329" s="14">
        <v>145.01008564928716</v>
      </c>
      <c r="V329" s="14">
        <v>148.69780817205776</v>
      </c>
      <c r="W329" s="14">
        <v>154.02414070264024</v>
      </c>
      <c r="X329" s="14">
        <v>160.87178252462206</v>
      </c>
      <c r="Y329" s="14">
        <v>168.79243089999221</v>
      </c>
      <c r="Z329" s="14">
        <v>167.8529251619596</v>
      </c>
      <c r="AA329" s="14">
        <v>173.97296254009595</v>
      </c>
      <c r="AB329" s="14">
        <v>173.00415662311269</v>
      </c>
      <c r="AC329" s="14">
        <v>171.48744735980864</v>
      </c>
      <c r="AD329" s="14">
        <v>169.01173223937511</v>
      </c>
      <c r="AE329" s="14">
        <v>163.64899948647815</v>
      </c>
      <c r="AF329" s="14">
        <v>160.58558077664432</v>
      </c>
      <c r="AG329" s="14">
        <v>158.60596868616094</v>
      </c>
      <c r="AH329" s="14">
        <v>155.13824750704904</v>
      </c>
      <c r="AI329" s="15">
        <v>151.34512434054437</v>
      </c>
      <c r="AJ329" s="14">
        <v>143.68867757878584</v>
      </c>
      <c r="AK329" s="14">
        <v>147.02409794987034</v>
      </c>
      <c r="AL329" s="14">
        <v>145.01008564928716</v>
      </c>
      <c r="AM329" s="14">
        <v>148.69780817205776</v>
      </c>
      <c r="AN329" s="14">
        <v>154.02414070264024</v>
      </c>
      <c r="AO329" s="14">
        <v>160.87178252462206</v>
      </c>
      <c r="AP329" s="14">
        <v>168.79243089999221</v>
      </c>
      <c r="AQ329" s="14">
        <v>167.8529251619596</v>
      </c>
      <c r="AR329" s="14">
        <v>155.13824750704904</v>
      </c>
      <c r="AS329" s="14">
        <v>151.34512434054437</v>
      </c>
    </row>
    <row r="330" spans="1:45" x14ac:dyDescent="0.35">
      <c r="A330" s="16">
        <v>9534.448800000031</v>
      </c>
      <c r="B330" s="14">
        <v>147.09959841098924</v>
      </c>
      <c r="C330" s="14">
        <v>144.82128449618384</v>
      </c>
      <c r="D330" s="14">
        <v>145.1799866869581</v>
      </c>
      <c r="E330" s="14">
        <v>148.85180911261875</v>
      </c>
      <c r="F330" s="14">
        <v>154.15414149662033</v>
      </c>
      <c r="G330" s="14">
        <v>160.97088312987867</v>
      </c>
      <c r="H330" s="14">
        <v>168.86363133484909</v>
      </c>
      <c r="I330" s="14">
        <v>167.91382553390886</v>
      </c>
      <c r="J330" s="14">
        <v>174.01336278684062</v>
      </c>
      <c r="K330" s="14">
        <v>173.05705694620099</v>
      </c>
      <c r="L330" s="14">
        <v>171.55584777756437</v>
      </c>
      <c r="M330" s="14">
        <v>169.08613269377642</v>
      </c>
      <c r="N330" s="14">
        <v>163.72419994576518</v>
      </c>
      <c r="O330" s="14">
        <v>160.66148124020643</v>
      </c>
      <c r="P330" s="14">
        <v>158.67996913811831</v>
      </c>
      <c r="Q330" s="14">
        <v>155.21644798465852</v>
      </c>
      <c r="R330" s="15">
        <v>151.42522482975863</v>
      </c>
      <c r="S330" s="14">
        <v>145.63048943840442</v>
      </c>
      <c r="T330" s="14">
        <v>144.82128449618384</v>
      </c>
      <c r="U330" s="14">
        <v>145.1799866869581</v>
      </c>
      <c r="V330" s="14">
        <v>148.85180911261875</v>
      </c>
      <c r="W330" s="14">
        <v>154.15414149662033</v>
      </c>
      <c r="X330" s="14">
        <v>160.97088312987867</v>
      </c>
      <c r="Y330" s="14">
        <v>168.86363133484909</v>
      </c>
      <c r="Z330" s="14">
        <v>167.91382553390886</v>
      </c>
      <c r="AA330" s="14">
        <v>174.01336278684062</v>
      </c>
      <c r="AB330" s="14">
        <v>173.05705694620099</v>
      </c>
      <c r="AC330" s="14">
        <v>171.55584777756437</v>
      </c>
      <c r="AD330" s="14">
        <v>169.08613269377642</v>
      </c>
      <c r="AE330" s="14">
        <v>163.72419994576518</v>
      </c>
      <c r="AF330" s="14">
        <v>160.66148124020643</v>
      </c>
      <c r="AG330" s="14">
        <v>158.67996913811831</v>
      </c>
      <c r="AH330" s="14">
        <v>155.21644798465852</v>
      </c>
      <c r="AI330" s="15">
        <v>151.42522482975863</v>
      </c>
      <c r="AJ330" s="14">
        <v>143.85937862134253</v>
      </c>
      <c r="AK330" s="14">
        <v>147.20179903517959</v>
      </c>
      <c r="AL330" s="14">
        <v>145.1799866869581</v>
      </c>
      <c r="AM330" s="14">
        <v>148.85180911261875</v>
      </c>
      <c r="AN330" s="14">
        <v>154.15414149662033</v>
      </c>
      <c r="AO330" s="14">
        <v>160.97088312987867</v>
      </c>
      <c r="AP330" s="14">
        <v>168.86363133484909</v>
      </c>
      <c r="AQ330" s="14">
        <v>167.91382553390886</v>
      </c>
      <c r="AR330" s="14">
        <v>155.21644798465852</v>
      </c>
      <c r="AS330" s="14">
        <v>151.42522482975863</v>
      </c>
    </row>
    <row r="331" spans="1:45" x14ac:dyDescent="0.35">
      <c r="A331" s="16">
        <v>9572.5488000000296</v>
      </c>
      <c r="B331" s="14">
        <v>147.36800005025299</v>
      </c>
      <c r="C331" s="14">
        <v>145.08248609147302</v>
      </c>
      <c r="D331" s="14">
        <v>145.44058827858277</v>
      </c>
      <c r="E331" s="14">
        <v>149.09651060713279</v>
      </c>
      <c r="F331" s="14">
        <v>154.37484284455422</v>
      </c>
      <c r="G331" s="14">
        <v>161.16068428908969</v>
      </c>
      <c r="H331" s="14">
        <v>169.01503225953016</v>
      </c>
      <c r="I331" s="14">
        <v>168.06552646042255</v>
      </c>
      <c r="J331" s="14">
        <v>174.14426358631712</v>
      </c>
      <c r="K331" s="14">
        <v>173.19995781896858</v>
      </c>
      <c r="L331" s="14">
        <v>171.71264873522651</v>
      </c>
      <c r="M331" s="14">
        <v>169.24823368380831</v>
      </c>
      <c r="N331" s="14">
        <v>163.88710094068281</v>
      </c>
      <c r="O331" s="14">
        <v>160.82498223878929</v>
      </c>
      <c r="P331" s="14">
        <v>158.84137012387509</v>
      </c>
      <c r="Q331" s="14">
        <v>155.38164899362417</v>
      </c>
      <c r="R331" s="15">
        <v>151.59142584483132</v>
      </c>
      <c r="S331" s="14">
        <v>145.89049102636463</v>
      </c>
      <c r="T331" s="14">
        <v>145.08248609147302</v>
      </c>
      <c r="U331" s="14">
        <v>145.44058827858277</v>
      </c>
      <c r="V331" s="14">
        <v>149.09651060713279</v>
      </c>
      <c r="W331" s="14">
        <v>154.37484284455422</v>
      </c>
      <c r="X331" s="14">
        <v>161.16068428908969</v>
      </c>
      <c r="Y331" s="14">
        <v>169.01503225953016</v>
      </c>
      <c r="Z331" s="14">
        <v>168.06552646042255</v>
      </c>
      <c r="AA331" s="14">
        <v>174.14426358631712</v>
      </c>
      <c r="AB331" s="14">
        <v>173.19995781896858</v>
      </c>
      <c r="AC331" s="14">
        <v>171.71264873522651</v>
      </c>
      <c r="AD331" s="14">
        <v>169.24823368380831</v>
      </c>
      <c r="AE331" s="14">
        <v>163.88710094068281</v>
      </c>
      <c r="AF331" s="14">
        <v>160.82498223878929</v>
      </c>
      <c r="AG331" s="14">
        <v>158.84137012387509</v>
      </c>
      <c r="AH331" s="14">
        <v>155.38164899362417</v>
      </c>
      <c r="AI331" s="15">
        <v>151.59142584483132</v>
      </c>
      <c r="AJ331" s="14">
        <v>144.11698019464478</v>
      </c>
      <c r="AK331" s="14">
        <v>147.47010067383266</v>
      </c>
      <c r="AL331" s="14">
        <v>145.44058827858277</v>
      </c>
      <c r="AM331" s="14">
        <v>149.09651060713279</v>
      </c>
      <c r="AN331" s="14">
        <v>154.37484284455422</v>
      </c>
      <c r="AO331" s="14">
        <v>161.16068428908969</v>
      </c>
      <c r="AP331" s="14">
        <v>169.01503225953016</v>
      </c>
      <c r="AQ331" s="14">
        <v>168.06552646042255</v>
      </c>
      <c r="AR331" s="14">
        <v>155.38164899362417</v>
      </c>
      <c r="AS331" s="14">
        <v>151.59142584483132</v>
      </c>
    </row>
    <row r="332" spans="1:45" x14ac:dyDescent="0.35">
      <c r="A332" s="16">
        <v>9610.64880000003</v>
      </c>
      <c r="B332" s="14">
        <v>147.60110147391978</v>
      </c>
      <c r="C332" s="14">
        <v>145.30838747116599</v>
      </c>
      <c r="D332" s="14">
        <v>145.66588965461128</v>
      </c>
      <c r="E332" s="14">
        <v>149.30601188666267</v>
      </c>
      <c r="F332" s="14">
        <v>154.56024397689188</v>
      </c>
      <c r="G332" s="14">
        <v>161.31528523331514</v>
      </c>
      <c r="H332" s="14">
        <v>169.13113296861502</v>
      </c>
      <c r="I332" s="14">
        <v>168.18212717256125</v>
      </c>
      <c r="J332" s="14">
        <v>174.23956416836549</v>
      </c>
      <c r="K332" s="14">
        <v>173.30765847675065</v>
      </c>
      <c r="L332" s="14">
        <v>171.83474948095696</v>
      </c>
      <c r="M332" s="14">
        <v>169.37623446557299</v>
      </c>
      <c r="N332" s="14">
        <v>164.01590172733393</v>
      </c>
      <c r="O332" s="14">
        <v>160.95438302910421</v>
      </c>
      <c r="P332" s="14">
        <v>158.96877090197597</v>
      </c>
      <c r="Q332" s="14">
        <v>155.51304979615452</v>
      </c>
      <c r="R332" s="15">
        <v>151.72422665591256</v>
      </c>
      <c r="S332" s="14">
        <v>146.11629240544627</v>
      </c>
      <c r="T332" s="14">
        <v>145.30838747116599</v>
      </c>
      <c r="U332" s="14">
        <v>145.66588965461128</v>
      </c>
      <c r="V332" s="14">
        <v>149.30601188666267</v>
      </c>
      <c r="W332" s="14">
        <v>154.56024397689188</v>
      </c>
      <c r="X332" s="14">
        <v>161.31528523331514</v>
      </c>
      <c r="Y332" s="14">
        <v>169.13113296861502</v>
      </c>
      <c r="Z332" s="14">
        <v>168.18212717256125</v>
      </c>
      <c r="AA332" s="14">
        <v>174.23956416836549</v>
      </c>
      <c r="AB332" s="14">
        <v>173.30765847675065</v>
      </c>
      <c r="AC332" s="14">
        <v>171.83474948095696</v>
      </c>
      <c r="AD332" s="14">
        <v>169.37623446557299</v>
      </c>
      <c r="AE332" s="14">
        <v>164.01590172733393</v>
      </c>
      <c r="AF332" s="14">
        <v>160.95438302910421</v>
      </c>
      <c r="AG332" s="14">
        <v>158.96877090197597</v>
      </c>
      <c r="AH332" s="14">
        <v>155.51304979615452</v>
      </c>
      <c r="AI332" s="15">
        <v>151.72422665591256</v>
      </c>
      <c r="AJ332" s="14">
        <v>144.34078156151173</v>
      </c>
      <c r="AK332" s="14">
        <v>147.70320209749949</v>
      </c>
      <c r="AL332" s="14">
        <v>145.66588965461128</v>
      </c>
      <c r="AM332" s="14">
        <v>149.30601188666267</v>
      </c>
      <c r="AN332" s="14">
        <v>154.56024397689188</v>
      </c>
      <c r="AO332" s="14">
        <v>161.31528523331514</v>
      </c>
      <c r="AP332" s="14">
        <v>169.13113296861502</v>
      </c>
      <c r="AQ332" s="14">
        <v>168.18212717256125</v>
      </c>
      <c r="AR332" s="14">
        <v>155.51304979615452</v>
      </c>
      <c r="AS332" s="14">
        <v>151.72422665591256</v>
      </c>
    </row>
    <row r="333" spans="1:45" x14ac:dyDescent="0.35">
      <c r="A333" s="16">
        <v>9648.7488000000303</v>
      </c>
      <c r="B333" s="14">
        <v>147.79900268260175</v>
      </c>
      <c r="C333" s="14">
        <v>145.49898863526278</v>
      </c>
      <c r="D333" s="14">
        <v>145.85589081504355</v>
      </c>
      <c r="E333" s="14">
        <v>149.48021295059564</v>
      </c>
      <c r="F333" s="14">
        <v>154.71024489302272</v>
      </c>
      <c r="G333" s="14">
        <v>161.43458596194444</v>
      </c>
      <c r="H333" s="14">
        <v>169.22273352806587</v>
      </c>
      <c r="I333" s="14">
        <v>168.26352766971513</v>
      </c>
      <c r="J333" s="14">
        <v>174.29946453420706</v>
      </c>
      <c r="K333" s="14">
        <v>173.3799589183252</v>
      </c>
      <c r="L333" s="14">
        <v>171.92215001475569</v>
      </c>
      <c r="M333" s="14">
        <v>169.47003503846051</v>
      </c>
      <c r="N333" s="14">
        <v>164.11050230510722</v>
      </c>
      <c r="O333" s="14">
        <v>161.04978361176393</v>
      </c>
      <c r="P333" s="14">
        <v>159.06217147241958</v>
      </c>
      <c r="Q333" s="14">
        <v>155.61065039225025</v>
      </c>
      <c r="R333" s="15">
        <v>151.82352726239114</v>
      </c>
      <c r="S333" s="14">
        <v>146.30809357687275</v>
      </c>
      <c r="T333" s="14">
        <v>145.49898863526278</v>
      </c>
      <c r="U333" s="14">
        <v>145.85589081504355</v>
      </c>
      <c r="V333" s="14">
        <v>149.48021295059564</v>
      </c>
      <c r="W333" s="14">
        <v>154.71024489302272</v>
      </c>
      <c r="X333" s="14">
        <v>161.43458596194444</v>
      </c>
      <c r="Y333" s="14">
        <v>169.22273352806587</v>
      </c>
      <c r="Z333" s="14">
        <v>168.26352766971513</v>
      </c>
      <c r="AA333" s="14">
        <v>174.29946453420706</v>
      </c>
      <c r="AB333" s="14">
        <v>173.3799589183252</v>
      </c>
      <c r="AC333" s="14">
        <v>171.92215001475569</v>
      </c>
      <c r="AD333" s="14">
        <v>169.47003503846051</v>
      </c>
      <c r="AE333" s="14">
        <v>164.11050230510722</v>
      </c>
      <c r="AF333" s="14">
        <v>161.04978361176393</v>
      </c>
      <c r="AG333" s="14">
        <v>159.06217147241958</v>
      </c>
      <c r="AH333" s="14">
        <v>155.61065039225025</v>
      </c>
      <c r="AI333" s="15">
        <v>151.82352726239114</v>
      </c>
      <c r="AJ333" s="14">
        <v>144.53078272194401</v>
      </c>
      <c r="AK333" s="14">
        <v>147.90110330618148</v>
      </c>
      <c r="AL333" s="14">
        <v>145.85589081504355</v>
      </c>
      <c r="AM333" s="14">
        <v>149.48021295059564</v>
      </c>
      <c r="AN333" s="14">
        <v>154.71024489302272</v>
      </c>
      <c r="AO333" s="14">
        <v>161.43458596194444</v>
      </c>
      <c r="AP333" s="14">
        <v>169.22273352806587</v>
      </c>
      <c r="AQ333" s="14">
        <v>168.26352766971513</v>
      </c>
      <c r="AR333" s="14">
        <v>155.61065039225025</v>
      </c>
      <c r="AS333" s="14">
        <v>151.82352726239114</v>
      </c>
    </row>
    <row r="334" spans="1:45" x14ac:dyDescent="0.35">
      <c r="A334" s="16">
        <v>9686.8488000000307</v>
      </c>
      <c r="B334" s="14">
        <v>147.92090342711094</v>
      </c>
      <c r="C334" s="14">
        <v>145.61348933457614</v>
      </c>
      <c r="D334" s="14">
        <v>145.96999151191369</v>
      </c>
      <c r="E334" s="14">
        <v>149.57851355096648</v>
      </c>
      <c r="F334" s="14">
        <v>154.78424534498075</v>
      </c>
      <c r="G334" s="14">
        <v>161.47778622579028</v>
      </c>
      <c r="H334" s="14">
        <v>169.23883362639711</v>
      </c>
      <c r="I334" s="14">
        <v>168.26892770269552</v>
      </c>
      <c r="J334" s="14">
        <v>174.28286443282198</v>
      </c>
      <c r="K334" s="14">
        <v>173.37655889755951</v>
      </c>
      <c r="L334" s="14">
        <v>171.93485009232126</v>
      </c>
      <c r="M334" s="14">
        <v>169.48993515999993</v>
      </c>
      <c r="N334" s="14">
        <v>164.13170243458691</v>
      </c>
      <c r="O334" s="14">
        <v>161.07168374551875</v>
      </c>
      <c r="P334" s="14">
        <v>159.08227159518165</v>
      </c>
      <c r="Q334" s="14">
        <v>155.63525054249558</v>
      </c>
      <c r="R334" s="15">
        <v>151.85052742729442</v>
      </c>
      <c r="S334" s="14">
        <v>146.42629429878366</v>
      </c>
      <c r="T334" s="14">
        <v>145.61348933457614</v>
      </c>
      <c r="U334" s="14">
        <v>145.96999151191369</v>
      </c>
      <c r="V334" s="14">
        <v>149.57851355096648</v>
      </c>
      <c r="W334" s="14">
        <v>154.78424534498075</v>
      </c>
      <c r="X334" s="14">
        <v>161.47778622579028</v>
      </c>
      <c r="Y334" s="14">
        <v>169.23883362639711</v>
      </c>
      <c r="Z334" s="14">
        <v>168.26892770269552</v>
      </c>
      <c r="AA334" s="14">
        <v>174.28286443282198</v>
      </c>
      <c r="AB334" s="14">
        <v>173.37655889755951</v>
      </c>
      <c r="AC334" s="14">
        <v>171.93485009232126</v>
      </c>
      <c r="AD334" s="14">
        <v>169.48993515999993</v>
      </c>
      <c r="AE334" s="14">
        <v>164.13170243458691</v>
      </c>
      <c r="AF334" s="14">
        <v>161.07168374551875</v>
      </c>
      <c r="AG334" s="14">
        <v>159.08227159518165</v>
      </c>
      <c r="AH334" s="14">
        <v>155.63525054249558</v>
      </c>
      <c r="AI334" s="15">
        <v>151.85052742729442</v>
      </c>
      <c r="AJ334" s="14">
        <v>144.64778343652597</v>
      </c>
      <c r="AK334" s="14">
        <v>148.02310405130126</v>
      </c>
      <c r="AL334" s="14">
        <v>145.96999151191369</v>
      </c>
      <c r="AM334" s="14">
        <v>149.57851355096648</v>
      </c>
      <c r="AN334" s="14">
        <v>154.78424534498075</v>
      </c>
      <c r="AO334" s="14">
        <v>161.47778622579028</v>
      </c>
      <c r="AP334" s="14">
        <v>169.23883362639711</v>
      </c>
      <c r="AQ334" s="14">
        <v>168.26892770269552</v>
      </c>
      <c r="AR334" s="14">
        <v>155.63525054249558</v>
      </c>
      <c r="AS334" s="14">
        <v>151.85052742729442</v>
      </c>
    </row>
    <row r="335" spans="1:45" x14ac:dyDescent="0.35">
      <c r="A335" s="16">
        <v>9724.948800000031</v>
      </c>
      <c r="B335" s="14">
        <v>147.96690370805726</v>
      </c>
      <c r="C335" s="14">
        <v>145.65178956849479</v>
      </c>
      <c r="D335" s="14">
        <v>146.00809174461108</v>
      </c>
      <c r="E335" s="14">
        <v>149.60071368655389</v>
      </c>
      <c r="F335" s="14">
        <v>154.7821453321547</v>
      </c>
      <c r="G335" s="14">
        <v>161.44488602485202</v>
      </c>
      <c r="H335" s="14">
        <v>169.17903326116618</v>
      </c>
      <c r="I335" s="14">
        <v>168.19842727211443</v>
      </c>
      <c r="J335" s="14">
        <v>174.18976386421031</v>
      </c>
      <c r="K335" s="14">
        <v>173.29715841262109</v>
      </c>
      <c r="L335" s="14">
        <v>171.87294971426496</v>
      </c>
      <c r="M335" s="14">
        <v>169.43613483141453</v>
      </c>
      <c r="N335" s="14">
        <v>164.07930211455181</v>
      </c>
      <c r="O335" s="14">
        <v>161.02008343037008</v>
      </c>
      <c r="P335" s="14">
        <v>159.02897126964942</v>
      </c>
      <c r="Q335" s="14">
        <v>155.58685024689129</v>
      </c>
      <c r="R335" s="15">
        <v>151.8054271518445</v>
      </c>
      <c r="S335" s="14">
        <v>146.47079457056913</v>
      </c>
      <c r="T335" s="14">
        <v>145.65178956849479</v>
      </c>
      <c r="U335" s="14">
        <v>146.00809174461108</v>
      </c>
      <c r="V335" s="14">
        <v>149.60071368655389</v>
      </c>
      <c r="W335" s="14">
        <v>154.7821453321547</v>
      </c>
      <c r="X335" s="14">
        <v>161.44488602485202</v>
      </c>
      <c r="Y335" s="14">
        <v>169.17903326116618</v>
      </c>
      <c r="Z335" s="14">
        <v>168.19842727211443</v>
      </c>
      <c r="AA335" s="14">
        <v>174.18976386421031</v>
      </c>
      <c r="AB335" s="14">
        <v>173.29715841262109</v>
      </c>
      <c r="AC335" s="14">
        <v>171.87294971426496</v>
      </c>
      <c r="AD335" s="14">
        <v>169.43613483141453</v>
      </c>
      <c r="AE335" s="14">
        <v>164.07930211455181</v>
      </c>
      <c r="AF335" s="14">
        <v>161.02008343037008</v>
      </c>
      <c r="AG335" s="14">
        <v>159.02897126964942</v>
      </c>
      <c r="AH335" s="14">
        <v>155.58685024689129</v>
      </c>
      <c r="AI335" s="15">
        <v>151.8054271518445</v>
      </c>
      <c r="AJ335" s="14">
        <v>144.69188370586889</v>
      </c>
      <c r="AK335" s="14">
        <v>148.06900433163696</v>
      </c>
      <c r="AL335" s="14">
        <v>146.00809174461108</v>
      </c>
      <c r="AM335" s="14">
        <v>149.60071368655389</v>
      </c>
      <c r="AN335" s="14">
        <v>154.7821453321547</v>
      </c>
      <c r="AO335" s="14">
        <v>161.44488602485202</v>
      </c>
      <c r="AP335" s="14">
        <v>169.17903326116618</v>
      </c>
      <c r="AQ335" s="14">
        <v>168.19842727211443</v>
      </c>
      <c r="AR335" s="14">
        <v>155.58685024689129</v>
      </c>
      <c r="AS335" s="14">
        <v>151.8054271518445</v>
      </c>
    </row>
    <row r="336" spans="1:45" x14ac:dyDescent="0.35">
      <c r="A336" s="16">
        <v>9763.0488000000296</v>
      </c>
      <c r="B336" s="14">
        <v>148.02350405374452</v>
      </c>
      <c r="C336" s="14">
        <v>145.70058986654297</v>
      </c>
      <c r="D336" s="14">
        <v>146.0568920426586</v>
      </c>
      <c r="E336" s="14">
        <v>149.63371388810276</v>
      </c>
      <c r="F336" s="14">
        <v>154.79074538467947</v>
      </c>
      <c r="G336" s="14">
        <v>161.42268588926461</v>
      </c>
      <c r="H336" s="14">
        <v>169.12983296067543</v>
      </c>
      <c r="I336" s="14">
        <v>168.13872690749412</v>
      </c>
      <c r="J336" s="14">
        <v>174.10696335850619</v>
      </c>
      <c r="K336" s="14">
        <v>173.2281579912009</v>
      </c>
      <c r="L336" s="14">
        <v>171.82114939789432</v>
      </c>
      <c r="M336" s="14">
        <v>169.39263456573681</v>
      </c>
      <c r="N336" s="14">
        <v>164.03710185681365</v>
      </c>
      <c r="O336" s="14">
        <v>160.97878317812831</v>
      </c>
      <c r="P336" s="14">
        <v>158.9858710064149</v>
      </c>
      <c r="Q336" s="14">
        <v>155.54865001358331</v>
      </c>
      <c r="R336" s="15">
        <v>151.77052693869152</v>
      </c>
      <c r="S336" s="14">
        <v>146.52569490587283</v>
      </c>
      <c r="T336" s="14">
        <v>145.70058986654297</v>
      </c>
      <c r="U336" s="14">
        <v>146.0568920426586</v>
      </c>
      <c r="V336" s="14">
        <v>149.63371388810276</v>
      </c>
      <c r="W336" s="14">
        <v>154.79074538467947</v>
      </c>
      <c r="X336" s="14">
        <v>161.42268588926461</v>
      </c>
      <c r="Y336" s="14">
        <v>169.12983296067543</v>
      </c>
      <c r="Z336" s="14">
        <v>168.13872690749412</v>
      </c>
      <c r="AA336" s="14">
        <v>174.10696335850619</v>
      </c>
      <c r="AB336" s="14">
        <v>173.2281579912009</v>
      </c>
      <c r="AC336" s="14">
        <v>171.82114939789432</v>
      </c>
      <c r="AD336" s="14">
        <v>169.39263456573681</v>
      </c>
      <c r="AE336" s="14">
        <v>164.03710185681365</v>
      </c>
      <c r="AF336" s="14">
        <v>160.97878317812831</v>
      </c>
      <c r="AG336" s="14">
        <v>158.9858710064149</v>
      </c>
      <c r="AH336" s="14">
        <v>155.54865001358331</v>
      </c>
      <c r="AI336" s="15">
        <v>151.77052693869152</v>
      </c>
      <c r="AJ336" s="14">
        <v>144.74628403811874</v>
      </c>
      <c r="AK336" s="14">
        <v>148.12560467732419</v>
      </c>
      <c r="AL336" s="14">
        <v>146.0568920426586</v>
      </c>
      <c r="AM336" s="14">
        <v>149.63371388810276</v>
      </c>
      <c r="AN336" s="14">
        <v>154.79074538467947</v>
      </c>
      <c r="AO336" s="14">
        <v>161.42268588926461</v>
      </c>
      <c r="AP336" s="14">
        <v>169.12983296067543</v>
      </c>
      <c r="AQ336" s="14">
        <v>168.13872690749412</v>
      </c>
      <c r="AR336" s="14">
        <v>155.54865001358331</v>
      </c>
      <c r="AS336" s="14">
        <v>151.77052693869152</v>
      </c>
    </row>
    <row r="337" spans="1:45" x14ac:dyDescent="0.35">
      <c r="A337" s="16">
        <v>9801.14880000003</v>
      </c>
      <c r="B337" s="14">
        <v>148.09080446478185</v>
      </c>
      <c r="C337" s="14">
        <v>145.76009022994131</v>
      </c>
      <c r="D337" s="14">
        <v>146.1163924060576</v>
      </c>
      <c r="E337" s="14">
        <v>149.67731415439187</v>
      </c>
      <c r="F337" s="14">
        <v>154.80994550194444</v>
      </c>
      <c r="G337" s="14">
        <v>161.41118581902802</v>
      </c>
      <c r="H337" s="14">
        <v>169.09133272553555</v>
      </c>
      <c r="I337" s="14">
        <v>168.0898266088353</v>
      </c>
      <c r="J337" s="14">
        <v>174.03426291448775</v>
      </c>
      <c r="K337" s="14">
        <v>173.16955763329963</v>
      </c>
      <c r="L337" s="14">
        <v>171.77944914321003</v>
      </c>
      <c r="M337" s="14">
        <v>169.35933436235533</v>
      </c>
      <c r="N337" s="14">
        <v>164.00530166259375</v>
      </c>
      <c r="O337" s="14">
        <v>160.94768298818423</v>
      </c>
      <c r="P337" s="14">
        <v>158.95307080608728</v>
      </c>
      <c r="Q337" s="14">
        <v>155.5206498425716</v>
      </c>
      <c r="R337" s="15">
        <v>151.74562678661357</v>
      </c>
      <c r="S337" s="14">
        <v>146.59079530347353</v>
      </c>
      <c r="T337" s="14">
        <v>145.76009022994131</v>
      </c>
      <c r="U337" s="14">
        <v>146.1163924060576</v>
      </c>
      <c r="V337" s="14">
        <v>149.67731415439187</v>
      </c>
      <c r="W337" s="14">
        <v>154.80994550194444</v>
      </c>
      <c r="X337" s="14">
        <v>161.41118581902802</v>
      </c>
      <c r="Y337" s="14">
        <v>169.09133272553555</v>
      </c>
      <c r="Z337" s="14">
        <v>168.0898266088353</v>
      </c>
      <c r="AA337" s="14">
        <v>174.03426291448775</v>
      </c>
      <c r="AB337" s="14">
        <v>173.16955763329963</v>
      </c>
      <c r="AC337" s="14">
        <v>171.77944914321003</v>
      </c>
      <c r="AD337" s="14">
        <v>169.35933436235533</v>
      </c>
      <c r="AE337" s="14">
        <v>164.00530166259375</v>
      </c>
      <c r="AF337" s="14">
        <v>160.94768298818423</v>
      </c>
      <c r="AG337" s="14">
        <v>158.95307080608728</v>
      </c>
      <c r="AH337" s="14">
        <v>155.5206498425716</v>
      </c>
      <c r="AI337" s="15">
        <v>151.74562678661357</v>
      </c>
      <c r="AJ337" s="14">
        <v>144.81078443205493</v>
      </c>
      <c r="AK337" s="14">
        <v>148.19290508836156</v>
      </c>
      <c r="AL337" s="14">
        <v>146.1163924060576</v>
      </c>
      <c r="AM337" s="14">
        <v>149.67731415439187</v>
      </c>
      <c r="AN337" s="14">
        <v>154.80994550194444</v>
      </c>
      <c r="AO337" s="14">
        <v>161.41118581902802</v>
      </c>
      <c r="AP337" s="14">
        <v>169.09133272553555</v>
      </c>
      <c r="AQ337" s="14">
        <v>168.0898266088353</v>
      </c>
      <c r="AR337" s="14">
        <v>155.5206498425716</v>
      </c>
      <c r="AS337" s="14">
        <v>151.74562678661357</v>
      </c>
    </row>
    <row r="338" spans="1:45" x14ac:dyDescent="0.35">
      <c r="A338" s="16">
        <v>9831.5548860000308</v>
      </c>
      <c r="B338" s="14">
        <v>148.10750456677758</v>
      </c>
      <c r="C338" s="14">
        <v>145.77039029284893</v>
      </c>
      <c r="D338" s="14">
        <v>146.12669246896525</v>
      </c>
      <c r="E338" s="14">
        <v>149.67501414034453</v>
      </c>
      <c r="F338" s="14">
        <v>154.78804536818896</v>
      </c>
      <c r="G338" s="14">
        <v>161.36478553563848</v>
      </c>
      <c r="H338" s="14">
        <v>169.02353231144431</v>
      </c>
      <c r="I338" s="14">
        <v>168.01372614405187</v>
      </c>
      <c r="J338" s="14">
        <v>173.93866233060746</v>
      </c>
      <c r="K338" s="14">
        <v>173.08565712087648</v>
      </c>
      <c r="L338" s="14">
        <v>171.70954871629277</v>
      </c>
      <c r="M338" s="14">
        <v>169.29663397941329</v>
      </c>
      <c r="N338" s="14">
        <v>163.9439012875913</v>
      </c>
      <c r="O338" s="14">
        <v>160.8869826174562</v>
      </c>
      <c r="P338" s="14">
        <v>158.89107042742035</v>
      </c>
      <c r="Q338" s="14">
        <v>155.46264948833482</v>
      </c>
      <c r="R338" s="15">
        <v>151.69042644947726</v>
      </c>
      <c r="S338" s="14">
        <v>146.60679540119412</v>
      </c>
      <c r="T338" s="14">
        <v>145.77039029284893</v>
      </c>
      <c r="U338" s="14">
        <v>146.12669246896525</v>
      </c>
      <c r="V338" s="14">
        <v>149.67501414034453</v>
      </c>
      <c r="W338" s="14">
        <v>154.78804536818896</v>
      </c>
      <c r="X338" s="14">
        <v>161.36478553563848</v>
      </c>
      <c r="Y338" s="14">
        <v>169.02353231144431</v>
      </c>
      <c r="Z338" s="14">
        <v>168.01372614405187</v>
      </c>
      <c r="AA338" s="14">
        <v>173.93866233060746</v>
      </c>
      <c r="AB338" s="14">
        <v>173.08565712087648</v>
      </c>
      <c r="AC338" s="14">
        <v>171.70954871629277</v>
      </c>
      <c r="AD338" s="14">
        <v>169.29663397941329</v>
      </c>
      <c r="AE338" s="14">
        <v>163.9439012875913</v>
      </c>
      <c r="AF338" s="14">
        <v>160.8869826174562</v>
      </c>
      <c r="AG338" s="14">
        <v>158.89107042742035</v>
      </c>
      <c r="AH338" s="14">
        <v>155.46264948833482</v>
      </c>
      <c r="AI338" s="15">
        <v>151.69042644947726</v>
      </c>
      <c r="AJ338" s="14">
        <v>144.82668452916491</v>
      </c>
      <c r="AK338" s="14">
        <v>148.20960519035728</v>
      </c>
      <c r="AL338" s="14">
        <v>146.12669246896525</v>
      </c>
      <c r="AM338" s="14">
        <v>149.67501414034453</v>
      </c>
      <c r="AN338" s="14">
        <v>154.78804536818896</v>
      </c>
      <c r="AO338" s="14">
        <v>161.36478553563848</v>
      </c>
      <c r="AP338" s="14">
        <v>169.02353231144431</v>
      </c>
      <c r="AQ338" s="14">
        <v>168.01372614405187</v>
      </c>
      <c r="AR338" s="14">
        <v>155.46264948833482</v>
      </c>
      <c r="AS338" s="14">
        <v>151.69042644947726</v>
      </c>
    </row>
    <row r="339" spans="1:45" x14ac:dyDescent="0.35">
      <c r="A339" s="16">
        <v>9854.2670580000304</v>
      </c>
      <c r="B339" s="14">
        <v>148.07320435728906</v>
      </c>
      <c r="C339" s="14">
        <v>145.73169005648705</v>
      </c>
      <c r="D339" s="14">
        <v>146.08779223138143</v>
      </c>
      <c r="E339" s="14">
        <v>149.62661384473955</v>
      </c>
      <c r="F339" s="14">
        <v>154.72514498402492</v>
      </c>
      <c r="G339" s="14">
        <v>161.28328503787398</v>
      </c>
      <c r="H339" s="14">
        <v>168.92593171534861</v>
      </c>
      <c r="I339" s="14">
        <v>167.91022551192125</v>
      </c>
      <c r="J339" s="14">
        <v>173.82056160930713</v>
      </c>
      <c r="K339" s="14">
        <v>172.97645645393357</v>
      </c>
      <c r="L339" s="14">
        <v>171.61164811836514</v>
      </c>
      <c r="M339" s="14">
        <v>169.20453341690859</v>
      </c>
      <c r="N339" s="14">
        <v>163.85290073180497</v>
      </c>
      <c r="O339" s="14">
        <v>160.79658206533503</v>
      </c>
      <c r="P339" s="14">
        <v>158.79976986980142</v>
      </c>
      <c r="Q339" s="14">
        <v>155.37454895026028</v>
      </c>
      <c r="R339" s="15">
        <v>151.60492592728332</v>
      </c>
      <c r="S339" s="14">
        <v>146.5736951990346</v>
      </c>
      <c r="T339" s="14">
        <v>145.73169005648705</v>
      </c>
      <c r="U339" s="14">
        <v>146.08779223138143</v>
      </c>
      <c r="V339" s="14">
        <v>149.62661384473955</v>
      </c>
      <c r="W339" s="14">
        <v>154.72514498402492</v>
      </c>
      <c r="X339" s="14">
        <v>161.28328503787398</v>
      </c>
      <c r="Y339" s="14">
        <v>168.92593171534861</v>
      </c>
      <c r="Z339" s="14">
        <v>167.91022551192125</v>
      </c>
      <c r="AA339" s="14">
        <v>173.82056160930713</v>
      </c>
      <c r="AB339" s="14">
        <v>172.97645645393357</v>
      </c>
      <c r="AC339" s="14">
        <v>171.61164811836514</v>
      </c>
      <c r="AD339" s="14">
        <v>169.20453341690859</v>
      </c>
      <c r="AE339" s="14">
        <v>163.85290073180497</v>
      </c>
      <c r="AF339" s="14">
        <v>160.79658206533503</v>
      </c>
      <c r="AG339" s="14">
        <v>158.79976986980142</v>
      </c>
      <c r="AH339" s="14">
        <v>155.37454895026028</v>
      </c>
      <c r="AI339" s="15">
        <v>151.60492592728332</v>
      </c>
      <c r="AJ339" s="14">
        <v>144.79378432822665</v>
      </c>
      <c r="AK339" s="14">
        <v>148.17530498086879</v>
      </c>
      <c r="AL339" s="14">
        <v>146.08779223138143</v>
      </c>
      <c r="AM339" s="14">
        <v>149.62661384473955</v>
      </c>
      <c r="AN339" s="14">
        <v>154.72514498402492</v>
      </c>
      <c r="AO339" s="14">
        <v>161.28328503787398</v>
      </c>
      <c r="AP339" s="14">
        <v>168.92593171534861</v>
      </c>
      <c r="AQ339" s="14">
        <v>167.91022551192125</v>
      </c>
      <c r="AR339" s="14">
        <v>155.37454895026028</v>
      </c>
      <c r="AS339" s="14">
        <v>151.60492592728332</v>
      </c>
    </row>
    <row r="340" spans="1:45" x14ac:dyDescent="0.35">
      <c r="A340" s="16">
        <v>9876.9792300000317</v>
      </c>
      <c r="B340" s="14">
        <v>148.03750413924968</v>
      </c>
      <c r="C340" s="14">
        <v>145.69148981096433</v>
      </c>
      <c r="D340" s="14">
        <v>146.04749198524806</v>
      </c>
      <c r="E340" s="14">
        <v>149.57681354058366</v>
      </c>
      <c r="F340" s="14">
        <v>154.66064459008874</v>
      </c>
      <c r="G340" s="14">
        <v>161.20038453155922</v>
      </c>
      <c r="H340" s="14">
        <v>168.82683111009135</v>
      </c>
      <c r="I340" s="14">
        <v>167.80522487062976</v>
      </c>
      <c r="J340" s="14">
        <v>173.70066087701269</v>
      </c>
      <c r="K340" s="14">
        <v>172.86575577782907</v>
      </c>
      <c r="L340" s="14">
        <v>171.51214751066465</v>
      </c>
      <c r="M340" s="14">
        <v>169.11103284585369</v>
      </c>
      <c r="N340" s="14">
        <v>163.76050016746839</v>
      </c>
      <c r="O340" s="14">
        <v>160.70478150466292</v>
      </c>
      <c r="P340" s="14">
        <v>158.7069693030223</v>
      </c>
      <c r="Q340" s="14">
        <v>155.2850484036355</v>
      </c>
      <c r="R340" s="15">
        <v>151.51812539714837</v>
      </c>
      <c r="S340" s="14">
        <v>146.53909498771421</v>
      </c>
      <c r="T340" s="14">
        <v>145.69148981096433</v>
      </c>
      <c r="U340" s="14">
        <v>146.04749198524806</v>
      </c>
      <c r="V340" s="14">
        <v>149.57681354058366</v>
      </c>
      <c r="W340" s="14">
        <v>154.66064459008874</v>
      </c>
      <c r="X340" s="14">
        <v>161.20038453155922</v>
      </c>
      <c r="Y340" s="14">
        <v>168.82683111009135</v>
      </c>
      <c r="Z340" s="14">
        <v>167.80522487062976</v>
      </c>
      <c r="AA340" s="14">
        <v>173.70066087701269</v>
      </c>
      <c r="AB340" s="14">
        <v>172.86575577782907</v>
      </c>
      <c r="AC340" s="14">
        <v>171.51214751066465</v>
      </c>
      <c r="AD340" s="14">
        <v>169.11103284585369</v>
      </c>
      <c r="AE340" s="14">
        <v>163.76050016746839</v>
      </c>
      <c r="AF340" s="14">
        <v>160.70478150466292</v>
      </c>
      <c r="AG340" s="14">
        <v>158.7069693030223</v>
      </c>
      <c r="AH340" s="14">
        <v>155.2850484036355</v>
      </c>
      <c r="AI340" s="15">
        <v>151.51812539714837</v>
      </c>
      <c r="AJ340" s="14">
        <v>144.7595841193488</v>
      </c>
      <c r="AK340" s="14">
        <v>148.13960476282938</v>
      </c>
      <c r="AL340" s="14">
        <v>146.04749198524806</v>
      </c>
      <c r="AM340" s="14">
        <v>149.57681354058366</v>
      </c>
      <c r="AN340" s="14">
        <v>154.66064459008874</v>
      </c>
      <c r="AO340" s="14">
        <v>161.20038453155922</v>
      </c>
      <c r="AP340" s="14">
        <v>168.82683111009135</v>
      </c>
      <c r="AQ340" s="14">
        <v>167.80522487062976</v>
      </c>
      <c r="AR340" s="14">
        <v>155.2850484036355</v>
      </c>
      <c r="AS340" s="14">
        <v>151.51812539714837</v>
      </c>
    </row>
    <row r="341" spans="1:45" x14ac:dyDescent="0.35">
      <c r="A341" s="16">
        <v>9899.6914020000313</v>
      </c>
      <c r="B341" s="14">
        <v>148.00030391204936</v>
      </c>
      <c r="C341" s="14">
        <v>145.64978955628004</v>
      </c>
      <c r="D341" s="14">
        <v>146.00569172995313</v>
      </c>
      <c r="E341" s="14">
        <v>149.52561322787818</v>
      </c>
      <c r="F341" s="14">
        <v>154.59484418821296</v>
      </c>
      <c r="G341" s="14">
        <v>161.11588401547164</v>
      </c>
      <c r="H341" s="14">
        <v>168.72623049567318</v>
      </c>
      <c r="I341" s="14">
        <v>167.69882422078797</v>
      </c>
      <c r="J341" s="14">
        <v>173.57926013555809</v>
      </c>
      <c r="K341" s="14">
        <v>172.75355509256303</v>
      </c>
      <c r="L341" s="14">
        <v>171.41104689319263</v>
      </c>
      <c r="M341" s="14">
        <v>169.01603226563788</v>
      </c>
      <c r="N341" s="14">
        <v>163.66669959458153</v>
      </c>
      <c r="O341" s="14">
        <v>160.61148093482927</v>
      </c>
      <c r="P341" s="14">
        <v>158.61286872830289</v>
      </c>
      <c r="Q341" s="14">
        <v>155.19404784784982</v>
      </c>
      <c r="R341" s="15">
        <v>151.42982485785325</v>
      </c>
      <c r="S341" s="14">
        <v>146.50309476784219</v>
      </c>
      <c r="T341" s="14">
        <v>145.64978955628004</v>
      </c>
      <c r="U341" s="14">
        <v>146.00569172995313</v>
      </c>
      <c r="V341" s="14">
        <v>149.52561322787818</v>
      </c>
      <c r="W341" s="14">
        <v>154.59484418821296</v>
      </c>
      <c r="X341" s="14">
        <v>161.11588401547164</v>
      </c>
      <c r="Y341" s="14">
        <v>168.72623049567318</v>
      </c>
      <c r="Z341" s="14">
        <v>167.69882422078797</v>
      </c>
      <c r="AA341" s="14">
        <v>173.57926013555809</v>
      </c>
      <c r="AB341" s="14">
        <v>172.75355509256303</v>
      </c>
      <c r="AC341" s="14">
        <v>171.41104689319263</v>
      </c>
      <c r="AD341" s="14">
        <v>169.01603226563788</v>
      </c>
      <c r="AE341" s="14">
        <v>163.66669959458153</v>
      </c>
      <c r="AF341" s="14">
        <v>160.61148093482927</v>
      </c>
      <c r="AG341" s="14">
        <v>158.61286872830289</v>
      </c>
      <c r="AH341" s="14">
        <v>155.19404784784982</v>
      </c>
      <c r="AI341" s="15">
        <v>151.42982485785325</v>
      </c>
      <c r="AJ341" s="14">
        <v>144.72388390131007</v>
      </c>
      <c r="AK341" s="14">
        <v>148.10240453562906</v>
      </c>
      <c r="AL341" s="14">
        <v>146.00569172995313</v>
      </c>
      <c r="AM341" s="14">
        <v>149.52561322787818</v>
      </c>
      <c r="AN341" s="14">
        <v>154.59484418821296</v>
      </c>
      <c r="AO341" s="14">
        <v>161.11588401547164</v>
      </c>
      <c r="AP341" s="14">
        <v>168.72623049567318</v>
      </c>
      <c r="AQ341" s="14">
        <v>167.69882422078797</v>
      </c>
      <c r="AR341" s="14">
        <v>155.19404784784982</v>
      </c>
      <c r="AS341" s="14">
        <v>151.42982485785325</v>
      </c>
    </row>
    <row r="342" spans="1:45" x14ac:dyDescent="0.35">
      <c r="A342" s="16">
        <v>9930.0974880000304</v>
      </c>
      <c r="B342" s="14">
        <v>147.98670382898672</v>
      </c>
      <c r="C342" s="14">
        <v>145.63028943718248</v>
      </c>
      <c r="D342" s="14">
        <v>145.98589160902367</v>
      </c>
      <c r="E342" s="14">
        <v>149.49311302938315</v>
      </c>
      <c r="F342" s="14">
        <v>154.5427438700097</v>
      </c>
      <c r="G342" s="14">
        <v>161.03908354641311</v>
      </c>
      <c r="H342" s="14">
        <v>168.62752989285912</v>
      </c>
      <c r="I342" s="14">
        <v>167.5926235721675</v>
      </c>
      <c r="J342" s="14">
        <v>173.45265936234364</v>
      </c>
      <c r="K342" s="14">
        <v>172.63905439325032</v>
      </c>
      <c r="L342" s="14">
        <v>171.31084628121704</v>
      </c>
      <c r="M342" s="14">
        <v>168.92373170191192</v>
      </c>
      <c r="N342" s="14">
        <v>163.57599904062778</v>
      </c>
      <c r="O342" s="14">
        <v>160.52158038576198</v>
      </c>
      <c r="P342" s="14">
        <v>158.52156817068465</v>
      </c>
      <c r="Q342" s="14">
        <v>155.10704731649363</v>
      </c>
      <c r="R342" s="15">
        <v>151.34592434543083</v>
      </c>
      <c r="S342" s="14">
        <v>146.4898946872228</v>
      </c>
      <c r="T342" s="14">
        <v>145.63028943718248</v>
      </c>
      <c r="U342" s="14">
        <v>145.98589160902367</v>
      </c>
      <c r="V342" s="14">
        <v>149.49311302938315</v>
      </c>
      <c r="W342" s="14">
        <v>154.5427438700097</v>
      </c>
      <c r="X342" s="14">
        <v>161.03908354641311</v>
      </c>
      <c r="Y342" s="14">
        <v>168.62752989285912</v>
      </c>
      <c r="Z342" s="14">
        <v>167.5926235721675</v>
      </c>
      <c r="AA342" s="14">
        <v>173.45265936234364</v>
      </c>
      <c r="AB342" s="14">
        <v>172.63905439325032</v>
      </c>
      <c r="AC342" s="14">
        <v>171.31084628121704</v>
      </c>
      <c r="AD342" s="14">
        <v>168.92373170191192</v>
      </c>
      <c r="AE342" s="14">
        <v>163.57599904062778</v>
      </c>
      <c r="AF342" s="14">
        <v>160.52158038576198</v>
      </c>
      <c r="AG342" s="14">
        <v>158.52156817068465</v>
      </c>
      <c r="AH342" s="14">
        <v>155.10704731649363</v>
      </c>
      <c r="AI342" s="15">
        <v>151.34592434543083</v>
      </c>
      <c r="AJ342" s="14">
        <v>144.71068382069066</v>
      </c>
      <c r="AK342" s="14">
        <v>148.08870445195581</v>
      </c>
      <c r="AL342" s="14">
        <v>145.98589160902367</v>
      </c>
      <c r="AM342" s="14">
        <v>149.49311302938315</v>
      </c>
      <c r="AN342" s="14">
        <v>154.5427438700097</v>
      </c>
      <c r="AO342" s="14">
        <v>161.03908354641311</v>
      </c>
      <c r="AP342" s="14">
        <v>168.62752989285912</v>
      </c>
      <c r="AQ342" s="14">
        <v>167.5926235721675</v>
      </c>
      <c r="AR342" s="14">
        <v>155.10704731649363</v>
      </c>
      <c r="AS342" s="14">
        <v>151.34592434543083</v>
      </c>
    </row>
    <row r="343" spans="1:45" x14ac:dyDescent="0.35">
      <c r="A343" s="16">
        <v>9968.1974880000307</v>
      </c>
      <c r="B343" s="14">
        <v>147.99650388884049</v>
      </c>
      <c r="C343" s="14">
        <v>145.63288945306238</v>
      </c>
      <c r="D343" s="14">
        <v>145.98819162307097</v>
      </c>
      <c r="E343" s="14">
        <v>149.4794129457099</v>
      </c>
      <c r="F343" s="14">
        <v>154.50454363670173</v>
      </c>
      <c r="G343" s="14">
        <v>160.96988312377164</v>
      </c>
      <c r="H343" s="14">
        <v>168.53162930714626</v>
      </c>
      <c r="I343" s="14">
        <v>167.48652292415764</v>
      </c>
      <c r="J343" s="14">
        <v>173.32075855675942</v>
      </c>
      <c r="K343" s="14">
        <v>172.52225367988967</v>
      </c>
      <c r="L343" s="14">
        <v>171.21154567473852</v>
      </c>
      <c r="M343" s="14">
        <v>168.83423115528714</v>
      </c>
      <c r="N343" s="14">
        <v>163.48849850621772</v>
      </c>
      <c r="O343" s="14">
        <v>160.43487985623833</v>
      </c>
      <c r="P343" s="14">
        <v>158.43326763138882</v>
      </c>
      <c r="Q343" s="14">
        <v>155.023846808347</v>
      </c>
      <c r="R343" s="15">
        <v>151.2665238604917</v>
      </c>
      <c r="S343" s="14">
        <v>146.49939474524467</v>
      </c>
      <c r="T343" s="14">
        <v>145.63288945306238</v>
      </c>
      <c r="U343" s="14">
        <v>145.98819162307097</v>
      </c>
      <c r="V343" s="14">
        <v>149.4794129457099</v>
      </c>
      <c r="W343" s="14">
        <v>154.50454363670173</v>
      </c>
      <c r="X343" s="14">
        <v>160.96988312377164</v>
      </c>
      <c r="Y343" s="14">
        <v>168.53162930714626</v>
      </c>
      <c r="Z343" s="14">
        <v>167.48652292415764</v>
      </c>
      <c r="AA343" s="14">
        <v>173.32075855675942</v>
      </c>
      <c r="AB343" s="14">
        <v>172.52225367988967</v>
      </c>
      <c r="AC343" s="14">
        <v>171.21154567473852</v>
      </c>
      <c r="AD343" s="14">
        <v>168.83423115528714</v>
      </c>
      <c r="AE343" s="14">
        <v>163.48849850621772</v>
      </c>
      <c r="AF343" s="14">
        <v>160.43487985623833</v>
      </c>
      <c r="AG343" s="14">
        <v>158.43326763138882</v>
      </c>
      <c r="AH343" s="14">
        <v>155.023846808347</v>
      </c>
      <c r="AI343" s="15">
        <v>151.2665238604917</v>
      </c>
      <c r="AJ343" s="14">
        <v>144.72018387871182</v>
      </c>
      <c r="AK343" s="14">
        <v>148.09860451242022</v>
      </c>
      <c r="AL343" s="14">
        <v>145.98819162307097</v>
      </c>
      <c r="AM343" s="14">
        <v>149.4794129457099</v>
      </c>
      <c r="AN343" s="14">
        <v>154.50454363670173</v>
      </c>
      <c r="AO343" s="14">
        <v>160.96988312377164</v>
      </c>
      <c r="AP343" s="14">
        <v>168.53162930714626</v>
      </c>
      <c r="AQ343" s="14">
        <v>167.48652292415764</v>
      </c>
      <c r="AR343" s="14">
        <v>155.023846808347</v>
      </c>
      <c r="AS343" s="14">
        <v>151.2665238604917</v>
      </c>
    </row>
    <row r="344" spans="1:45" x14ac:dyDescent="0.35">
      <c r="A344" s="16">
        <v>10006.297488000031</v>
      </c>
      <c r="B344" s="14">
        <v>148.01450399877649</v>
      </c>
      <c r="C344" s="14">
        <v>145.64368951902387</v>
      </c>
      <c r="D344" s="14">
        <v>145.99849168597859</v>
      </c>
      <c r="E344" s="14">
        <v>149.47391291211818</v>
      </c>
      <c r="F344" s="14">
        <v>154.47454345347595</v>
      </c>
      <c r="G344" s="14">
        <v>160.90878275060041</v>
      </c>
      <c r="H344" s="14">
        <v>168.44382877090428</v>
      </c>
      <c r="I344" s="14">
        <v>167.38852232561871</v>
      </c>
      <c r="J344" s="14">
        <v>173.19685780003482</v>
      </c>
      <c r="K344" s="14">
        <v>172.41335301477861</v>
      </c>
      <c r="L344" s="14">
        <v>171.1197451140664</v>
      </c>
      <c r="M344" s="14">
        <v>168.75253065630136</v>
      </c>
      <c r="N344" s="14">
        <v>163.40869801883676</v>
      </c>
      <c r="O344" s="14">
        <v>160.35597937435307</v>
      </c>
      <c r="P344" s="14">
        <v>158.35276713973207</v>
      </c>
      <c r="Q344" s="14">
        <v>154.94844634783803</v>
      </c>
      <c r="R344" s="15">
        <v>151.19482342258163</v>
      </c>
      <c r="S344" s="14">
        <v>146.5168948521268</v>
      </c>
      <c r="T344" s="14">
        <v>145.64368951902387</v>
      </c>
      <c r="U344" s="14">
        <v>145.99849168597859</v>
      </c>
      <c r="V344" s="14">
        <v>149.47391291211818</v>
      </c>
      <c r="W344" s="14">
        <v>154.47454345347595</v>
      </c>
      <c r="X344" s="14">
        <v>160.90878275060041</v>
      </c>
      <c r="Y344" s="14">
        <v>168.44382877090428</v>
      </c>
      <c r="Z344" s="14">
        <v>167.38852232561871</v>
      </c>
      <c r="AA344" s="14">
        <v>173.19685780003482</v>
      </c>
      <c r="AB344" s="14">
        <v>172.41335301477861</v>
      </c>
      <c r="AC344" s="14">
        <v>171.1197451140664</v>
      </c>
      <c r="AD344" s="14">
        <v>168.75253065630136</v>
      </c>
      <c r="AE344" s="14">
        <v>163.40869801883676</v>
      </c>
      <c r="AF344" s="14">
        <v>160.35597937435307</v>
      </c>
      <c r="AG344" s="14">
        <v>158.35276713973207</v>
      </c>
      <c r="AH344" s="14">
        <v>154.94844634783803</v>
      </c>
      <c r="AI344" s="15">
        <v>151.19482342258163</v>
      </c>
      <c r="AJ344" s="14">
        <v>144.73748398437272</v>
      </c>
      <c r="AK344" s="14">
        <v>148.11660462235619</v>
      </c>
      <c r="AL344" s="14">
        <v>145.99849168597859</v>
      </c>
      <c r="AM344" s="14">
        <v>149.47391291211818</v>
      </c>
      <c r="AN344" s="14">
        <v>154.47454345347595</v>
      </c>
      <c r="AO344" s="14">
        <v>160.90878275060041</v>
      </c>
      <c r="AP344" s="14">
        <v>168.44382877090428</v>
      </c>
      <c r="AQ344" s="14">
        <v>167.38852232561871</v>
      </c>
      <c r="AR344" s="14">
        <v>154.94844634783803</v>
      </c>
      <c r="AS344" s="14">
        <v>151.19482342258163</v>
      </c>
    </row>
    <row r="345" spans="1:45" x14ac:dyDescent="0.35">
      <c r="A345" s="16">
        <v>10044.397488000031</v>
      </c>
      <c r="B345" s="14">
        <v>148.04060415818341</v>
      </c>
      <c r="C345" s="14">
        <v>145.66258963445622</v>
      </c>
      <c r="D345" s="14">
        <v>146.01709179957908</v>
      </c>
      <c r="E345" s="14">
        <v>149.47651292799807</v>
      </c>
      <c r="F345" s="14">
        <v>154.45264331972047</v>
      </c>
      <c r="G345" s="14">
        <v>160.85588242751211</v>
      </c>
      <c r="H345" s="14">
        <v>168.36402828352263</v>
      </c>
      <c r="I345" s="14">
        <v>167.2986217765507</v>
      </c>
      <c r="J345" s="14">
        <v>173.0808570915606</v>
      </c>
      <c r="K345" s="14">
        <v>172.31235239791727</v>
      </c>
      <c r="L345" s="14">
        <v>171.03574460103334</v>
      </c>
      <c r="M345" s="14">
        <v>168.67853020434333</v>
      </c>
      <c r="N345" s="14">
        <v>163.33679757970407</v>
      </c>
      <c r="O345" s="14">
        <v>160.28487894010752</v>
      </c>
      <c r="P345" s="14">
        <v>158.2800666957136</v>
      </c>
      <c r="Q345" s="14">
        <v>154.88074593435812</v>
      </c>
      <c r="R345" s="15">
        <v>151.13072303108797</v>
      </c>
      <c r="S345" s="14">
        <v>146.54229500725791</v>
      </c>
      <c r="T345" s="14">
        <v>145.66258963445622</v>
      </c>
      <c r="U345" s="14">
        <v>146.01709179957908</v>
      </c>
      <c r="V345" s="14">
        <v>149.47651292799807</v>
      </c>
      <c r="W345" s="14">
        <v>154.45264331972047</v>
      </c>
      <c r="X345" s="14">
        <v>160.85588242751211</v>
      </c>
      <c r="Y345" s="14">
        <v>168.36402828352263</v>
      </c>
      <c r="Z345" s="14">
        <v>167.2986217765507</v>
      </c>
      <c r="AA345" s="14">
        <v>173.0808570915606</v>
      </c>
      <c r="AB345" s="14">
        <v>172.31235239791727</v>
      </c>
      <c r="AC345" s="14">
        <v>171.03574460103334</v>
      </c>
      <c r="AD345" s="14">
        <v>168.67853020434333</v>
      </c>
      <c r="AE345" s="14">
        <v>163.33679757970407</v>
      </c>
      <c r="AF345" s="14">
        <v>160.28487894010752</v>
      </c>
      <c r="AG345" s="14">
        <v>158.2800666957136</v>
      </c>
      <c r="AH345" s="14">
        <v>154.88074593435812</v>
      </c>
      <c r="AI345" s="15">
        <v>151.13072303108797</v>
      </c>
      <c r="AJ345" s="14">
        <v>144.76258413767192</v>
      </c>
      <c r="AK345" s="14">
        <v>148.14270478176311</v>
      </c>
      <c r="AL345" s="14">
        <v>146.01709179957908</v>
      </c>
      <c r="AM345" s="14">
        <v>149.47651292799807</v>
      </c>
      <c r="AN345" s="14">
        <v>154.45264331972047</v>
      </c>
      <c r="AO345" s="14">
        <v>160.85588242751211</v>
      </c>
      <c r="AP345" s="14">
        <v>168.36402828352263</v>
      </c>
      <c r="AQ345" s="14">
        <v>167.2986217765507</v>
      </c>
      <c r="AR345" s="14">
        <v>154.88074593435812</v>
      </c>
      <c r="AS345" s="14">
        <v>151.13072303108797</v>
      </c>
    </row>
    <row r="346" spans="1:45" x14ac:dyDescent="0.35">
      <c r="A346" s="16">
        <v>10079.78248200003</v>
      </c>
      <c r="B346" s="14">
        <v>148.05550424918567</v>
      </c>
      <c r="C346" s="14">
        <v>145.67078968453779</v>
      </c>
      <c r="D346" s="14">
        <v>146.02499184782806</v>
      </c>
      <c r="E346" s="14">
        <v>149.4695128852448</v>
      </c>
      <c r="F346" s="14">
        <v>154.4230431389372</v>
      </c>
      <c r="G346" s="14">
        <v>160.79738207022081</v>
      </c>
      <c r="H346" s="14">
        <v>168.28042777293209</v>
      </c>
      <c r="I346" s="14">
        <v>167.20582120977159</v>
      </c>
      <c r="J346" s="14">
        <v>172.96385637697864</v>
      </c>
      <c r="K346" s="14">
        <v>172.20905176700859</v>
      </c>
      <c r="L346" s="14">
        <v>170.94814406601333</v>
      </c>
      <c r="M346" s="14">
        <v>168.60072972917706</v>
      </c>
      <c r="N346" s="14">
        <v>163.26089711614193</v>
      </c>
      <c r="O346" s="14">
        <v>160.20987848204174</v>
      </c>
      <c r="P346" s="14">
        <v>158.20346622787633</v>
      </c>
      <c r="Q346" s="14">
        <v>154.80894549583675</v>
      </c>
      <c r="R346" s="15">
        <v>151.0624226139436</v>
      </c>
      <c r="S346" s="14">
        <v>146.55669509520632</v>
      </c>
      <c r="T346" s="14">
        <v>145.67078968453779</v>
      </c>
      <c r="U346" s="14">
        <v>146.02499184782806</v>
      </c>
      <c r="V346" s="14">
        <v>149.4695128852448</v>
      </c>
      <c r="W346" s="14">
        <v>154.4230431389372</v>
      </c>
      <c r="X346" s="14">
        <v>160.79738207022081</v>
      </c>
      <c r="Y346" s="14">
        <v>168.28042777293209</v>
      </c>
      <c r="Z346" s="14">
        <v>167.20582120977159</v>
      </c>
      <c r="AA346" s="14">
        <v>172.96385637697864</v>
      </c>
      <c r="AB346" s="14">
        <v>172.20905176700859</v>
      </c>
      <c r="AC346" s="14">
        <v>170.94814406601333</v>
      </c>
      <c r="AD346" s="14">
        <v>168.60072972917706</v>
      </c>
      <c r="AE346" s="14">
        <v>163.26089711614193</v>
      </c>
      <c r="AF346" s="14">
        <v>160.20987848204174</v>
      </c>
      <c r="AG346" s="14">
        <v>158.20346622787633</v>
      </c>
      <c r="AH346" s="14">
        <v>154.80894549583675</v>
      </c>
      <c r="AI346" s="15">
        <v>151.0624226139436</v>
      </c>
      <c r="AJ346" s="14">
        <v>144.7768842250097</v>
      </c>
      <c r="AK346" s="14">
        <v>148.15760487276538</v>
      </c>
      <c r="AL346" s="14">
        <v>146.02499184782806</v>
      </c>
      <c r="AM346" s="14">
        <v>149.4695128852448</v>
      </c>
      <c r="AN346" s="14">
        <v>154.4230431389372</v>
      </c>
      <c r="AO346" s="14">
        <v>160.79738207022081</v>
      </c>
      <c r="AP346" s="14">
        <v>168.28042777293209</v>
      </c>
      <c r="AQ346" s="14">
        <v>167.20582120977159</v>
      </c>
      <c r="AR346" s="14">
        <v>154.80894549583675</v>
      </c>
      <c r="AS346" s="14">
        <v>151.0624226139436</v>
      </c>
    </row>
    <row r="347" spans="1:45" x14ac:dyDescent="0.35">
      <c r="A347" s="16">
        <v>10112.452470000031</v>
      </c>
      <c r="B347" s="14">
        <v>148.05920427178322</v>
      </c>
      <c r="C347" s="14">
        <v>145.66818966865856</v>
      </c>
      <c r="D347" s="14">
        <v>146.02229183133821</v>
      </c>
      <c r="E347" s="14">
        <v>149.45311278508171</v>
      </c>
      <c r="F347" s="14">
        <v>154.38554290990501</v>
      </c>
      <c r="G347" s="14">
        <v>160.73338167933846</v>
      </c>
      <c r="H347" s="14">
        <v>168.19302723913336</v>
      </c>
      <c r="I347" s="14">
        <v>167.10992062405802</v>
      </c>
      <c r="J347" s="14">
        <v>172.84565565506773</v>
      </c>
      <c r="K347" s="14">
        <v>172.10355112266322</v>
      </c>
      <c r="L347" s="14">
        <v>170.85724351083761</v>
      </c>
      <c r="M347" s="14">
        <v>168.51892922957998</v>
      </c>
      <c r="N347" s="14">
        <v>163.18109662876094</v>
      </c>
      <c r="O347" s="14">
        <v>160.13077799893591</v>
      </c>
      <c r="P347" s="14">
        <v>158.1230657368302</v>
      </c>
      <c r="Q347" s="14">
        <v>154.73304503227459</v>
      </c>
      <c r="R347" s="15">
        <v>150.98972216992516</v>
      </c>
      <c r="S347" s="14">
        <v>146.56039511780455</v>
      </c>
      <c r="T347" s="14">
        <v>145.66818966865856</v>
      </c>
      <c r="U347" s="14">
        <v>146.02229183133821</v>
      </c>
      <c r="V347" s="14">
        <v>149.45311278508171</v>
      </c>
      <c r="W347" s="14">
        <v>154.38554290990501</v>
      </c>
      <c r="X347" s="14">
        <v>160.73338167933846</v>
      </c>
      <c r="Y347" s="14">
        <v>168.19302723913336</v>
      </c>
      <c r="Z347" s="14">
        <v>167.10992062405802</v>
      </c>
      <c r="AA347" s="14">
        <v>172.84565565506773</v>
      </c>
      <c r="AB347" s="14">
        <v>172.10355112266322</v>
      </c>
      <c r="AC347" s="14">
        <v>170.85724351083761</v>
      </c>
      <c r="AD347" s="14">
        <v>168.51892922957998</v>
      </c>
      <c r="AE347" s="14">
        <v>163.18109662876094</v>
      </c>
      <c r="AF347" s="14">
        <v>160.13077799893591</v>
      </c>
      <c r="AG347" s="14">
        <v>158.1230657368302</v>
      </c>
      <c r="AH347" s="14">
        <v>154.73304503227459</v>
      </c>
      <c r="AI347" s="15">
        <v>150.98972216992516</v>
      </c>
      <c r="AJ347" s="14">
        <v>144.78038424638598</v>
      </c>
      <c r="AK347" s="14">
        <v>148.16130489536295</v>
      </c>
      <c r="AL347" s="14">
        <v>146.02229183133821</v>
      </c>
      <c r="AM347" s="14">
        <v>149.45311278508171</v>
      </c>
      <c r="AN347" s="14">
        <v>154.38554290990501</v>
      </c>
      <c r="AO347" s="14">
        <v>160.73338167933846</v>
      </c>
      <c r="AP347" s="14">
        <v>168.19302723913336</v>
      </c>
      <c r="AQ347" s="14">
        <v>167.10992062405802</v>
      </c>
      <c r="AR347" s="14">
        <v>154.73304503227459</v>
      </c>
      <c r="AS347" s="14">
        <v>150.98972216992516</v>
      </c>
    </row>
    <row r="348" spans="1:45" x14ac:dyDescent="0.35">
      <c r="A348" s="16">
        <v>10140.14202600003</v>
      </c>
      <c r="B348" s="14">
        <v>148.04830420521111</v>
      </c>
      <c r="C348" s="14">
        <v>145.65198956971673</v>
      </c>
      <c r="D348" s="14">
        <v>146.00589173117439</v>
      </c>
      <c r="E348" s="14">
        <v>149.42511261407068</v>
      </c>
      <c r="F348" s="14">
        <v>154.3398426307906</v>
      </c>
      <c r="G348" s="14">
        <v>160.66498126158274</v>
      </c>
      <c r="H348" s="14">
        <v>168.1049267010595</v>
      </c>
      <c r="I348" s="14">
        <v>167.01462004200962</v>
      </c>
      <c r="J348" s="14">
        <v>172.73135495697562</v>
      </c>
      <c r="K348" s="14">
        <v>171.99995048992193</v>
      </c>
      <c r="L348" s="14">
        <v>170.76624295505195</v>
      </c>
      <c r="M348" s="14">
        <v>168.43592872265464</v>
      </c>
      <c r="N348" s="14">
        <v>163.09989613282835</v>
      </c>
      <c r="O348" s="14">
        <v>160.05017750666781</v>
      </c>
      <c r="P348" s="14">
        <v>158.0412652372338</v>
      </c>
      <c r="Q348" s="14">
        <v>154.65514455649702</v>
      </c>
      <c r="R348" s="15">
        <v>150.91482171247071</v>
      </c>
      <c r="S348" s="14">
        <v>146.54979505306437</v>
      </c>
      <c r="T348" s="14">
        <v>145.65198956971673</v>
      </c>
      <c r="U348" s="14">
        <v>146.00589173117439</v>
      </c>
      <c r="V348" s="14">
        <v>149.42511261407068</v>
      </c>
      <c r="W348" s="14">
        <v>154.3398426307906</v>
      </c>
      <c r="X348" s="14">
        <v>160.66498126158274</v>
      </c>
      <c r="Y348" s="14">
        <v>168.1049267010595</v>
      </c>
      <c r="Z348" s="14">
        <v>167.01462004200962</v>
      </c>
      <c r="AA348" s="14">
        <v>172.73135495697562</v>
      </c>
      <c r="AB348" s="14">
        <v>171.99995048992193</v>
      </c>
      <c r="AC348" s="14">
        <v>170.76624295505195</v>
      </c>
      <c r="AD348" s="14">
        <v>168.43592872265464</v>
      </c>
      <c r="AE348" s="14">
        <v>163.09989613282835</v>
      </c>
      <c r="AF348" s="14">
        <v>160.05017750666781</v>
      </c>
      <c r="AG348" s="14">
        <v>158.0412652372338</v>
      </c>
      <c r="AH348" s="14">
        <v>154.65514455649702</v>
      </c>
      <c r="AI348" s="15">
        <v>150.91482171247071</v>
      </c>
      <c r="AJ348" s="14">
        <v>144.76998418286703</v>
      </c>
      <c r="AK348" s="14">
        <v>148.15040482879084</v>
      </c>
      <c r="AL348" s="14">
        <v>146.00589173117439</v>
      </c>
      <c r="AM348" s="14">
        <v>149.42511261407068</v>
      </c>
      <c r="AN348" s="14">
        <v>154.3398426307906</v>
      </c>
      <c r="AO348" s="14">
        <v>160.66498126158274</v>
      </c>
      <c r="AP348" s="14">
        <v>168.1049267010595</v>
      </c>
      <c r="AQ348" s="14">
        <v>167.01462004200962</v>
      </c>
      <c r="AR348" s="14">
        <v>154.65514455649702</v>
      </c>
      <c r="AS348" s="14">
        <v>150.91482171247071</v>
      </c>
    </row>
    <row r="349" spans="1:45" x14ac:dyDescent="0.35">
      <c r="A349" s="16">
        <v>10162.851150000031</v>
      </c>
      <c r="B349" s="14">
        <v>148.02280404946868</v>
      </c>
      <c r="C349" s="14">
        <v>145.62198938649027</v>
      </c>
      <c r="D349" s="14">
        <v>145.9759915485586</v>
      </c>
      <c r="E349" s="14">
        <v>149.38561237282238</v>
      </c>
      <c r="F349" s="14">
        <v>154.28584230098329</v>
      </c>
      <c r="G349" s="14">
        <v>160.59238081817563</v>
      </c>
      <c r="H349" s="14">
        <v>168.01562615565598</v>
      </c>
      <c r="I349" s="14">
        <v>166.91991946362572</v>
      </c>
      <c r="J349" s="14">
        <v>172.62105428331435</v>
      </c>
      <c r="K349" s="14">
        <v>171.89844987000669</v>
      </c>
      <c r="L349" s="14">
        <v>170.675142398655</v>
      </c>
      <c r="M349" s="14">
        <v>168.35172820839961</v>
      </c>
      <c r="N349" s="14">
        <v>163.01719562773491</v>
      </c>
      <c r="O349" s="14">
        <v>159.96807700523883</v>
      </c>
      <c r="P349" s="14">
        <v>157.95826473030775</v>
      </c>
      <c r="Q349" s="14">
        <v>154.57534406911537</v>
      </c>
      <c r="R349" s="15">
        <v>150.83762124096893</v>
      </c>
      <c r="S349" s="14">
        <v>146.52509490220837</v>
      </c>
      <c r="T349" s="14">
        <v>145.62198938649027</v>
      </c>
      <c r="U349" s="14">
        <v>145.9759915485586</v>
      </c>
      <c r="V349" s="14">
        <v>149.38561237282238</v>
      </c>
      <c r="W349" s="14">
        <v>154.28584230098329</v>
      </c>
      <c r="X349" s="14">
        <v>160.59238081817563</v>
      </c>
      <c r="Y349" s="14">
        <v>168.01562615565598</v>
      </c>
      <c r="Z349" s="14">
        <v>166.91991946362572</v>
      </c>
      <c r="AA349" s="14">
        <v>172.62105428331435</v>
      </c>
      <c r="AB349" s="14">
        <v>171.89844987000669</v>
      </c>
      <c r="AC349" s="14">
        <v>170.675142398655</v>
      </c>
      <c r="AD349" s="14">
        <v>168.35172820839961</v>
      </c>
      <c r="AE349" s="14">
        <v>163.01719562773491</v>
      </c>
      <c r="AF349" s="14">
        <v>159.96807700523883</v>
      </c>
      <c r="AG349" s="14">
        <v>157.95826473030775</v>
      </c>
      <c r="AH349" s="14">
        <v>154.57534406911537</v>
      </c>
      <c r="AI349" s="15">
        <v>150.83762124096893</v>
      </c>
      <c r="AJ349" s="14">
        <v>144.74548403323303</v>
      </c>
      <c r="AK349" s="14">
        <v>148.12490467304838</v>
      </c>
      <c r="AL349" s="14">
        <v>145.9759915485586</v>
      </c>
      <c r="AM349" s="14">
        <v>149.38561237282238</v>
      </c>
      <c r="AN349" s="14">
        <v>154.28584230098329</v>
      </c>
      <c r="AO349" s="14">
        <v>160.59238081817563</v>
      </c>
      <c r="AP349" s="14">
        <v>168.01562615565598</v>
      </c>
      <c r="AQ349" s="14">
        <v>166.91991946362572</v>
      </c>
      <c r="AR349" s="14">
        <v>154.57534406911537</v>
      </c>
      <c r="AS349" s="14">
        <v>150.83762124096893</v>
      </c>
    </row>
    <row r="350" spans="1:45" x14ac:dyDescent="0.35">
      <c r="A350" s="16">
        <v>10185.56027400003</v>
      </c>
      <c r="B350" s="14">
        <v>148.00110391693511</v>
      </c>
      <c r="C350" s="14">
        <v>145.5957892264727</v>
      </c>
      <c r="D350" s="14">
        <v>145.94979138854171</v>
      </c>
      <c r="E350" s="14">
        <v>149.34981215417301</v>
      </c>
      <c r="F350" s="14">
        <v>154.23554199377421</v>
      </c>
      <c r="G350" s="14">
        <v>160.52358039797667</v>
      </c>
      <c r="H350" s="14">
        <v>167.93002563285071</v>
      </c>
      <c r="I350" s="14">
        <v>166.82901890845068</v>
      </c>
      <c r="J350" s="14">
        <v>172.51455363286126</v>
      </c>
      <c r="K350" s="14">
        <v>171.80064927268972</v>
      </c>
      <c r="L350" s="14">
        <v>170.58764186424563</v>
      </c>
      <c r="M350" s="14">
        <v>168.27112771613218</v>
      </c>
      <c r="N350" s="14">
        <v>162.93809514462905</v>
      </c>
      <c r="O350" s="14">
        <v>159.88957652579745</v>
      </c>
      <c r="P350" s="14">
        <v>157.8788642453693</v>
      </c>
      <c r="Q350" s="14">
        <v>154.49914360372134</v>
      </c>
      <c r="R350" s="15">
        <v>150.76392079084277</v>
      </c>
      <c r="S350" s="14">
        <v>146.50409477394993</v>
      </c>
      <c r="T350" s="14">
        <v>145.5957892264727</v>
      </c>
      <c r="U350" s="14">
        <v>145.94979138854171</v>
      </c>
      <c r="V350" s="14">
        <v>149.34981215417301</v>
      </c>
      <c r="W350" s="14">
        <v>154.23554199377421</v>
      </c>
      <c r="X350" s="14">
        <v>160.52358039797667</v>
      </c>
      <c r="Y350" s="14">
        <v>167.93002563285071</v>
      </c>
      <c r="Z350" s="14">
        <v>166.82901890845068</v>
      </c>
      <c r="AA350" s="14">
        <v>172.51455363286126</v>
      </c>
      <c r="AB350" s="14">
        <v>171.80064927268972</v>
      </c>
      <c r="AC350" s="14">
        <v>170.58764186424563</v>
      </c>
      <c r="AD350" s="14">
        <v>168.27112771613218</v>
      </c>
      <c r="AE350" s="14">
        <v>162.93809514462905</v>
      </c>
      <c r="AF350" s="14">
        <v>159.88957652579745</v>
      </c>
      <c r="AG350" s="14">
        <v>157.8788642453693</v>
      </c>
      <c r="AH350" s="14">
        <v>154.49914360372134</v>
      </c>
      <c r="AI350" s="15">
        <v>150.76392079084277</v>
      </c>
      <c r="AJ350" s="14">
        <v>144.72458390558518</v>
      </c>
      <c r="AK350" s="14">
        <v>148.10320454051484</v>
      </c>
      <c r="AL350" s="14">
        <v>145.94979138854171</v>
      </c>
      <c r="AM350" s="14">
        <v>149.34981215417301</v>
      </c>
      <c r="AN350" s="14">
        <v>154.23554199377421</v>
      </c>
      <c r="AO350" s="14">
        <v>160.52358039797667</v>
      </c>
      <c r="AP350" s="14">
        <v>167.93002563285071</v>
      </c>
      <c r="AQ350" s="14">
        <v>166.82901890845068</v>
      </c>
      <c r="AR350" s="14">
        <v>154.49914360372134</v>
      </c>
      <c r="AS350" s="14">
        <v>150.76392079084277</v>
      </c>
    </row>
    <row r="351" spans="1:45" x14ac:dyDescent="0.35">
      <c r="A351" s="16">
        <v>10208.269398000029</v>
      </c>
      <c r="B351" s="14">
        <v>147.98310380699982</v>
      </c>
      <c r="C351" s="14">
        <v>145.57328908905339</v>
      </c>
      <c r="D351" s="14">
        <v>145.92729125112172</v>
      </c>
      <c r="E351" s="14">
        <v>149.31781195873114</v>
      </c>
      <c r="F351" s="14">
        <v>154.18894170916269</v>
      </c>
      <c r="G351" s="14">
        <v>160.45858000098661</v>
      </c>
      <c r="H351" s="14">
        <v>167.84812513264299</v>
      </c>
      <c r="I351" s="14">
        <v>166.74181837587324</v>
      </c>
      <c r="J351" s="14">
        <v>172.41175300500643</v>
      </c>
      <c r="K351" s="14">
        <v>171.70644869735966</v>
      </c>
      <c r="L351" s="14">
        <v>170.50374135182315</v>
      </c>
      <c r="M351" s="14">
        <v>168.19412724585169</v>
      </c>
      <c r="N351" s="14">
        <v>162.86269468412007</v>
      </c>
      <c r="O351" s="14">
        <v>159.81467606834303</v>
      </c>
      <c r="P351" s="14">
        <v>157.80306378241781</v>
      </c>
      <c r="Q351" s="14">
        <v>154.42654316031422</v>
      </c>
      <c r="R351" s="15">
        <v>150.69392036331558</v>
      </c>
      <c r="S351" s="14">
        <v>146.48669466767907</v>
      </c>
      <c r="T351" s="14">
        <v>145.57328908905339</v>
      </c>
      <c r="U351" s="14">
        <v>145.92729125112172</v>
      </c>
      <c r="V351" s="14">
        <v>149.31781195873114</v>
      </c>
      <c r="W351" s="14">
        <v>154.18894170916269</v>
      </c>
      <c r="X351" s="14">
        <v>160.45858000098661</v>
      </c>
      <c r="Y351" s="14">
        <v>167.84812513264299</v>
      </c>
      <c r="Z351" s="14">
        <v>166.74181837587324</v>
      </c>
      <c r="AA351" s="14">
        <v>172.41175300500643</v>
      </c>
      <c r="AB351" s="14">
        <v>171.70644869735966</v>
      </c>
      <c r="AC351" s="14">
        <v>170.50374135182315</v>
      </c>
      <c r="AD351" s="14">
        <v>168.19412724585169</v>
      </c>
      <c r="AE351" s="14">
        <v>162.86269468412007</v>
      </c>
      <c r="AF351" s="14">
        <v>159.81467606834303</v>
      </c>
      <c r="AG351" s="14">
        <v>157.80306378241781</v>
      </c>
      <c r="AH351" s="14">
        <v>154.42654316031422</v>
      </c>
      <c r="AI351" s="15">
        <v>150.69392036331558</v>
      </c>
      <c r="AJ351" s="14">
        <v>144.70728379992499</v>
      </c>
      <c r="AK351" s="14">
        <v>148.08520443057952</v>
      </c>
      <c r="AL351" s="14">
        <v>145.92729125112172</v>
      </c>
      <c r="AM351" s="14">
        <v>149.31781195873114</v>
      </c>
      <c r="AN351" s="14">
        <v>154.18894170916269</v>
      </c>
      <c r="AO351" s="14">
        <v>160.45858000098661</v>
      </c>
      <c r="AP351" s="14">
        <v>167.84812513264299</v>
      </c>
      <c r="AQ351" s="14">
        <v>166.74181837587324</v>
      </c>
      <c r="AR351" s="14">
        <v>154.42654316031422</v>
      </c>
      <c r="AS351" s="14">
        <v>150.69392036331558</v>
      </c>
    </row>
    <row r="352" spans="1:45" x14ac:dyDescent="0.35">
      <c r="A352" s="16">
        <v>10238.673960000031</v>
      </c>
      <c r="B352" s="14">
        <v>148.02180404336164</v>
      </c>
      <c r="C352" s="14">
        <v>145.60608928938035</v>
      </c>
      <c r="D352" s="14">
        <v>145.96009145144933</v>
      </c>
      <c r="E352" s="14">
        <v>149.33781208088189</v>
      </c>
      <c r="F352" s="14">
        <v>154.18954171282718</v>
      </c>
      <c r="G352" s="14">
        <v>160.43437985318448</v>
      </c>
      <c r="H352" s="14">
        <v>167.80102484497834</v>
      </c>
      <c r="I352" s="14">
        <v>166.68791804667723</v>
      </c>
      <c r="J352" s="14">
        <v>172.33705254877327</v>
      </c>
      <c r="K352" s="14">
        <v>171.64284830891989</v>
      </c>
      <c r="L352" s="14">
        <v>170.45294104156025</v>
      </c>
      <c r="M352" s="14">
        <v>168.15192698811356</v>
      </c>
      <c r="N352" s="14">
        <v>162.8223944379867</v>
      </c>
      <c r="O352" s="14">
        <v>159.77507582648408</v>
      </c>
      <c r="P352" s="14">
        <v>157.76206353200863</v>
      </c>
      <c r="Q352" s="14">
        <v>154.38964293494581</v>
      </c>
      <c r="R352" s="15">
        <v>150.65972015443774</v>
      </c>
      <c r="S352" s="14">
        <v>146.52419489671126</v>
      </c>
      <c r="T352" s="14">
        <v>145.60608928938035</v>
      </c>
      <c r="U352" s="14">
        <v>145.96009145144933</v>
      </c>
      <c r="V352" s="14">
        <v>149.33781208088189</v>
      </c>
      <c r="W352" s="14">
        <v>154.18954171282718</v>
      </c>
      <c r="X352" s="14">
        <v>160.43437985318448</v>
      </c>
      <c r="Y352" s="14">
        <v>167.80102484497834</v>
      </c>
      <c r="Z352" s="14">
        <v>166.68791804667723</v>
      </c>
      <c r="AA352" s="14">
        <v>172.33705254877327</v>
      </c>
      <c r="AB352" s="14">
        <v>171.64284830891989</v>
      </c>
      <c r="AC352" s="14">
        <v>170.45294104156025</v>
      </c>
      <c r="AD352" s="14">
        <v>168.15192698811356</v>
      </c>
      <c r="AE352" s="14">
        <v>162.8223944379867</v>
      </c>
      <c r="AF352" s="14">
        <v>159.77507582648408</v>
      </c>
      <c r="AG352" s="14">
        <v>157.76206353200863</v>
      </c>
      <c r="AH352" s="14">
        <v>154.38964293494581</v>
      </c>
      <c r="AI352" s="15">
        <v>150.65972015443774</v>
      </c>
      <c r="AJ352" s="14">
        <v>144.74448402712531</v>
      </c>
      <c r="AK352" s="14">
        <v>148.12390466694137</v>
      </c>
      <c r="AL352" s="14">
        <v>145.96009145144933</v>
      </c>
      <c r="AM352" s="14">
        <v>149.33781208088189</v>
      </c>
      <c r="AN352" s="14">
        <v>154.18954171282718</v>
      </c>
      <c r="AO352" s="14">
        <v>160.43437985318448</v>
      </c>
      <c r="AP352" s="14">
        <v>167.80102484497834</v>
      </c>
      <c r="AQ352" s="14">
        <v>166.68791804667723</v>
      </c>
      <c r="AR352" s="14">
        <v>154.38964293494581</v>
      </c>
      <c r="AS352" s="14">
        <v>150.65972015443774</v>
      </c>
    </row>
    <row r="353" spans="1:45" x14ac:dyDescent="0.35">
      <c r="A353" s="16">
        <v>10276.773960000031</v>
      </c>
      <c r="B353" s="14">
        <v>148.11710462541006</v>
      </c>
      <c r="C353" s="14">
        <v>145.69398982623292</v>
      </c>
      <c r="D353" s="14">
        <v>146.0479919883019</v>
      </c>
      <c r="E353" s="14">
        <v>149.40971252001455</v>
      </c>
      <c r="F353" s="14">
        <v>154.23704200293508</v>
      </c>
      <c r="G353" s="14">
        <v>160.45147995762341</v>
      </c>
      <c r="H353" s="14">
        <v>167.78902477168788</v>
      </c>
      <c r="I353" s="14">
        <v>166.66791792452651</v>
      </c>
      <c r="J353" s="14">
        <v>172.29025226294047</v>
      </c>
      <c r="K353" s="14">
        <v>171.60974810676038</v>
      </c>
      <c r="L353" s="14">
        <v>170.43494093162425</v>
      </c>
      <c r="M353" s="14">
        <v>168.14442694230709</v>
      </c>
      <c r="N353" s="14">
        <v>162.81719440622757</v>
      </c>
      <c r="O353" s="14">
        <v>159.7706757996107</v>
      </c>
      <c r="P353" s="14">
        <v>157.75596349475313</v>
      </c>
      <c r="Q353" s="14">
        <v>154.38844292761684</v>
      </c>
      <c r="R353" s="15">
        <v>150.6615201654312</v>
      </c>
      <c r="S353" s="14">
        <v>146.61659546104787</v>
      </c>
      <c r="T353" s="14">
        <v>145.69398982623292</v>
      </c>
      <c r="U353" s="14">
        <v>146.0479919883019</v>
      </c>
      <c r="V353" s="14">
        <v>149.40971252001455</v>
      </c>
      <c r="W353" s="14">
        <v>154.23704200293508</v>
      </c>
      <c r="X353" s="14">
        <v>160.45147995762341</v>
      </c>
      <c r="Y353" s="14">
        <v>167.78902477168788</v>
      </c>
      <c r="Z353" s="14">
        <v>166.66791792452651</v>
      </c>
      <c r="AA353" s="14">
        <v>172.29025226294047</v>
      </c>
      <c r="AB353" s="14">
        <v>171.60974810676038</v>
      </c>
      <c r="AC353" s="14">
        <v>170.43494093162425</v>
      </c>
      <c r="AD353" s="14">
        <v>168.14442694230709</v>
      </c>
      <c r="AE353" s="14">
        <v>162.81719440622757</v>
      </c>
      <c r="AF353" s="14">
        <v>159.7706757996107</v>
      </c>
      <c r="AG353" s="14">
        <v>157.75596349475313</v>
      </c>
      <c r="AH353" s="14">
        <v>154.38844292761684</v>
      </c>
      <c r="AI353" s="15">
        <v>150.6615201654312</v>
      </c>
      <c r="AJ353" s="14">
        <v>144.83608458657545</v>
      </c>
      <c r="AK353" s="14">
        <v>148.21920524898977</v>
      </c>
      <c r="AL353" s="14">
        <v>146.0479919883019</v>
      </c>
      <c r="AM353" s="14">
        <v>149.40971252001455</v>
      </c>
      <c r="AN353" s="14">
        <v>154.23704200293508</v>
      </c>
      <c r="AO353" s="14">
        <v>160.45147995762341</v>
      </c>
      <c r="AP353" s="14">
        <v>167.78902477168788</v>
      </c>
      <c r="AQ353" s="14">
        <v>166.66791792452651</v>
      </c>
      <c r="AR353" s="14">
        <v>154.38844292761684</v>
      </c>
      <c r="AS353" s="14">
        <v>150.6615201654312</v>
      </c>
    </row>
    <row r="354" spans="1:45" x14ac:dyDescent="0.35">
      <c r="A354" s="16">
        <v>10314.87396000003</v>
      </c>
      <c r="B354" s="14">
        <v>148.24700541877883</v>
      </c>
      <c r="C354" s="14">
        <v>145.81659057501722</v>
      </c>
      <c r="D354" s="14">
        <v>146.17039273586425</v>
      </c>
      <c r="E354" s="14">
        <v>149.51611316985634</v>
      </c>
      <c r="F354" s="14">
        <v>154.31924250497539</v>
      </c>
      <c r="G354" s="14">
        <v>160.50318027338275</v>
      </c>
      <c r="H354" s="14">
        <v>167.81132490788593</v>
      </c>
      <c r="I354" s="14">
        <v>166.68251801369615</v>
      </c>
      <c r="J354" s="14">
        <v>172.27815218903939</v>
      </c>
      <c r="K354" s="14">
        <v>171.61094811408935</v>
      </c>
      <c r="L354" s="14">
        <v>170.45064102751223</v>
      </c>
      <c r="M354" s="14">
        <v>168.1703271004921</v>
      </c>
      <c r="N354" s="14">
        <v>162.84539457845986</v>
      </c>
      <c r="O354" s="14">
        <v>159.79977597734009</v>
      </c>
      <c r="P354" s="14">
        <v>157.78316366087768</v>
      </c>
      <c r="Q354" s="14">
        <v>154.42034312244738</v>
      </c>
      <c r="R354" s="15">
        <v>150.69602037614095</v>
      </c>
      <c r="S354" s="14">
        <v>146.74259623059783</v>
      </c>
      <c r="T354" s="14">
        <v>145.81659057501722</v>
      </c>
      <c r="U354" s="14">
        <v>146.17039273586425</v>
      </c>
      <c r="V354" s="14">
        <v>149.51611316985634</v>
      </c>
      <c r="W354" s="14">
        <v>154.31924250497539</v>
      </c>
      <c r="X354" s="14">
        <v>160.50318027338275</v>
      </c>
      <c r="Y354" s="14">
        <v>167.81132490788593</v>
      </c>
      <c r="Z354" s="14">
        <v>166.68251801369615</v>
      </c>
      <c r="AA354" s="14">
        <v>172.27815218903939</v>
      </c>
      <c r="AB354" s="14">
        <v>171.61094811408935</v>
      </c>
      <c r="AC354" s="14">
        <v>170.45064102751223</v>
      </c>
      <c r="AD354" s="14">
        <v>168.1703271004921</v>
      </c>
      <c r="AE354" s="14">
        <v>162.84539457845986</v>
      </c>
      <c r="AF354" s="14">
        <v>159.79977597734009</v>
      </c>
      <c r="AG354" s="14">
        <v>157.78316366087768</v>
      </c>
      <c r="AH354" s="14">
        <v>154.42034312244738</v>
      </c>
      <c r="AI354" s="15">
        <v>150.69602037614095</v>
      </c>
      <c r="AJ354" s="14">
        <v>144.96078534818577</v>
      </c>
      <c r="AK354" s="14">
        <v>148.34910604235856</v>
      </c>
      <c r="AL354" s="14">
        <v>146.17039273586425</v>
      </c>
      <c r="AM354" s="14">
        <v>149.51611316985634</v>
      </c>
      <c r="AN354" s="14">
        <v>154.31924250497539</v>
      </c>
      <c r="AO354" s="14">
        <v>160.50318027338275</v>
      </c>
      <c r="AP354" s="14">
        <v>167.81132490788593</v>
      </c>
      <c r="AQ354" s="14">
        <v>166.68251801369615</v>
      </c>
      <c r="AR354" s="14">
        <v>154.42034312244738</v>
      </c>
      <c r="AS354" s="14">
        <v>150.69602037614095</v>
      </c>
    </row>
    <row r="355" spans="1:45" x14ac:dyDescent="0.35">
      <c r="A355" s="16">
        <v>10352.97396000003</v>
      </c>
      <c r="B355" s="14">
        <v>148.41140642285873</v>
      </c>
      <c r="C355" s="14">
        <v>145.97359153390065</v>
      </c>
      <c r="D355" s="14">
        <v>146.32739369474766</v>
      </c>
      <c r="E355" s="14">
        <v>149.65711403101915</v>
      </c>
      <c r="F355" s="14">
        <v>154.43604321833539</v>
      </c>
      <c r="G355" s="14">
        <v>160.58948080046383</v>
      </c>
      <c r="H355" s="14">
        <v>167.86782525296186</v>
      </c>
      <c r="I355" s="14">
        <v>166.73161831357623</v>
      </c>
      <c r="J355" s="14">
        <v>172.3006523264587</v>
      </c>
      <c r="K355" s="14">
        <v>171.64654833151812</v>
      </c>
      <c r="L355" s="14">
        <v>170.50004132922493</v>
      </c>
      <c r="M355" s="14">
        <v>168.2297274632798</v>
      </c>
      <c r="N355" s="14">
        <v>162.90699495468428</v>
      </c>
      <c r="O355" s="14">
        <v>159.86217635845091</v>
      </c>
      <c r="P355" s="14">
        <v>157.84376403099506</v>
      </c>
      <c r="Q355" s="14">
        <v>154.48544352004805</v>
      </c>
      <c r="R355" s="15">
        <v>150.76342078778893</v>
      </c>
      <c r="S355" s="14">
        <v>146.90199720413989</v>
      </c>
      <c r="T355" s="14">
        <v>145.97359153390065</v>
      </c>
      <c r="U355" s="14">
        <v>146.32739369474766</v>
      </c>
      <c r="V355" s="14">
        <v>149.65711403101915</v>
      </c>
      <c r="W355" s="14">
        <v>154.43604321833539</v>
      </c>
      <c r="X355" s="14">
        <v>160.58948080046383</v>
      </c>
      <c r="Y355" s="14">
        <v>167.86782525296186</v>
      </c>
      <c r="Z355" s="14">
        <v>166.73161831357623</v>
      </c>
      <c r="AA355" s="14">
        <v>172.3006523264587</v>
      </c>
      <c r="AB355" s="14">
        <v>171.64654833151812</v>
      </c>
      <c r="AC355" s="14">
        <v>170.50004132922493</v>
      </c>
      <c r="AD355" s="14">
        <v>168.2297274632798</v>
      </c>
      <c r="AE355" s="14">
        <v>162.90699495468428</v>
      </c>
      <c r="AF355" s="14">
        <v>159.86217635845091</v>
      </c>
      <c r="AG355" s="14">
        <v>157.84376403099506</v>
      </c>
      <c r="AH355" s="14">
        <v>154.48544352004805</v>
      </c>
      <c r="AI355" s="15">
        <v>150.76342078778893</v>
      </c>
      <c r="AJ355" s="14">
        <v>145.11878631317691</v>
      </c>
      <c r="AK355" s="14">
        <v>148.51350704643846</v>
      </c>
      <c r="AL355" s="14">
        <v>146.32739369474766</v>
      </c>
      <c r="AM355" s="14">
        <v>149.65711403101915</v>
      </c>
      <c r="AN355" s="14">
        <v>154.43604321833539</v>
      </c>
      <c r="AO355" s="14">
        <v>160.58948080046383</v>
      </c>
      <c r="AP355" s="14">
        <v>167.86782525296186</v>
      </c>
      <c r="AQ355" s="14">
        <v>166.73161831357623</v>
      </c>
      <c r="AR355" s="14">
        <v>154.48544352004805</v>
      </c>
      <c r="AS355" s="14">
        <v>150.76342078778893</v>
      </c>
    </row>
    <row r="356" spans="1:45" x14ac:dyDescent="0.35">
      <c r="A356" s="16">
        <v>10391.073960000031</v>
      </c>
      <c r="B356" s="14">
        <v>148.55990732982801</v>
      </c>
      <c r="C356" s="14">
        <v>146.11469239567478</v>
      </c>
      <c r="D356" s="14">
        <v>146.46839455591117</v>
      </c>
      <c r="E356" s="14">
        <v>149.78211479446139</v>
      </c>
      <c r="F356" s="14">
        <v>154.53684383397547</v>
      </c>
      <c r="G356" s="14">
        <v>160.65988123043425</v>
      </c>
      <c r="H356" s="14">
        <v>167.90802549848459</v>
      </c>
      <c r="I356" s="14">
        <v>166.76471851573575</v>
      </c>
      <c r="J356" s="14">
        <v>172.30705236554752</v>
      </c>
      <c r="K356" s="14">
        <v>171.66594845000435</v>
      </c>
      <c r="L356" s="14">
        <v>170.53344153321703</v>
      </c>
      <c r="M356" s="14">
        <v>168.27342773017952</v>
      </c>
      <c r="N356" s="14">
        <v>162.95319523685257</v>
      </c>
      <c r="O356" s="14">
        <v>159.90907664489436</v>
      </c>
      <c r="P356" s="14">
        <v>157.88876430583437</v>
      </c>
      <c r="Q356" s="14">
        <v>154.53524382420329</v>
      </c>
      <c r="R356" s="15">
        <v>150.81572110721345</v>
      </c>
      <c r="S356" s="14">
        <v>147.04589808301452</v>
      </c>
      <c r="T356" s="14">
        <v>146.11469239567478</v>
      </c>
      <c r="U356" s="14">
        <v>146.46839455591117</v>
      </c>
      <c r="V356" s="14">
        <v>149.78211479446139</v>
      </c>
      <c r="W356" s="14">
        <v>154.53684383397547</v>
      </c>
      <c r="X356" s="14">
        <v>160.65988123043425</v>
      </c>
      <c r="Y356" s="14">
        <v>167.90802549848459</v>
      </c>
      <c r="Z356" s="14">
        <v>166.76471851573575</v>
      </c>
      <c r="AA356" s="14">
        <v>172.30705236554752</v>
      </c>
      <c r="AB356" s="14">
        <v>171.66594845000435</v>
      </c>
      <c r="AC356" s="14">
        <v>170.53344153321703</v>
      </c>
      <c r="AD356" s="14">
        <v>168.27342773017952</v>
      </c>
      <c r="AE356" s="14">
        <v>162.95319523685257</v>
      </c>
      <c r="AF356" s="14">
        <v>159.90907664489436</v>
      </c>
      <c r="AG356" s="14">
        <v>157.88876430583437</v>
      </c>
      <c r="AH356" s="14">
        <v>154.53524382420329</v>
      </c>
      <c r="AI356" s="15">
        <v>150.81572110721345</v>
      </c>
      <c r="AJ356" s="14">
        <v>145.26138718411192</v>
      </c>
      <c r="AK356" s="14">
        <v>148.66200795340771</v>
      </c>
      <c r="AL356" s="14">
        <v>146.46839455591117</v>
      </c>
      <c r="AM356" s="14">
        <v>149.78211479446139</v>
      </c>
      <c r="AN356" s="14">
        <v>154.53684383397547</v>
      </c>
      <c r="AO356" s="14">
        <v>160.65988123043425</v>
      </c>
      <c r="AP356" s="14">
        <v>167.90802549848459</v>
      </c>
      <c r="AQ356" s="14">
        <v>166.76471851573575</v>
      </c>
      <c r="AR356" s="14">
        <v>154.53524382420329</v>
      </c>
      <c r="AS356" s="14">
        <v>150.81572110721345</v>
      </c>
    </row>
    <row r="357" spans="1:45" x14ac:dyDescent="0.35">
      <c r="A357" s="16">
        <v>10429.173960000031</v>
      </c>
      <c r="B357" s="14">
        <v>148.69240813907669</v>
      </c>
      <c r="C357" s="14">
        <v>146.23959315850641</v>
      </c>
      <c r="D357" s="14">
        <v>146.59339531935342</v>
      </c>
      <c r="E357" s="14">
        <v>149.89111546018304</v>
      </c>
      <c r="F357" s="14">
        <v>154.62174435250563</v>
      </c>
      <c r="G357" s="14">
        <v>160.71418156207346</v>
      </c>
      <c r="H357" s="14">
        <v>167.93172564323356</v>
      </c>
      <c r="I357" s="14">
        <v>166.78181862017468</v>
      </c>
      <c r="J357" s="14">
        <v>172.29765230813626</v>
      </c>
      <c r="K357" s="14">
        <v>171.66934847077005</v>
      </c>
      <c r="L357" s="14">
        <v>170.55084163948786</v>
      </c>
      <c r="M357" s="14">
        <v>168.30152790180117</v>
      </c>
      <c r="N357" s="14">
        <v>162.98389542435413</v>
      </c>
      <c r="O357" s="14">
        <v>159.94057683728164</v>
      </c>
      <c r="P357" s="14">
        <v>157.91846448722825</v>
      </c>
      <c r="Q357" s="14">
        <v>154.5696440343024</v>
      </c>
      <c r="R357" s="15">
        <v>150.85272133319245</v>
      </c>
      <c r="S357" s="14">
        <v>147.17439886783308</v>
      </c>
      <c r="T357" s="14">
        <v>146.23959315850641</v>
      </c>
      <c r="U357" s="14">
        <v>146.59339531935342</v>
      </c>
      <c r="V357" s="14">
        <v>149.89111546018304</v>
      </c>
      <c r="W357" s="14">
        <v>154.62174435250563</v>
      </c>
      <c r="X357" s="14">
        <v>160.71418156207346</v>
      </c>
      <c r="Y357" s="14">
        <v>167.93172564323356</v>
      </c>
      <c r="Z357" s="14">
        <v>166.78181862017468</v>
      </c>
      <c r="AA357" s="14">
        <v>172.29765230813626</v>
      </c>
      <c r="AB357" s="14">
        <v>171.66934847077005</v>
      </c>
      <c r="AC357" s="14">
        <v>170.55084163948786</v>
      </c>
      <c r="AD357" s="14">
        <v>168.30152790180117</v>
      </c>
      <c r="AE357" s="14">
        <v>162.98389542435413</v>
      </c>
      <c r="AF357" s="14">
        <v>159.94057683728164</v>
      </c>
      <c r="AG357" s="14">
        <v>157.91846448722825</v>
      </c>
      <c r="AH357" s="14">
        <v>154.5696440343024</v>
      </c>
      <c r="AI357" s="15">
        <v>150.85272133319245</v>
      </c>
      <c r="AJ357" s="14">
        <v>145.38878796221215</v>
      </c>
      <c r="AK357" s="14">
        <v>148.79450876265642</v>
      </c>
      <c r="AL357" s="14">
        <v>146.59339531935342</v>
      </c>
      <c r="AM357" s="14">
        <v>149.89111546018304</v>
      </c>
      <c r="AN357" s="14">
        <v>154.62174435250563</v>
      </c>
      <c r="AO357" s="14">
        <v>160.71418156207346</v>
      </c>
      <c r="AP357" s="14">
        <v>167.93172564323356</v>
      </c>
      <c r="AQ357" s="14">
        <v>166.78181862017468</v>
      </c>
      <c r="AR357" s="14">
        <v>154.5696440343024</v>
      </c>
      <c r="AS357" s="14">
        <v>150.85272133319245</v>
      </c>
    </row>
    <row r="358" spans="1:45" x14ac:dyDescent="0.35">
      <c r="A358" s="16">
        <v>10467.273960000031</v>
      </c>
      <c r="B358" s="14">
        <v>148.76290856965846</v>
      </c>
      <c r="C358" s="14">
        <v>146.30239354205978</v>
      </c>
      <c r="D358" s="14">
        <v>146.65639570412804</v>
      </c>
      <c r="E358" s="14">
        <v>149.93811574723779</v>
      </c>
      <c r="F358" s="14">
        <v>154.64464449236817</v>
      </c>
      <c r="G358" s="14">
        <v>160.70648151504579</v>
      </c>
      <c r="H358" s="14">
        <v>167.88652536717296</v>
      </c>
      <c r="I358" s="14">
        <v>166.73691834594669</v>
      </c>
      <c r="J358" s="14">
        <v>172.22605187083687</v>
      </c>
      <c r="K358" s="14">
        <v>171.61074811286809</v>
      </c>
      <c r="L358" s="14">
        <v>170.50694137136688</v>
      </c>
      <c r="M358" s="14">
        <v>168.26912770391678</v>
      </c>
      <c r="N358" s="14">
        <v>162.95439524418154</v>
      </c>
      <c r="O358" s="14">
        <v>159.91197666260615</v>
      </c>
      <c r="P358" s="14">
        <v>157.88816430216991</v>
      </c>
      <c r="Q358" s="14">
        <v>154.54444388039255</v>
      </c>
      <c r="R358" s="15">
        <v>150.83082119943762</v>
      </c>
      <c r="S358" s="14">
        <v>147.24279928558877</v>
      </c>
      <c r="T358" s="14">
        <v>146.30239354205978</v>
      </c>
      <c r="U358" s="14">
        <v>146.65639570412804</v>
      </c>
      <c r="V358" s="14">
        <v>149.93811574723779</v>
      </c>
      <c r="W358" s="14">
        <v>154.64464449236817</v>
      </c>
      <c r="X358" s="14">
        <v>160.70648151504579</v>
      </c>
      <c r="Y358" s="14">
        <v>167.88652536717296</v>
      </c>
      <c r="Z358" s="14">
        <v>166.73691834594669</v>
      </c>
      <c r="AA358" s="14">
        <v>172.22605187083687</v>
      </c>
      <c r="AB358" s="14">
        <v>171.61074811286809</v>
      </c>
      <c r="AC358" s="14">
        <v>170.50694137136688</v>
      </c>
      <c r="AD358" s="14">
        <v>168.26912770391678</v>
      </c>
      <c r="AE358" s="14">
        <v>162.95439524418154</v>
      </c>
      <c r="AF358" s="14">
        <v>159.91197666260615</v>
      </c>
      <c r="AG358" s="14">
        <v>157.88816430216991</v>
      </c>
      <c r="AH358" s="14">
        <v>154.54444388039255</v>
      </c>
      <c r="AI358" s="15">
        <v>150.83082119943762</v>
      </c>
      <c r="AJ358" s="14">
        <v>145.45648837569271</v>
      </c>
      <c r="AK358" s="14">
        <v>148.86500919323817</v>
      </c>
      <c r="AL358" s="14">
        <v>146.65639570412804</v>
      </c>
      <c r="AM358" s="14">
        <v>149.93811574723779</v>
      </c>
      <c r="AN358" s="14">
        <v>154.64464449236817</v>
      </c>
      <c r="AO358" s="14">
        <v>160.70648151504579</v>
      </c>
      <c r="AP358" s="14">
        <v>167.88652536717296</v>
      </c>
      <c r="AQ358" s="14">
        <v>166.73691834594669</v>
      </c>
      <c r="AR358" s="14">
        <v>154.54444388039255</v>
      </c>
      <c r="AS358" s="14">
        <v>150.83082119943762</v>
      </c>
    </row>
    <row r="359" spans="1:45" x14ac:dyDescent="0.35">
      <c r="A359" s="16">
        <v>10505.37396000003</v>
      </c>
      <c r="B359" s="14">
        <v>148.77140862157262</v>
      </c>
      <c r="C359" s="14">
        <v>146.30299354572423</v>
      </c>
      <c r="D359" s="14">
        <v>146.65739571023576</v>
      </c>
      <c r="E359" s="14">
        <v>149.92301565501359</v>
      </c>
      <c r="F359" s="14">
        <v>154.60534425234181</v>
      </c>
      <c r="G359" s="14">
        <v>160.63658108812848</v>
      </c>
      <c r="H359" s="14">
        <v>167.78522474847901</v>
      </c>
      <c r="I359" s="14">
        <v>166.62921768816466</v>
      </c>
      <c r="J359" s="14">
        <v>172.09245105486917</v>
      </c>
      <c r="K359" s="14">
        <v>171.49004737568788</v>
      </c>
      <c r="L359" s="14">
        <v>170.40154072763215</v>
      </c>
      <c r="M359" s="14">
        <v>168.17632713713763</v>
      </c>
      <c r="N359" s="14">
        <v>162.86489469755674</v>
      </c>
      <c r="O359" s="14">
        <v>159.82347612208906</v>
      </c>
      <c r="P359" s="14">
        <v>157.79796375126929</v>
      </c>
      <c r="Q359" s="14">
        <v>154.45964336247374</v>
      </c>
      <c r="R359" s="15">
        <v>150.74992070533762</v>
      </c>
      <c r="S359" s="14">
        <v>147.25109933628167</v>
      </c>
      <c r="T359" s="14">
        <v>146.30299354572423</v>
      </c>
      <c r="U359" s="14">
        <v>146.65739571023576</v>
      </c>
      <c r="V359" s="14">
        <v>149.92301565501359</v>
      </c>
      <c r="W359" s="14">
        <v>154.60534425234181</v>
      </c>
      <c r="X359" s="14">
        <v>160.63658108812848</v>
      </c>
      <c r="Y359" s="14">
        <v>167.78522474847901</v>
      </c>
      <c r="Z359" s="14">
        <v>166.62921768816466</v>
      </c>
      <c r="AA359" s="14">
        <v>172.09245105486917</v>
      </c>
      <c r="AB359" s="14">
        <v>171.49004737568788</v>
      </c>
      <c r="AC359" s="14">
        <v>170.40154072763215</v>
      </c>
      <c r="AD359" s="14">
        <v>168.17632713713763</v>
      </c>
      <c r="AE359" s="14">
        <v>162.86489469755674</v>
      </c>
      <c r="AF359" s="14">
        <v>159.82347612208906</v>
      </c>
      <c r="AG359" s="14">
        <v>157.79796375126929</v>
      </c>
      <c r="AH359" s="14">
        <v>154.45964336247374</v>
      </c>
      <c r="AI359" s="15">
        <v>150.74992070533762</v>
      </c>
      <c r="AJ359" s="14">
        <v>145.46468842577428</v>
      </c>
      <c r="AK359" s="14">
        <v>148.87350924515232</v>
      </c>
      <c r="AL359" s="14">
        <v>146.65739571023576</v>
      </c>
      <c r="AM359" s="14">
        <v>149.92301565501359</v>
      </c>
      <c r="AN359" s="14">
        <v>154.60534425234181</v>
      </c>
      <c r="AO359" s="14">
        <v>160.63658108812848</v>
      </c>
      <c r="AP359" s="14">
        <v>167.78522474847901</v>
      </c>
      <c r="AQ359" s="14">
        <v>166.62921768816466</v>
      </c>
      <c r="AR359" s="14">
        <v>154.45964336247374</v>
      </c>
      <c r="AS359" s="14">
        <v>150.74992070533762</v>
      </c>
    </row>
    <row r="360" spans="1:45" x14ac:dyDescent="0.35">
      <c r="A360" s="16">
        <v>10535.781570000032</v>
      </c>
      <c r="B360" s="14">
        <v>148.75260850675085</v>
      </c>
      <c r="C360" s="14">
        <v>146.27789339242503</v>
      </c>
      <c r="D360" s="14">
        <v>146.63249555815781</v>
      </c>
      <c r="E360" s="14">
        <v>149.88531542475945</v>
      </c>
      <c r="F360" s="14">
        <v>154.54844390482268</v>
      </c>
      <c r="G360" s="14">
        <v>160.55508059036401</v>
      </c>
      <c r="H360" s="14">
        <v>167.67872409802663</v>
      </c>
      <c r="I360" s="14">
        <v>166.51771700717373</v>
      </c>
      <c r="J360" s="14">
        <v>171.96015024684243</v>
      </c>
      <c r="K360" s="14">
        <v>171.36804663056876</v>
      </c>
      <c r="L360" s="14">
        <v>170.29204005885663</v>
      </c>
      <c r="M360" s="14">
        <v>168.07722653188037</v>
      </c>
      <c r="N360" s="14">
        <v>162.76859410940062</v>
      </c>
      <c r="O360" s="14">
        <v>159.72797553881941</v>
      </c>
      <c r="P360" s="14">
        <v>157.70126316067069</v>
      </c>
      <c r="Q360" s="14">
        <v>154.36734279874776</v>
      </c>
      <c r="R360" s="15">
        <v>150.66102016237733</v>
      </c>
      <c r="S360" s="14">
        <v>147.23279922451377</v>
      </c>
      <c r="T360" s="14">
        <v>146.27789339242503</v>
      </c>
      <c r="U360" s="14">
        <v>146.63249555815781</v>
      </c>
      <c r="V360" s="14">
        <v>149.88531542475945</v>
      </c>
      <c r="W360" s="14">
        <v>154.54844390482268</v>
      </c>
      <c r="X360" s="14">
        <v>160.55508059036401</v>
      </c>
      <c r="Y360" s="14">
        <v>167.67872409802663</v>
      </c>
      <c r="Z360" s="14">
        <v>166.51771700717373</v>
      </c>
      <c r="AA360" s="14">
        <v>171.96015024684243</v>
      </c>
      <c r="AB360" s="14">
        <v>171.36804663056876</v>
      </c>
      <c r="AC360" s="14">
        <v>170.29204005885663</v>
      </c>
      <c r="AD360" s="14">
        <v>168.07722653188037</v>
      </c>
      <c r="AE360" s="14">
        <v>162.76859410940062</v>
      </c>
      <c r="AF360" s="14">
        <v>159.72797553881941</v>
      </c>
      <c r="AG360" s="14">
        <v>157.70126316067069</v>
      </c>
      <c r="AH360" s="14">
        <v>154.36734279874776</v>
      </c>
      <c r="AI360" s="15">
        <v>150.66102016237733</v>
      </c>
      <c r="AJ360" s="14">
        <v>145.446488314617</v>
      </c>
      <c r="AK360" s="14">
        <v>148.85470913033058</v>
      </c>
      <c r="AL360" s="14">
        <v>146.63249555815781</v>
      </c>
      <c r="AM360" s="14">
        <v>149.88531542475945</v>
      </c>
      <c r="AN360" s="14">
        <v>154.54844390482268</v>
      </c>
      <c r="AO360" s="14">
        <v>160.55508059036401</v>
      </c>
      <c r="AP360" s="14">
        <v>167.67872409802663</v>
      </c>
      <c r="AQ360" s="14">
        <v>166.51771700717373</v>
      </c>
      <c r="AR360" s="14">
        <v>154.36734279874776</v>
      </c>
      <c r="AS360" s="14">
        <v>150.66102016237733</v>
      </c>
    </row>
    <row r="361" spans="1:45" x14ac:dyDescent="0.35">
      <c r="A361" s="16">
        <v>10558.49679000003</v>
      </c>
      <c r="B361" s="14">
        <v>148.70640822458256</v>
      </c>
      <c r="C361" s="14">
        <v>146.22719308277274</v>
      </c>
      <c r="D361" s="14">
        <v>146.58189524911685</v>
      </c>
      <c r="E361" s="14">
        <v>149.82501505647537</v>
      </c>
      <c r="F361" s="14">
        <v>154.47374344858952</v>
      </c>
      <c r="G361" s="14">
        <v>160.46218002297425</v>
      </c>
      <c r="H361" s="14">
        <v>167.56642341214993</v>
      </c>
      <c r="I361" s="14">
        <v>166.40221630175333</v>
      </c>
      <c r="J361" s="14">
        <v>171.82914944675463</v>
      </c>
      <c r="K361" s="14">
        <v>171.24474587750865</v>
      </c>
      <c r="L361" s="14">
        <v>170.17843936504033</v>
      </c>
      <c r="M361" s="14">
        <v>167.97182588814564</v>
      </c>
      <c r="N361" s="14">
        <v>162.66559348032453</v>
      </c>
      <c r="O361" s="14">
        <v>159.62547491279648</v>
      </c>
      <c r="P361" s="14">
        <v>157.59796252976199</v>
      </c>
      <c r="Q361" s="14">
        <v>154.26754218921539</v>
      </c>
      <c r="R361" s="15">
        <v>150.56411957055676</v>
      </c>
      <c r="S361" s="14">
        <v>147.1880989515063</v>
      </c>
      <c r="T361" s="14">
        <v>146.22719308277274</v>
      </c>
      <c r="U361" s="14">
        <v>146.58189524911685</v>
      </c>
      <c r="V361" s="14">
        <v>149.82501505647537</v>
      </c>
      <c r="W361" s="14">
        <v>154.47374344858952</v>
      </c>
      <c r="X361" s="14">
        <v>160.46218002297425</v>
      </c>
      <c r="Y361" s="14">
        <v>167.56642341214993</v>
      </c>
      <c r="Z361" s="14">
        <v>166.40221630175333</v>
      </c>
      <c r="AA361" s="14">
        <v>171.82914944675463</v>
      </c>
      <c r="AB361" s="14">
        <v>171.24474587750865</v>
      </c>
      <c r="AC361" s="14">
        <v>170.17843936504033</v>
      </c>
      <c r="AD361" s="14">
        <v>167.97182588814564</v>
      </c>
      <c r="AE361" s="14">
        <v>162.66559348032453</v>
      </c>
      <c r="AF361" s="14">
        <v>159.62547491279648</v>
      </c>
      <c r="AG361" s="14">
        <v>157.59796252976199</v>
      </c>
      <c r="AH361" s="14">
        <v>154.26754218921539</v>
      </c>
      <c r="AI361" s="15">
        <v>150.56411957055676</v>
      </c>
      <c r="AJ361" s="14">
        <v>145.4021880440535</v>
      </c>
      <c r="AK361" s="14">
        <v>148.80850884816229</v>
      </c>
      <c r="AL361" s="14">
        <v>146.58189524911685</v>
      </c>
      <c r="AM361" s="14">
        <v>149.82501505647537</v>
      </c>
      <c r="AN361" s="14">
        <v>154.47374344858952</v>
      </c>
      <c r="AO361" s="14">
        <v>160.46218002297425</v>
      </c>
      <c r="AP361" s="14">
        <v>167.56642341214993</v>
      </c>
      <c r="AQ361" s="14">
        <v>166.40221630175333</v>
      </c>
      <c r="AR361" s="14">
        <v>154.26754218921539</v>
      </c>
      <c r="AS361" s="14">
        <v>150.56411957055676</v>
      </c>
    </row>
    <row r="362" spans="1:45" x14ac:dyDescent="0.35">
      <c r="A362" s="16">
        <v>10581.21201000003</v>
      </c>
      <c r="B362" s="14">
        <v>148.65890793447397</v>
      </c>
      <c r="C362" s="14">
        <v>146.17509276457022</v>
      </c>
      <c r="D362" s="14">
        <v>146.5297949309136</v>
      </c>
      <c r="E362" s="14">
        <v>149.76341468025097</v>
      </c>
      <c r="F362" s="14">
        <v>154.39774298441674</v>
      </c>
      <c r="G362" s="14">
        <v>160.36777944642225</v>
      </c>
      <c r="H362" s="14">
        <v>167.45272271772231</v>
      </c>
      <c r="I362" s="14">
        <v>166.28541558839262</v>
      </c>
      <c r="J362" s="14">
        <v>171.6968486387272</v>
      </c>
      <c r="K362" s="14">
        <v>171.12004511589899</v>
      </c>
      <c r="L362" s="14">
        <v>170.06333866206316</v>
      </c>
      <c r="M362" s="14">
        <v>167.8651252364713</v>
      </c>
      <c r="N362" s="14">
        <v>162.56119284269752</v>
      </c>
      <c r="O362" s="14">
        <v>159.52177427944454</v>
      </c>
      <c r="P362" s="14">
        <v>157.49336189091301</v>
      </c>
      <c r="Q362" s="14">
        <v>154.16644157174338</v>
      </c>
      <c r="R362" s="15">
        <v>150.46581897018589</v>
      </c>
      <c r="S362" s="14">
        <v>147.14199866994866</v>
      </c>
      <c r="T362" s="14">
        <v>146.17509276457022</v>
      </c>
      <c r="U362" s="14">
        <v>146.5297949309136</v>
      </c>
      <c r="V362" s="14">
        <v>149.76341468025097</v>
      </c>
      <c r="W362" s="14">
        <v>154.39774298441674</v>
      </c>
      <c r="X362" s="14">
        <v>160.36777944642225</v>
      </c>
      <c r="Y362" s="14">
        <v>167.45272271772231</v>
      </c>
      <c r="Z362" s="14">
        <v>166.28541558839262</v>
      </c>
      <c r="AA362" s="14">
        <v>171.6968486387272</v>
      </c>
      <c r="AB362" s="14">
        <v>171.12004511589899</v>
      </c>
      <c r="AC362" s="14">
        <v>170.06333866206316</v>
      </c>
      <c r="AD362" s="14">
        <v>167.8651252364713</v>
      </c>
      <c r="AE362" s="14">
        <v>162.56119284269752</v>
      </c>
      <c r="AF362" s="14">
        <v>159.52177427944454</v>
      </c>
      <c r="AG362" s="14">
        <v>157.49336189091301</v>
      </c>
      <c r="AH362" s="14">
        <v>154.16644157174338</v>
      </c>
      <c r="AI362" s="15">
        <v>150.46581897018589</v>
      </c>
      <c r="AJ362" s="14">
        <v>145.35648776493906</v>
      </c>
      <c r="AK362" s="14">
        <v>148.76100855805367</v>
      </c>
      <c r="AL362" s="14">
        <v>146.5297949309136</v>
      </c>
      <c r="AM362" s="14">
        <v>149.76341468025097</v>
      </c>
      <c r="AN362" s="14">
        <v>154.39774298441674</v>
      </c>
      <c r="AO362" s="14">
        <v>160.36777944642225</v>
      </c>
      <c r="AP362" s="14">
        <v>167.45272271772231</v>
      </c>
      <c r="AQ362" s="14">
        <v>166.28541558839262</v>
      </c>
      <c r="AR362" s="14">
        <v>154.16644157174338</v>
      </c>
      <c r="AS362" s="14">
        <v>150.46581897018589</v>
      </c>
    </row>
    <row r="363" spans="1:45" x14ac:dyDescent="0.35">
      <c r="A363" s="16">
        <v>10603.92723000003</v>
      </c>
      <c r="B363" s="14">
        <v>148.61000763581583</v>
      </c>
      <c r="C363" s="14">
        <v>146.12169243842737</v>
      </c>
      <c r="D363" s="14">
        <v>146.4764946053821</v>
      </c>
      <c r="E363" s="14">
        <v>149.70041429547564</v>
      </c>
      <c r="F363" s="14">
        <v>154.32034251169304</v>
      </c>
      <c r="G363" s="14">
        <v>160.27207886193065</v>
      </c>
      <c r="H363" s="14">
        <v>167.33752201413384</v>
      </c>
      <c r="I363" s="14">
        <v>166.16731486709233</v>
      </c>
      <c r="J363" s="14">
        <v>171.56314782214952</v>
      </c>
      <c r="K363" s="14">
        <v>170.99404434634906</v>
      </c>
      <c r="L363" s="14">
        <v>169.94683795053436</v>
      </c>
      <c r="M363" s="14">
        <v>167.75702457624672</v>
      </c>
      <c r="N363" s="14">
        <v>162.45549219713087</v>
      </c>
      <c r="O363" s="14">
        <v>159.41667363754243</v>
      </c>
      <c r="P363" s="14">
        <v>157.38736124351448</v>
      </c>
      <c r="Q363" s="14">
        <v>154.06394094572042</v>
      </c>
      <c r="R363" s="15">
        <v>150.36631836248543</v>
      </c>
      <c r="S363" s="14">
        <v>147.09459838045137</v>
      </c>
      <c r="T363" s="14">
        <v>146.12169243842737</v>
      </c>
      <c r="U363" s="14">
        <v>146.4764946053821</v>
      </c>
      <c r="V363" s="14">
        <v>149.70041429547564</v>
      </c>
      <c r="W363" s="14">
        <v>154.32034251169304</v>
      </c>
      <c r="X363" s="14">
        <v>160.27207886193065</v>
      </c>
      <c r="Y363" s="14">
        <v>167.33752201413384</v>
      </c>
      <c r="Z363" s="14">
        <v>166.16731486709233</v>
      </c>
      <c r="AA363" s="14">
        <v>171.56314782214952</v>
      </c>
      <c r="AB363" s="14">
        <v>170.99404434634906</v>
      </c>
      <c r="AC363" s="14">
        <v>169.94683795053436</v>
      </c>
      <c r="AD363" s="14">
        <v>167.75702457624672</v>
      </c>
      <c r="AE363" s="14">
        <v>162.45549219713087</v>
      </c>
      <c r="AF363" s="14">
        <v>159.41667363754243</v>
      </c>
      <c r="AG363" s="14">
        <v>157.38736124351448</v>
      </c>
      <c r="AH363" s="14">
        <v>154.06394094572042</v>
      </c>
      <c r="AI363" s="15">
        <v>150.36631836248543</v>
      </c>
      <c r="AJ363" s="14">
        <v>145.30948747788435</v>
      </c>
      <c r="AK363" s="14">
        <v>148.71210825939554</v>
      </c>
      <c r="AL363" s="14">
        <v>146.4764946053821</v>
      </c>
      <c r="AM363" s="14">
        <v>149.70041429547564</v>
      </c>
      <c r="AN363" s="14">
        <v>154.32034251169304</v>
      </c>
      <c r="AO363" s="14">
        <v>160.27207886193065</v>
      </c>
      <c r="AP363" s="14">
        <v>167.33752201413384</v>
      </c>
      <c r="AQ363" s="14">
        <v>166.16731486709233</v>
      </c>
      <c r="AR363" s="14">
        <v>154.06394094572042</v>
      </c>
      <c r="AS363" s="14">
        <v>150.36631836248543</v>
      </c>
    </row>
    <row r="364" spans="1:45" x14ac:dyDescent="0.35">
      <c r="A364" s="16">
        <v>10630.29700200003</v>
      </c>
      <c r="B364" s="14">
        <v>148.57780743915271</v>
      </c>
      <c r="C364" s="14">
        <v>146.08439221061644</v>
      </c>
      <c r="D364" s="14">
        <v>146.43909437695984</v>
      </c>
      <c r="E364" s="14">
        <v>149.6518139986494</v>
      </c>
      <c r="F364" s="14">
        <v>154.25514211348172</v>
      </c>
      <c r="G364" s="14">
        <v>160.18557833362897</v>
      </c>
      <c r="H364" s="14">
        <v>167.22822134658026</v>
      </c>
      <c r="I364" s="14">
        <v>166.05481417999437</v>
      </c>
      <c r="J364" s="14">
        <v>171.43254702450497</v>
      </c>
      <c r="K364" s="14">
        <v>170.87214360183987</v>
      </c>
      <c r="L364" s="14">
        <v>169.83563727137602</v>
      </c>
      <c r="M364" s="14">
        <v>167.65532395511022</v>
      </c>
      <c r="N364" s="14">
        <v>162.35649159248425</v>
      </c>
      <c r="O364" s="14">
        <v>159.31847303778221</v>
      </c>
      <c r="P364" s="14">
        <v>157.28806063703595</v>
      </c>
      <c r="Q364" s="14">
        <v>153.96864036367205</v>
      </c>
      <c r="R364" s="15">
        <v>150.27401779876016</v>
      </c>
      <c r="S364" s="14">
        <v>147.06339818989667</v>
      </c>
      <c r="T364" s="14">
        <v>146.08439221061644</v>
      </c>
      <c r="U364" s="14">
        <v>146.43909437695984</v>
      </c>
      <c r="V364" s="14">
        <v>149.6518139986494</v>
      </c>
      <c r="W364" s="14">
        <v>154.25514211348172</v>
      </c>
      <c r="X364" s="14">
        <v>160.18557833362897</v>
      </c>
      <c r="Y364" s="14">
        <v>167.22822134658026</v>
      </c>
      <c r="Z364" s="14">
        <v>166.05481417999437</v>
      </c>
      <c r="AA364" s="14">
        <v>171.43254702450497</v>
      </c>
      <c r="AB364" s="14">
        <v>170.87214360183987</v>
      </c>
      <c r="AC364" s="14">
        <v>169.83563727137602</v>
      </c>
      <c r="AD364" s="14">
        <v>167.65532395511022</v>
      </c>
      <c r="AE364" s="14">
        <v>162.35649159248425</v>
      </c>
      <c r="AF364" s="14">
        <v>159.31847303778221</v>
      </c>
      <c r="AG364" s="14">
        <v>157.28806063703595</v>
      </c>
      <c r="AH364" s="14">
        <v>153.96864036367205</v>
      </c>
      <c r="AI364" s="15">
        <v>150.27401779876016</v>
      </c>
      <c r="AJ364" s="14">
        <v>145.27848728855085</v>
      </c>
      <c r="AK364" s="14">
        <v>148.67990806273241</v>
      </c>
      <c r="AL364" s="14">
        <v>146.43909437695984</v>
      </c>
      <c r="AM364" s="14">
        <v>149.6518139986494</v>
      </c>
      <c r="AN364" s="14">
        <v>154.25514211348172</v>
      </c>
      <c r="AO364" s="14">
        <v>160.18557833362897</v>
      </c>
      <c r="AP364" s="14">
        <v>167.22822134658026</v>
      </c>
      <c r="AQ364" s="14">
        <v>166.05481417999437</v>
      </c>
      <c r="AR364" s="14">
        <v>153.96864036367205</v>
      </c>
      <c r="AS364" s="14">
        <v>150.27401779876016</v>
      </c>
    </row>
    <row r="365" spans="1:45" x14ac:dyDescent="0.35">
      <c r="A365" s="16">
        <v>10660.32132600003</v>
      </c>
      <c r="B365" s="14">
        <v>148.56220734387534</v>
      </c>
      <c r="C365" s="14">
        <v>146.06319208113604</v>
      </c>
      <c r="D365" s="14">
        <v>146.41769424625889</v>
      </c>
      <c r="E365" s="14">
        <v>149.61761378977155</v>
      </c>
      <c r="F365" s="14">
        <v>154.20204178917149</v>
      </c>
      <c r="G365" s="14">
        <v>160.10827786151592</v>
      </c>
      <c r="H365" s="14">
        <v>167.12542071872542</v>
      </c>
      <c r="I365" s="14">
        <v>165.94791352709876</v>
      </c>
      <c r="J365" s="14">
        <v>171.30504624579342</v>
      </c>
      <c r="K365" s="14">
        <v>170.75434288237213</v>
      </c>
      <c r="L365" s="14">
        <v>169.72963662397748</v>
      </c>
      <c r="M365" s="14">
        <v>167.56002337306114</v>
      </c>
      <c r="N365" s="14">
        <v>162.26429102936962</v>
      </c>
      <c r="O365" s="14">
        <v>159.22697247894203</v>
      </c>
      <c r="P365" s="14">
        <v>157.19546007147738</v>
      </c>
      <c r="Q365" s="14">
        <v>153.88033982437622</v>
      </c>
      <c r="R365" s="15">
        <v>150.18921728084067</v>
      </c>
      <c r="S365" s="14">
        <v>147.04839809828309</v>
      </c>
      <c r="T365" s="14">
        <v>146.06319208113604</v>
      </c>
      <c r="U365" s="14">
        <v>146.41769424625889</v>
      </c>
      <c r="V365" s="14">
        <v>149.61761378977155</v>
      </c>
      <c r="W365" s="14">
        <v>154.20204178917149</v>
      </c>
      <c r="X365" s="14">
        <v>160.10827786151592</v>
      </c>
      <c r="Y365" s="14">
        <v>167.12542071872542</v>
      </c>
      <c r="Z365" s="14">
        <v>165.94791352709876</v>
      </c>
      <c r="AA365" s="14">
        <v>171.30504624579342</v>
      </c>
      <c r="AB365" s="14">
        <v>170.75434288237213</v>
      </c>
      <c r="AC365" s="14">
        <v>169.72963662397748</v>
      </c>
      <c r="AD365" s="14">
        <v>167.56002337306114</v>
      </c>
      <c r="AE365" s="14">
        <v>162.26429102936962</v>
      </c>
      <c r="AF365" s="14">
        <v>159.22697247894203</v>
      </c>
      <c r="AG365" s="14">
        <v>157.19546007147738</v>
      </c>
      <c r="AH365" s="14">
        <v>153.88033982437622</v>
      </c>
      <c r="AI365" s="15">
        <v>150.18921728084067</v>
      </c>
      <c r="AJ365" s="14">
        <v>145.26358719754862</v>
      </c>
      <c r="AK365" s="14">
        <v>148.66430796745504</v>
      </c>
      <c r="AL365" s="14">
        <v>146.41769424625889</v>
      </c>
      <c r="AM365" s="14">
        <v>149.61761378977155</v>
      </c>
      <c r="AN365" s="14">
        <v>154.20204178917149</v>
      </c>
      <c r="AO365" s="14">
        <v>160.10827786151592</v>
      </c>
      <c r="AP365" s="14">
        <v>167.12542071872542</v>
      </c>
      <c r="AQ365" s="14">
        <v>165.94791352709876</v>
      </c>
      <c r="AR365" s="14">
        <v>153.88033982437622</v>
      </c>
      <c r="AS365" s="14">
        <v>150.18921728084067</v>
      </c>
    </row>
    <row r="366" spans="1:45" x14ac:dyDescent="0.35">
      <c r="A366" s="16">
        <v>10694.38348800003</v>
      </c>
      <c r="B366" s="14">
        <v>148.55730731394812</v>
      </c>
      <c r="C366" s="14">
        <v>146.05179201151009</v>
      </c>
      <c r="D366" s="14">
        <v>146.406094175411</v>
      </c>
      <c r="E366" s="14">
        <v>149.59151363036463</v>
      </c>
      <c r="F366" s="14">
        <v>154.15444149845291</v>
      </c>
      <c r="G366" s="14">
        <v>160.03337740406147</v>
      </c>
      <c r="H366" s="14">
        <v>167.02132008293029</v>
      </c>
      <c r="I366" s="14">
        <v>165.8395128650416</v>
      </c>
      <c r="J366" s="14">
        <v>171.17314544020923</v>
      </c>
      <c r="K366" s="14">
        <v>170.63334214336004</v>
      </c>
      <c r="L366" s="14">
        <v>169.62163596436287</v>
      </c>
      <c r="M366" s="14">
        <v>167.46402278673764</v>
      </c>
      <c r="N366" s="14">
        <v>162.17189046503302</v>
      </c>
      <c r="O366" s="14">
        <v>159.1354719201025</v>
      </c>
      <c r="P366" s="14">
        <v>157.10255950408694</v>
      </c>
      <c r="Q366" s="14">
        <v>153.79243928752365</v>
      </c>
      <c r="R366" s="15">
        <v>150.10491676597499</v>
      </c>
      <c r="S366" s="14">
        <v>147.04369806957783</v>
      </c>
      <c r="T366" s="14">
        <v>146.05179201151009</v>
      </c>
      <c r="U366" s="14">
        <v>146.406094175411</v>
      </c>
      <c r="V366" s="14">
        <v>149.59151363036463</v>
      </c>
      <c r="W366" s="14">
        <v>154.15444149845291</v>
      </c>
      <c r="X366" s="14">
        <v>160.03337740406147</v>
      </c>
      <c r="Y366" s="14">
        <v>167.02132008293029</v>
      </c>
      <c r="Z366" s="14">
        <v>165.8395128650416</v>
      </c>
      <c r="AA366" s="14">
        <v>171.17314544020923</v>
      </c>
      <c r="AB366" s="14">
        <v>170.63334214336004</v>
      </c>
      <c r="AC366" s="14">
        <v>169.62163596436287</v>
      </c>
      <c r="AD366" s="14">
        <v>167.46402278673764</v>
      </c>
      <c r="AE366" s="14">
        <v>162.17189046503302</v>
      </c>
      <c r="AF366" s="14">
        <v>159.1354719201025</v>
      </c>
      <c r="AG366" s="14">
        <v>157.10255950408694</v>
      </c>
      <c r="AH366" s="14">
        <v>153.79243928752365</v>
      </c>
      <c r="AI366" s="15">
        <v>150.10491676597499</v>
      </c>
      <c r="AJ366" s="14">
        <v>145.25888716884265</v>
      </c>
      <c r="AK366" s="14">
        <v>148.65940793752782</v>
      </c>
      <c r="AL366" s="14">
        <v>146.406094175411</v>
      </c>
      <c r="AM366" s="14">
        <v>149.59151363036463</v>
      </c>
      <c r="AN366" s="14">
        <v>154.15444149845291</v>
      </c>
      <c r="AO366" s="14">
        <v>160.03337740406147</v>
      </c>
      <c r="AP366" s="14">
        <v>167.02132008293029</v>
      </c>
      <c r="AQ366" s="14">
        <v>165.8395128650416</v>
      </c>
      <c r="AR366" s="14">
        <v>153.79243928752365</v>
      </c>
      <c r="AS366" s="14">
        <v>150.10491676597499</v>
      </c>
    </row>
    <row r="367" spans="1:45" x14ac:dyDescent="0.35">
      <c r="A367" s="16">
        <v>10732.483488000031</v>
      </c>
      <c r="B367" s="14">
        <v>148.56300734876109</v>
      </c>
      <c r="C367" s="14">
        <v>146.05029200234924</v>
      </c>
      <c r="D367" s="14">
        <v>146.40429416441751</v>
      </c>
      <c r="E367" s="14">
        <v>149.57351352042932</v>
      </c>
      <c r="F367" s="14">
        <v>154.11234124132542</v>
      </c>
      <c r="G367" s="14">
        <v>159.96067696004303</v>
      </c>
      <c r="H367" s="14">
        <v>166.91611944041753</v>
      </c>
      <c r="I367" s="14">
        <v>165.72961219382285</v>
      </c>
      <c r="J367" s="14">
        <v>171.03674460714103</v>
      </c>
      <c r="K367" s="14">
        <v>170.50904138419293</v>
      </c>
      <c r="L367" s="14">
        <v>169.51153529192285</v>
      </c>
      <c r="M367" s="14">
        <v>167.36742219674963</v>
      </c>
      <c r="N367" s="14">
        <v>162.07938990008512</v>
      </c>
      <c r="O367" s="14">
        <v>159.043971361263</v>
      </c>
      <c r="P367" s="14">
        <v>157.00935893486459</v>
      </c>
      <c r="Q367" s="14">
        <v>153.70483875250295</v>
      </c>
      <c r="R367" s="15">
        <v>150.02131625538513</v>
      </c>
      <c r="S367" s="14">
        <v>147.04919810316954</v>
      </c>
      <c r="T367" s="14">
        <v>146.05029200234924</v>
      </c>
      <c r="U367" s="14">
        <v>146.40429416441751</v>
      </c>
      <c r="V367" s="14">
        <v>149.57351352042932</v>
      </c>
      <c r="W367" s="14">
        <v>154.11234124132542</v>
      </c>
      <c r="X367" s="14">
        <v>159.96067696004303</v>
      </c>
      <c r="Y367" s="14">
        <v>166.91611944041753</v>
      </c>
      <c r="Z367" s="14">
        <v>165.72961219382285</v>
      </c>
      <c r="AA367" s="14">
        <v>171.03674460714103</v>
      </c>
      <c r="AB367" s="14">
        <v>170.50904138419293</v>
      </c>
      <c r="AC367" s="14">
        <v>169.51153529192285</v>
      </c>
      <c r="AD367" s="14">
        <v>167.36742219674963</v>
      </c>
      <c r="AE367" s="14">
        <v>162.07938990008512</v>
      </c>
      <c r="AF367" s="14">
        <v>159.043971361263</v>
      </c>
      <c r="AG367" s="14">
        <v>157.00935893486459</v>
      </c>
      <c r="AH367" s="14">
        <v>153.70483875250295</v>
      </c>
      <c r="AI367" s="15">
        <v>150.02131625538513</v>
      </c>
      <c r="AJ367" s="14">
        <v>145.26428720182372</v>
      </c>
      <c r="AK367" s="14">
        <v>148.66510797234082</v>
      </c>
      <c r="AL367" s="14">
        <v>146.40429416441751</v>
      </c>
      <c r="AM367" s="14">
        <v>149.57351352042932</v>
      </c>
      <c r="AN367" s="14">
        <v>154.11234124132542</v>
      </c>
      <c r="AO367" s="14">
        <v>159.96067696004303</v>
      </c>
      <c r="AP367" s="14">
        <v>166.91611944041753</v>
      </c>
      <c r="AQ367" s="14">
        <v>165.72961219382285</v>
      </c>
      <c r="AR367" s="14">
        <v>153.70483875250295</v>
      </c>
      <c r="AS367" s="14">
        <v>150.02131625538513</v>
      </c>
    </row>
    <row r="368" spans="1:45" x14ac:dyDescent="0.35">
      <c r="A368" s="16">
        <v>10770.583488000031</v>
      </c>
      <c r="B368" s="14">
        <v>148.58740749778519</v>
      </c>
      <c r="C368" s="14">
        <v>146.06749210739878</v>
      </c>
      <c r="D368" s="14">
        <v>146.42139426885646</v>
      </c>
      <c r="E368" s="14">
        <v>149.57421352470445</v>
      </c>
      <c r="F368" s="14">
        <v>154.08914109963027</v>
      </c>
      <c r="G368" s="14">
        <v>159.90677663084702</v>
      </c>
      <c r="H368" s="14">
        <v>166.82951891150455</v>
      </c>
      <c r="I368" s="14">
        <v>165.63871163864783</v>
      </c>
      <c r="J368" s="14">
        <v>170.91924388950522</v>
      </c>
      <c r="K368" s="14">
        <v>170.4033407386263</v>
      </c>
      <c r="L368" s="14">
        <v>169.41963473064013</v>
      </c>
      <c r="M368" s="14">
        <v>167.28882171669696</v>
      </c>
      <c r="N368" s="14">
        <v>162.00498944568454</v>
      </c>
      <c r="O368" s="14">
        <v>158.97047091235879</v>
      </c>
      <c r="P368" s="14">
        <v>156.93435847679956</v>
      </c>
      <c r="Q368" s="14">
        <v>153.63523832741828</v>
      </c>
      <c r="R368" s="15">
        <v>149.95551585350864</v>
      </c>
      <c r="S368" s="14">
        <v>147.07299824852848</v>
      </c>
      <c r="T368" s="14">
        <v>146.06749210739878</v>
      </c>
      <c r="U368" s="14">
        <v>146.42139426885646</v>
      </c>
      <c r="V368" s="14">
        <v>149.57421352470445</v>
      </c>
      <c r="W368" s="14">
        <v>154.08914109963027</v>
      </c>
      <c r="X368" s="14">
        <v>159.90677663084702</v>
      </c>
      <c r="Y368" s="14">
        <v>166.82951891150455</v>
      </c>
      <c r="Z368" s="14">
        <v>165.63871163864783</v>
      </c>
      <c r="AA368" s="14">
        <v>170.91924388950522</v>
      </c>
      <c r="AB368" s="14">
        <v>170.4033407386263</v>
      </c>
      <c r="AC368" s="14">
        <v>169.41963473064013</v>
      </c>
      <c r="AD368" s="14">
        <v>167.28882171669696</v>
      </c>
      <c r="AE368" s="14">
        <v>162.00498944568454</v>
      </c>
      <c r="AF368" s="14">
        <v>158.97047091235879</v>
      </c>
      <c r="AG368" s="14">
        <v>156.93435847679956</v>
      </c>
      <c r="AH368" s="14">
        <v>153.63523832741828</v>
      </c>
      <c r="AI368" s="15">
        <v>149.95551585350864</v>
      </c>
      <c r="AJ368" s="14">
        <v>145.28788734596139</v>
      </c>
      <c r="AK368" s="14">
        <v>148.6895081213649</v>
      </c>
      <c r="AL368" s="14">
        <v>146.42139426885646</v>
      </c>
      <c r="AM368" s="14">
        <v>149.57421352470445</v>
      </c>
      <c r="AN368" s="14">
        <v>154.08914109963027</v>
      </c>
      <c r="AO368" s="14">
        <v>159.90677663084702</v>
      </c>
      <c r="AP368" s="14">
        <v>166.82951891150455</v>
      </c>
      <c r="AQ368" s="14">
        <v>165.63871163864783</v>
      </c>
      <c r="AR368" s="14">
        <v>153.63523832741828</v>
      </c>
      <c r="AS368" s="14">
        <v>149.95551585350864</v>
      </c>
    </row>
    <row r="369" spans="1:45" x14ac:dyDescent="0.35">
      <c r="A369" s="16">
        <v>10808.683488000032</v>
      </c>
      <c r="B369" s="14">
        <v>148.63070776224168</v>
      </c>
      <c r="C369" s="14">
        <v>146.10339232665947</v>
      </c>
      <c r="D369" s="14">
        <v>146.45709448689587</v>
      </c>
      <c r="E369" s="14">
        <v>149.59371364380132</v>
      </c>
      <c r="F369" s="14">
        <v>154.0846410721463</v>
      </c>
      <c r="G369" s="14">
        <v>159.87177641708342</v>
      </c>
      <c r="H369" s="14">
        <v>166.76151849619205</v>
      </c>
      <c r="I369" s="14">
        <v>165.56681119951583</v>
      </c>
      <c r="J369" s="14">
        <v>170.82064328730181</v>
      </c>
      <c r="K369" s="14">
        <v>170.31634020727009</v>
      </c>
      <c r="L369" s="14">
        <v>169.3460342811253</v>
      </c>
      <c r="M369" s="14">
        <v>167.22842134780151</v>
      </c>
      <c r="N369" s="14">
        <v>161.94878910244051</v>
      </c>
      <c r="O369" s="14">
        <v>158.91517057461189</v>
      </c>
      <c r="P369" s="14">
        <v>156.87745812928043</v>
      </c>
      <c r="Q369" s="14">
        <v>153.5836380122696</v>
      </c>
      <c r="R369" s="15">
        <v>149.90761556095751</v>
      </c>
      <c r="S369" s="14">
        <v>147.11489850443471</v>
      </c>
      <c r="T369" s="14">
        <v>146.10339232665947</v>
      </c>
      <c r="U369" s="14">
        <v>146.45709448689587</v>
      </c>
      <c r="V369" s="14">
        <v>149.59371364380132</v>
      </c>
      <c r="W369" s="14">
        <v>154.0846410721463</v>
      </c>
      <c r="X369" s="14">
        <v>159.87177641708342</v>
      </c>
      <c r="Y369" s="14">
        <v>166.76151849619205</v>
      </c>
      <c r="Z369" s="14">
        <v>165.56681119951583</v>
      </c>
      <c r="AA369" s="14">
        <v>170.82064328730181</v>
      </c>
      <c r="AB369" s="14">
        <v>170.31634020727009</v>
      </c>
      <c r="AC369" s="14">
        <v>169.3460342811253</v>
      </c>
      <c r="AD369" s="14">
        <v>167.22842134780151</v>
      </c>
      <c r="AE369" s="14">
        <v>161.94878910244051</v>
      </c>
      <c r="AF369" s="14">
        <v>158.91517057461189</v>
      </c>
      <c r="AG369" s="14">
        <v>156.87745812928043</v>
      </c>
      <c r="AH369" s="14">
        <v>153.5836380122696</v>
      </c>
      <c r="AI369" s="15">
        <v>149.90761556095751</v>
      </c>
      <c r="AJ369" s="14">
        <v>145.32938759942442</v>
      </c>
      <c r="AK369" s="14">
        <v>148.73280838582139</v>
      </c>
      <c r="AL369" s="14">
        <v>146.45709448689587</v>
      </c>
      <c r="AM369" s="14">
        <v>149.59371364380132</v>
      </c>
      <c r="AN369" s="14">
        <v>154.0846410721463</v>
      </c>
      <c r="AO369" s="14">
        <v>159.87177641708342</v>
      </c>
      <c r="AP369" s="14">
        <v>166.76151849619205</v>
      </c>
      <c r="AQ369" s="14">
        <v>165.56681119951583</v>
      </c>
      <c r="AR369" s="14">
        <v>153.5836380122696</v>
      </c>
      <c r="AS369" s="14">
        <v>149.90761556095751</v>
      </c>
    </row>
    <row r="370" spans="1:45" x14ac:dyDescent="0.35">
      <c r="A370" s="16">
        <v>10846.78348800003</v>
      </c>
      <c r="B370" s="14">
        <v>148.80240881090606</v>
      </c>
      <c r="C370" s="14">
        <v>146.26769333012805</v>
      </c>
      <c r="D370" s="14">
        <v>146.62149549097509</v>
      </c>
      <c r="E370" s="14">
        <v>149.74181454832805</v>
      </c>
      <c r="F370" s="14">
        <v>154.20884183070277</v>
      </c>
      <c r="G370" s="14">
        <v>159.96547698935959</v>
      </c>
      <c r="H370" s="14">
        <v>166.82201886569811</v>
      </c>
      <c r="I370" s="14">
        <v>165.62391154825622</v>
      </c>
      <c r="J370" s="14">
        <v>170.85074347113888</v>
      </c>
      <c r="K370" s="14">
        <v>170.35774046012247</v>
      </c>
      <c r="L370" s="14">
        <v>169.39903460482492</v>
      </c>
      <c r="M370" s="14">
        <v>167.29302174234837</v>
      </c>
      <c r="N370" s="14">
        <v>162.0170895195856</v>
      </c>
      <c r="O370" s="14">
        <v>158.98427099664269</v>
      </c>
      <c r="P370" s="14">
        <v>156.94465853970715</v>
      </c>
      <c r="Q370" s="14">
        <v>153.65563845201223</v>
      </c>
      <c r="R370" s="15">
        <v>149.98201601535879</v>
      </c>
      <c r="S370" s="14">
        <v>147.28169952317191</v>
      </c>
      <c r="T370" s="14">
        <v>146.26769333012805</v>
      </c>
      <c r="U370" s="14">
        <v>146.62149549097509</v>
      </c>
      <c r="V370" s="14">
        <v>149.74181454832805</v>
      </c>
      <c r="W370" s="14">
        <v>154.20884183070277</v>
      </c>
      <c r="X370" s="14">
        <v>159.96547698935959</v>
      </c>
      <c r="Y370" s="14">
        <v>166.82201886569811</v>
      </c>
      <c r="Z370" s="14">
        <v>165.62391154825622</v>
      </c>
      <c r="AA370" s="14">
        <v>170.85074347113888</v>
      </c>
      <c r="AB370" s="14">
        <v>170.35774046012247</v>
      </c>
      <c r="AC370" s="14">
        <v>169.39903460482492</v>
      </c>
      <c r="AD370" s="14">
        <v>167.29302174234837</v>
      </c>
      <c r="AE370" s="14">
        <v>162.0170895195856</v>
      </c>
      <c r="AF370" s="14">
        <v>158.98427099664269</v>
      </c>
      <c r="AG370" s="14">
        <v>156.94465853970715</v>
      </c>
      <c r="AH370" s="14">
        <v>153.65563845201223</v>
      </c>
      <c r="AI370" s="15">
        <v>149.98201601535879</v>
      </c>
      <c r="AJ370" s="14">
        <v>145.49468860900072</v>
      </c>
      <c r="AK370" s="14">
        <v>148.90450943448579</v>
      </c>
      <c r="AL370" s="14">
        <v>146.62149549097509</v>
      </c>
      <c r="AM370" s="14">
        <v>149.74181454832805</v>
      </c>
      <c r="AN370" s="14">
        <v>154.20884183070277</v>
      </c>
      <c r="AO370" s="14">
        <v>159.96547698935959</v>
      </c>
      <c r="AP370" s="14">
        <v>166.82201886569811</v>
      </c>
      <c r="AQ370" s="14">
        <v>165.62391154825622</v>
      </c>
      <c r="AR370" s="14">
        <v>153.65563845201223</v>
      </c>
      <c r="AS370" s="14">
        <v>149.98201601535879</v>
      </c>
    </row>
    <row r="371" spans="1:45" x14ac:dyDescent="0.35">
      <c r="A371" s="16">
        <v>10884.88348800003</v>
      </c>
      <c r="B371" s="14">
        <v>149.10271064499963</v>
      </c>
      <c r="C371" s="14">
        <v>146.5602951171939</v>
      </c>
      <c r="D371" s="14">
        <v>146.91439727987284</v>
      </c>
      <c r="E371" s="14">
        <v>150.01841623767334</v>
      </c>
      <c r="F371" s="14">
        <v>154.46164337468844</v>
      </c>
      <c r="G371" s="14">
        <v>160.18777834706566</v>
      </c>
      <c r="H371" s="14">
        <v>167.00611999009618</v>
      </c>
      <c r="I371" s="14">
        <v>165.80951268181516</v>
      </c>
      <c r="J371" s="14">
        <v>171.00954444101578</v>
      </c>
      <c r="K371" s="14">
        <v>170.52744149657144</v>
      </c>
      <c r="L371" s="14">
        <v>169.5787357023496</v>
      </c>
      <c r="M371" s="14">
        <v>167.48272290094877</v>
      </c>
      <c r="N371" s="14">
        <v>162.20979069650843</v>
      </c>
      <c r="O371" s="14">
        <v>159.17767217784066</v>
      </c>
      <c r="P371" s="14">
        <v>157.13595970807904</v>
      </c>
      <c r="Q371" s="14">
        <v>153.8510396454256</v>
      </c>
      <c r="R371" s="15">
        <v>150.17861721610043</v>
      </c>
      <c r="S371" s="14">
        <v>147.57290130168752</v>
      </c>
      <c r="T371" s="14">
        <v>146.5602951171939</v>
      </c>
      <c r="U371" s="14">
        <v>146.91439727987284</v>
      </c>
      <c r="V371" s="14">
        <v>150.01841623767334</v>
      </c>
      <c r="W371" s="14">
        <v>154.46164337468844</v>
      </c>
      <c r="X371" s="14">
        <v>160.18777834706566</v>
      </c>
      <c r="Y371" s="14">
        <v>167.00611999009618</v>
      </c>
      <c r="Z371" s="14">
        <v>165.80951268181516</v>
      </c>
      <c r="AA371" s="14">
        <v>171.00954444101578</v>
      </c>
      <c r="AB371" s="14">
        <v>170.52744149657144</v>
      </c>
      <c r="AC371" s="14">
        <v>169.5787357023496</v>
      </c>
      <c r="AD371" s="14">
        <v>167.48272290094877</v>
      </c>
      <c r="AE371" s="14">
        <v>162.20979069650843</v>
      </c>
      <c r="AF371" s="14">
        <v>159.17767217784066</v>
      </c>
      <c r="AG371" s="14">
        <v>157.13595970807904</v>
      </c>
      <c r="AH371" s="14">
        <v>153.8510396454256</v>
      </c>
      <c r="AI371" s="15">
        <v>150.17861721610043</v>
      </c>
      <c r="AJ371" s="14">
        <v>145.78329037163644</v>
      </c>
      <c r="AK371" s="14">
        <v>149.20481126857933</v>
      </c>
      <c r="AL371" s="14">
        <v>146.91439727987284</v>
      </c>
      <c r="AM371" s="14">
        <v>150.01841623767334</v>
      </c>
      <c r="AN371" s="14">
        <v>154.46164337468844</v>
      </c>
      <c r="AO371" s="14">
        <v>160.18777834706566</v>
      </c>
      <c r="AP371" s="14">
        <v>167.00611999009618</v>
      </c>
      <c r="AQ371" s="14">
        <v>165.80951268181516</v>
      </c>
      <c r="AR371" s="14">
        <v>153.8510396454256</v>
      </c>
      <c r="AS371" s="14">
        <v>150.17861721610043</v>
      </c>
    </row>
    <row r="372" spans="1:45" x14ac:dyDescent="0.35">
      <c r="A372" s="16">
        <v>10922.983488000031</v>
      </c>
      <c r="B372" s="14">
        <v>149.26421163136706</v>
      </c>
      <c r="C372" s="14">
        <v>146.71399605592231</v>
      </c>
      <c r="D372" s="14">
        <v>147.06839822043381</v>
      </c>
      <c r="E372" s="14">
        <v>150.15611707868112</v>
      </c>
      <c r="F372" s="14">
        <v>154.57534406911537</v>
      </c>
      <c r="G372" s="14">
        <v>160.27107885582362</v>
      </c>
      <c r="H372" s="14">
        <v>167.05132026615675</v>
      </c>
      <c r="I372" s="14">
        <v>165.85611296642665</v>
      </c>
      <c r="J372" s="14">
        <v>171.02934456194524</v>
      </c>
      <c r="K372" s="14">
        <v>170.55834168529429</v>
      </c>
      <c r="L372" s="14">
        <v>169.62093596008773</v>
      </c>
      <c r="M372" s="14">
        <v>167.53692323197734</v>
      </c>
      <c r="N372" s="14">
        <v>162.26789105135651</v>
      </c>
      <c r="O372" s="14">
        <v>159.23657253757452</v>
      </c>
      <c r="P372" s="14">
        <v>157.19306005681943</v>
      </c>
      <c r="Q372" s="14">
        <v>153.91304002409254</v>
      </c>
      <c r="R372" s="15">
        <v>150.24311761003662</v>
      </c>
      <c r="S372" s="14">
        <v>147.72960225873831</v>
      </c>
      <c r="T372" s="14">
        <v>146.71399605592231</v>
      </c>
      <c r="U372" s="14">
        <v>147.06839822043381</v>
      </c>
      <c r="V372" s="14">
        <v>150.15611707868112</v>
      </c>
      <c r="W372" s="14">
        <v>154.57534406911537</v>
      </c>
      <c r="X372" s="14">
        <v>160.27107885582362</v>
      </c>
      <c r="Y372" s="14">
        <v>167.05132026615675</v>
      </c>
      <c r="Z372" s="14">
        <v>165.85611296642665</v>
      </c>
      <c r="AA372" s="14">
        <v>171.02934456194524</v>
      </c>
      <c r="AB372" s="14">
        <v>170.55834168529429</v>
      </c>
      <c r="AC372" s="14">
        <v>169.62093596008773</v>
      </c>
      <c r="AD372" s="14">
        <v>167.53692323197734</v>
      </c>
      <c r="AE372" s="14">
        <v>162.26789105135651</v>
      </c>
      <c r="AF372" s="14">
        <v>159.23657253757452</v>
      </c>
      <c r="AG372" s="14">
        <v>157.19306005681943</v>
      </c>
      <c r="AH372" s="14">
        <v>153.91304002409254</v>
      </c>
      <c r="AI372" s="15">
        <v>150.24311761003662</v>
      </c>
      <c r="AJ372" s="14">
        <v>145.93849131952641</v>
      </c>
      <c r="AK372" s="14">
        <v>149.36631225494676</v>
      </c>
      <c r="AL372" s="14">
        <v>147.06839822043381</v>
      </c>
      <c r="AM372" s="14">
        <v>150.15611707868112</v>
      </c>
      <c r="AN372" s="14">
        <v>154.57534406911537</v>
      </c>
      <c r="AO372" s="14">
        <v>160.27107885582362</v>
      </c>
      <c r="AP372" s="14">
        <v>167.05132026615675</v>
      </c>
      <c r="AQ372" s="14">
        <v>165.85611296642665</v>
      </c>
      <c r="AR372" s="14">
        <v>153.91304002409254</v>
      </c>
      <c r="AS372" s="14">
        <v>150.24311761003662</v>
      </c>
    </row>
    <row r="373" spans="1:45" x14ac:dyDescent="0.35">
      <c r="A373" s="16">
        <v>10961.083488000031</v>
      </c>
      <c r="B373" s="14">
        <v>149.28691177000832</v>
      </c>
      <c r="C373" s="14">
        <v>146.7287961463139</v>
      </c>
      <c r="D373" s="14">
        <v>147.08349831265801</v>
      </c>
      <c r="E373" s="14">
        <v>150.15501707196279</v>
      </c>
      <c r="F373" s="14">
        <v>154.55024391581617</v>
      </c>
      <c r="G373" s="14">
        <v>160.21537851563346</v>
      </c>
      <c r="H373" s="14">
        <v>166.96221972197517</v>
      </c>
      <c r="I373" s="14">
        <v>165.76431240575457</v>
      </c>
      <c r="J373" s="14">
        <v>170.91024383453723</v>
      </c>
      <c r="K373" s="14">
        <v>170.45034102568033</v>
      </c>
      <c r="L373" s="14">
        <v>169.52573537864998</v>
      </c>
      <c r="M373" s="14">
        <v>167.4556227354341</v>
      </c>
      <c r="N373" s="14">
        <v>162.19159058535118</v>
      </c>
      <c r="O373" s="14">
        <v>159.1611720770662</v>
      </c>
      <c r="P373" s="14">
        <v>157.11615958714958</v>
      </c>
      <c r="Q373" s="14">
        <v>153.8416395880144</v>
      </c>
      <c r="R373" s="15">
        <v>150.17551719716738</v>
      </c>
      <c r="S373" s="14">
        <v>147.75160239310446</v>
      </c>
      <c r="T373" s="14">
        <v>146.7287961463139</v>
      </c>
      <c r="U373" s="14">
        <v>147.08349831265801</v>
      </c>
      <c r="V373" s="14">
        <v>150.15501707196279</v>
      </c>
      <c r="W373" s="14">
        <v>154.55024391581617</v>
      </c>
      <c r="X373" s="14">
        <v>160.21537851563346</v>
      </c>
      <c r="Y373" s="14">
        <v>166.96221972197517</v>
      </c>
      <c r="Z373" s="14">
        <v>165.76431240575457</v>
      </c>
      <c r="AA373" s="14">
        <v>170.91024383453723</v>
      </c>
      <c r="AB373" s="14">
        <v>170.45034102568033</v>
      </c>
      <c r="AC373" s="14">
        <v>169.52573537864998</v>
      </c>
      <c r="AD373" s="14">
        <v>167.4556227354341</v>
      </c>
      <c r="AE373" s="14">
        <v>162.19159058535118</v>
      </c>
      <c r="AF373" s="14">
        <v>159.1611720770662</v>
      </c>
      <c r="AG373" s="14">
        <v>157.11615958714958</v>
      </c>
      <c r="AH373" s="14">
        <v>153.8416395880144</v>
      </c>
      <c r="AI373" s="15">
        <v>150.17551719716738</v>
      </c>
      <c r="AJ373" s="14">
        <v>145.96029145267059</v>
      </c>
      <c r="AK373" s="14">
        <v>149.38901239358805</v>
      </c>
      <c r="AL373" s="14">
        <v>147.08349831265801</v>
      </c>
      <c r="AM373" s="14">
        <v>150.15501707196279</v>
      </c>
      <c r="AN373" s="14">
        <v>154.55024391581617</v>
      </c>
      <c r="AO373" s="14">
        <v>160.21537851563346</v>
      </c>
      <c r="AP373" s="14">
        <v>166.96221972197517</v>
      </c>
      <c r="AQ373" s="14">
        <v>165.76431240575457</v>
      </c>
      <c r="AR373" s="14">
        <v>153.8416395880144</v>
      </c>
      <c r="AS373" s="14">
        <v>150.17551719716738</v>
      </c>
    </row>
    <row r="374" spans="1:45" x14ac:dyDescent="0.35">
      <c r="A374" s="16">
        <v>10999.183488000032</v>
      </c>
      <c r="B374" s="14">
        <v>149.33521206500268</v>
      </c>
      <c r="C374" s="14">
        <v>146.76919639305859</v>
      </c>
      <c r="D374" s="14">
        <v>147.12429856184525</v>
      </c>
      <c r="E374" s="14">
        <v>150.17941722098686</v>
      </c>
      <c r="F374" s="14">
        <v>154.55084391948063</v>
      </c>
      <c r="G374" s="14">
        <v>160.18537833240703</v>
      </c>
      <c r="H374" s="14">
        <v>166.89881933475664</v>
      </c>
      <c r="I374" s="14">
        <v>165.69841200326744</v>
      </c>
      <c r="J374" s="14">
        <v>170.81684326409291</v>
      </c>
      <c r="K374" s="14">
        <v>170.36794052241947</v>
      </c>
      <c r="L374" s="14">
        <v>169.45563495051141</v>
      </c>
      <c r="M374" s="14">
        <v>167.39922239096953</v>
      </c>
      <c r="N374" s="14">
        <v>162.13999027020247</v>
      </c>
      <c r="O374" s="14">
        <v>159.11067176863517</v>
      </c>
      <c r="P374" s="14">
        <v>157.06395926833642</v>
      </c>
      <c r="Q374" s="14">
        <v>153.7948393021816</v>
      </c>
      <c r="R374" s="15">
        <v>150.13251693454347</v>
      </c>
      <c r="S374" s="14">
        <v>147.79860268015852</v>
      </c>
      <c r="T374" s="14">
        <v>146.76919639305859</v>
      </c>
      <c r="U374" s="14">
        <v>147.12429856184525</v>
      </c>
      <c r="V374" s="14">
        <v>150.17941722098686</v>
      </c>
      <c r="W374" s="14">
        <v>154.55084391948063</v>
      </c>
      <c r="X374" s="14">
        <v>160.18537833240703</v>
      </c>
      <c r="Y374" s="14">
        <v>166.89881933475664</v>
      </c>
      <c r="Z374" s="14">
        <v>165.69841200326744</v>
      </c>
      <c r="AA374" s="14">
        <v>170.81684326409291</v>
      </c>
      <c r="AB374" s="14">
        <v>170.36794052241947</v>
      </c>
      <c r="AC374" s="14">
        <v>169.45563495051141</v>
      </c>
      <c r="AD374" s="14">
        <v>167.39922239096953</v>
      </c>
      <c r="AE374" s="14">
        <v>162.13999027020247</v>
      </c>
      <c r="AF374" s="14">
        <v>159.11067176863517</v>
      </c>
      <c r="AG374" s="14">
        <v>157.06395926833642</v>
      </c>
      <c r="AH374" s="14">
        <v>153.7948393021816</v>
      </c>
      <c r="AI374" s="15">
        <v>150.13251693454347</v>
      </c>
      <c r="AJ374" s="14">
        <v>146.0068917372821</v>
      </c>
      <c r="AK374" s="14">
        <v>149.43731268858238</v>
      </c>
      <c r="AL374" s="14">
        <v>147.12429856184525</v>
      </c>
      <c r="AM374" s="14">
        <v>150.17941722098686</v>
      </c>
      <c r="AN374" s="14">
        <v>154.55084391948063</v>
      </c>
      <c r="AO374" s="14">
        <v>160.18537833240703</v>
      </c>
      <c r="AP374" s="14">
        <v>166.89881933475664</v>
      </c>
      <c r="AQ374" s="14">
        <v>165.69841200326744</v>
      </c>
      <c r="AR374" s="14">
        <v>153.7948393021816</v>
      </c>
      <c r="AS374" s="14">
        <v>150.13251693454347</v>
      </c>
    </row>
    <row r="375" spans="1:45" x14ac:dyDescent="0.35">
      <c r="A375" s="16">
        <v>11037.28348800003</v>
      </c>
      <c r="B375" s="14">
        <v>149.40921251696071</v>
      </c>
      <c r="C375" s="14">
        <v>146.83529679676701</v>
      </c>
      <c r="D375" s="14">
        <v>147.19079896799684</v>
      </c>
      <c r="E375" s="14">
        <v>150.22961752758533</v>
      </c>
      <c r="F375" s="14">
        <v>154.57714408010952</v>
      </c>
      <c r="G375" s="14">
        <v>160.18117830675561</v>
      </c>
      <c r="H375" s="14">
        <v>166.86101910389186</v>
      </c>
      <c r="I375" s="14">
        <v>165.65761175408025</v>
      </c>
      <c r="J375" s="14">
        <v>170.74914285061305</v>
      </c>
      <c r="K375" s="14">
        <v>170.31114017551096</v>
      </c>
      <c r="L375" s="14">
        <v>169.41053467506148</v>
      </c>
      <c r="M375" s="14">
        <v>167.36762219797089</v>
      </c>
      <c r="N375" s="14">
        <v>162.11329010713106</v>
      </c>
      <c r="O375" s="14">
        <v>159.08487161106086</v>
      </c>
      <c r="P375" s="14">
        <v>157.03655910098988</v>
      </c>
      <c r="Q375" s="14">
        <v>153.77273916720551</v>
      </c>
      <c r="R375" s="15">
        <v>150.11381682033235</v>
      </c>
      <c r="S375" s="14">
        <v>147.87040311867992</v>
      </c>
      <c r="T375" s="14">
        <v>146.83529679676701</v>
      </c>
      <c r="U375" s="14">
        <v>147.19079896799684</v>
      </c>
      <c r="V375" s="14">
        <v>150.22961752758533</v>
      </c>
      <c r="W375" s="14">
        <v>154.57714408010952</v>
      </c>
      <c r="X375" s="14">
        <v>160.18117830675561</v>
      </c>
      <c r="Y375" s="14">
        <v>166.86101910389186</v>
      </c>
      <c r="Z375" s="14">
        <v>165.65761175408025</v>
      </c>
      <c r="AA375" s="14">
        <v>170.74914285061305</v>
      </c>
      <c r="AB375" s="14">
        <v>170.31114017551096</v>
      </c>
      <c r="AC375" s="14">
        <v>169.41053467506148</v>
      </c>
      <c r="AD375" s="14">
        <v>167.36762219797089</v>
      </c>
      <c r="AE375" s="14">
        <v>162.11329010713106</v>
      </c>
      <c r="AF375" s="14">
        <v>159.08487161106086</v>
      </c>
      <c r="AG375" s="14">
        <v>157.03655910098988</v>
      </c>
      <c r="AH375" s="14">
        <v>153.77273916720551</v>
      </c>
      <c r="AI375" s="15">
        <v>150.11381682033235</v>
      </c>
      <c r="AJ375" s="14">
        <v>146.07799217152765</v>
      </c>
      <c r="AK375" s="14">
        <v>149.51141314115108</v>
      </c>
      <c r="AL375" s="14">
        <v>147.19079896799684</v>
      </c>
      <c r="AM375" s="14">
        <v>150.22961752758533</v>
      </c>
      <c r="AN375" s="14">
        <v>154.57714408010952</v>
      </c>
      <c r="AO375" s="14">
        <v>160.18117830675561</v>
      </c>
      <c r="AP375" s="14">
        <v>166.86101910389186</v>
      </c>
      <c r="AQ375" s="14">
        <v>165.65761175408025</v>
      </c>
      <c r="AR375" s="14">
        <v>153.77273916720551</v>
      </c>
      <c r="AS375" s="14">
        <v>150.11381682033235</v>
      </c>
    </row>
    <row r="376" spans="1:45" x14ac:dyDescent="0.35">
      <c r="A376" s="16">
        <v>11075.38348800003</v>
      </c>
      <c r="B376" s="14">
        <v>149.45801281500823</v>
      </c>
      <c r="C376" s="14">
        <v>146.87619704656484</v>
      </c>
      <c r="D376" s="14">
        <v>147.23199921962731</v>
      </c>
      <c r="E376" s="14">
        <v>150.25441767905195</v>
      </c>
      <c r="F376" s="14">
        <v>154.57814408621655</v>
      </c>
      <c r="G376" s="14">
        <v>160.15167812658302</v>
      </c>
      <c r="H376" s="14">
        <v>166.79781871789527</v>
      </c>
      <c r="I376" s="14">
        <v>165.59151135037183</v>
      </c>
      <c r="J376" s="14">
        <v>170.65624228322258</v>
      </c>
      <c r="K376" s="14">
        <v>170.229039674082</v>
      </c>
      <c r="L376" s="14">
        <v>169.34023424570165</v>
      </c>
      <c r="M376" s="14">
        <v>167.31112185289501</v>
      </c>
      <c r="N376" s="14">
        <v>162.06208979442494</v>
      </c>
      <c r="O376" s="14">
        <v>159.03467130446239</v>
      </c>
      <c r="P376" s="14">
        <v>156.98465878400862</v>
      </c>
      <c r="Q376" s="14">
        <v>153.72633888381526</v>
      </c>
      <c r="R376" s="15">
        <v>150.07111655954034</v>
      </c>
      <c r="S376" s="14">
        <v>147.91780340817718</v>
      </c>
      <c r="T376" s="14">
        <v>146.87619704656484</v>
      </c>
      <c r="U376" s="14">
        <v>147.23199921962731</v>
      </c>
      <c r="V376" s="14">
        <v>150.25441767905195</v>
      </c>
      <c r="W376" s="14">
        <v>154.57814408621655</v>
      </c>
      <c r="X376" s="14">
        <v>160.15167812658302</v>
      </c>
      <c r="Y376" s="14">
        <v>166.79781871789527</v>
      </c>
      <c r="Z376" s="14">
        <v>165.59151135037183</v>
      </c>
      <c r="AA376" s="14">
        <v>170.65624228322258</v>
      </c>
      <c r="AB376" s="14">
        <v>170.229039674082</v>
      </c>
      <c r="AC376" s="14">
        <v>169.34023424570165</v>
      </c>
      <c r="AD376" s="14">
        <v>167.31112185289501</v>
      </c>
      <c r="AE376" s="14">
        <v>162.06208979442494</v>
      </c>
      <c r="AF376" s="14">
        <v>159.03467130446239</v>
      </c>
      <c r="AG376" s="14">
        <v>156.98465878400862</v>
      </c>
      <c r="AH376" s="14">
        <v>153.72633888381526</v>
      </c>
      <c r="AI376" s="15">
        <v>150.07111655954034</v>
      </c>
      <c r="AJ376" s="14">
        <v>146.12489245797178</v>
      </c>
      <c r="AK376" s="14">
        <v>149.56011343858796</v>
      </c>
      <c r="AL376" s="14">
        <v>147.23199921962731</v>
      </c>
      <c r="AM376" s="14">
        <v>150.25441767905195</v>
      </c>
      <c r="AN376" s="14">
        <v>154.57814408621655</v>
      </c>
      <c r="AO376" s="14">
        <v>160.15167812658302</v>
      </c>
      <c r="AP376" s="14">
        <v>166.79781871789527</v>
      </c>
      <c r="AQ376" s="14">
        <v>165.59151135037183</v>
      </c>
      <c r="AR376" s="14">
        <v>153.72633888381526</v>
      </c>
      <c r="AS376" s="14">
        <v>150.07111655954034</v>
      </c>
    </row>
    <row r="377" spans="1:45" x14ac:dyDescent="0.35">
      <c r="A377" s="16">
        <v>11113.483488000031</v>
      </c>
      <c r="B377" s="14">
        <v>149.48161295914656</v>
      </c>
      <c r="C377" s="14">
        <v>146.89189714245356</v>
      </c>
      <c r="D377" s="14">
        <v>147.24789931673723</v>
      </c>
      <c r="E377" s="14">
        <v>150.25401767660873</v>
      </c>
      <c r="F377" s="14">
        <v>154.55384393780375</v>
      </c>
      <c r="G377" s="14">
        <v>160.09677779127932</v>
      </c>
      <c r="H377" s="14">
        <v>166.70931817737818</v>
      </c>
      <c r="I377" s="14">
        <v>165.50171080191447</v>
      </c>
      <c r="J377" s="14">
        <v>170.53804156131167</v>
      </c>
      <c r="K377" s="14">
        <v>170.12153901752191</v>
      </c>
      <c r="L377" s="14">
        <v>169.2446336618207</v>
      </c>
      <c r="M377" s="14">
        <v>167.22982135635246</v>
      </c>
      <c r="N377" s="14">
        <v>161.98638933208403</v>
      </c>
      <c r="O377" s="14">
        <v>158.95987084761862</v>
      </c>
      <c r="P377" s="14">
        <v>156.90835831800325</v>
      </c>
      <c r="Q377" s="14">
        <v>153.65563845201223</v>
      </c>
      <c r="R377" s="15">
        <v>150.00441615216747</v>
      </c>
      <c r="S377" s="14">
        <v>147.94070354803969</v>
      </c>
      <c r="T377" s="14">
        <v>146.89189714245356</v>
      </c>
      <c r="U377" s="14">
        <v>147.24789931673723</v>
      </c>
      <c r="V377" s="14">
        <v>150.25401767660873</v>
      </c>
      <c r="W377" s="14">
        <v>154.55384393780375</v>
      </c>
      <c r="X377" s="14">
        <v>160.09677779127932</v>
      </c>
      <c r="Y377" s="14">
        <v>166.70931817737818</v>
      </c>
      <c r="Z377" s="14">
        <v>165.50171080191447</v>
      </c>
      <c r="AA377" s="14">
        <v>170.53804156131167</v>
      </c>
      <c r="AB377" s="14">
        <v>170.12153901752191</v>
      </c>
      <c r="AC377" s="14">
        <v>169.2446336618207</v>
      </c>
      <c r="AD377" s="14">
        <v>167.22982135635246</v>
      </c>
      <c r="AE377" s="14">
        <v>161.98638933208403</v>
      </c>
      <c r="AF377" s="14">
        <v>158.95987084761862</v>
      </c>
      <c r="AG377" s="14">
        <v>156.90835831800325</v>
      </c>
      <c r="AH377" s="14">
        <v>153.65563845201223</v>
      </c>
      <c r="AI377" s="15">
        <v>150.00441615216747</v>
      </c>
      <c r="AJ377" s="14">
        <v>146.14759259661236</v>
      </c>
      <c r="AK377" s="14">
        <v>149.58371358272629</v>
      </c>
      <c r="AL377" s="14">
        <v>147.24789931673723</v>
      </c>
      <c r="AM377" s="14">
        <v>150.25401767660873</v>
      </c>
      <c r="AN377" s="14">
        <v>154.55384393780375</v>
      </c>
      <c r="AO377" s="14">
        <v>160.09677779127932</v>
      </c>
      <c r="AP377" s="14">
        <v>166.70931817737818</v>
      </c>
      <c r="AQ377" s="14">
        <v>165.50171080191447</v>
      </c>
      <c r="AR377" s="14">
        <v>153.65563845201223</v>
      </c>
      <c r="AS377" s="14">
        <v>150.00441615216747</v>
      </c>
    </row>
    <row r="378" spans="1:45" x14ac:dyDescent="0.35">
      <c r="A378" s="16">
        <v>11151.583488000031</v>
      </c>
      <c r="B378" s="14">
        <v>149.49981307030316</v>
      </c>
      <c r="C378" s="14">
        <v>146.90229720597176</v>
      </c>
      <c r="D378" s="14">
        <v>147.25859938208808</v>
      </c>
      <c r="E378" s="14">
        <v>150.24821764118514</v>
      </c>
      <c r="F378" s="14">
        <v>154.52434375763119</v>
      </c>
      <c r="G378" s="14">
        <v>160.03657742360514</v>
      </c>
      <c r="H378" s="14">
        <v>166.61541760388073</v>
      </c>
      <c r="I378" s="14">
        <v>165.40691022291995</v>
      </c>
      <c r="J378" s="14">
        <v>170.41454080703028</v>
      </c>
      <c r="K378" s="14">
        <v>170.00873832859136</v>
      </c>
      <c r="L378" s="14">
        <v>169.14343304373807</v>
      </c>
      <c r="M378" s="14">
        <v>167.14312082682886</v>
      </c>
      <c r="N378" s="14">
        <v>161.90538883737341</v>
      </c>
      <c r="O378" s="14">
        <v>158.8799703596263</v>
      </c>
      <c r="P378" s="14">
        <v>156.82685782023873</v>
      </c>
      <c r="Q378" s="14">
        <v>153.57973798845006</v>
      </c>
      <c r="R378" s="15">
        <v>149.9326157136461</v>
      </c>
      <c r="S378" s="14">
        <v>147.95840365614382</v>
      </c>
      <c r="T378" s="14">
        <v>146.90229720597176</v>
      </c>
      <c r="U378" s="14">
        <v>147.25859938208808</v>
      </c>
      <c r="V378" s="14">
        <v>150.24821764118514</v>
      </c>
      <c r="W378" s="14">
        <v>154.52434375763119</v>
      </c>
      <c r="X378" s="14">
        <v>160.03657742360514</v>
      </c>
      <c r="Y378" s="14">
        <v>166.61541760388073</v>
      </c>
      <c r="Z378" s="14">
        <v>165.40691022291995</v>
      </c>
      <c r="AA378" s="14">
        <v>170.41454080703028</v>
      </c>
      <c r="AB378" s="14">
        <v>170.00873832859136</v>
      </c>
      <c r="AC378" s="14">
        <v>169.14343304373807</v>
      </c>
      <c r="AD378" s="14">
        <v>167.14312082682886</v>
      </c>
      <c r="AE378" s="14">
        <v>161.90538883737341</v>
      </c>
      <c r="AF378" s="14">
        <v>158.8799703596263</v>
      </c>
      <c r="AG378" s="14">
        <v>156.82685782023873</v>
      </c>
      <c r="AH378" s="14">
        <v>153.57973798845006</v>
      </c>
      <c r="AI378" s="15">
        <v>149.9326157136461</v>
      </c>
      <c r="AJ378" s="14">
        <v>146.16509270349448</v>
      </c>
      <c r="AK378" s="14">
        <v>149.60191369388289</v>
      </c>
      <c r="AL378" s="14">
        <v>147.25859938208808</v>
      </c>
      <c r="AM378" s="14">
        <v>150.24821764118514</v>
      </c>
      <c r="AN378" s="14">
        <v>154.52434375763119</v>
      </c>
      <c r="AO378" s="14">
        <v>160.03657742360514</v>
      </c>
      <c r="AP378" s="14">
        <v>166.61541760388073</v>
      </c>
      <c r="AQ378" s="14">
        <v>165.40691022291995</v>
      </c>
      <c r="AR378" s="14">
        <v>153.57973798845006</v>
      </c>
      <c r="AS378" s="14">
        <v>149.9326157136461</v>
      </c>
    </row>
    <row r="379" spans="1:45" x14ac:dyDescent="0.35">
      <c r="A379" s="16">
        <v>11189.683488000032</v>
      </c>
      <c r="B379" s="14">
        <v>149.5127131490907</v>
      </c>
      <c r="C379" s="14">
        <v>146.90749723773089</v>
      </c>
      <c r="D379" s="14">
        <v>147.26389941445785</v>
      </c>
      <c r="E379" s="14">
        <v>150.23721757400239</v>
      </c>
      <c r="F379" s="14">
        <v>154.48944354447821</v>
      </c>
      <c r="G379" s="14">
        <v>159.97107702356195</v>
      </c>
      <c r="H379" s="14">
        <v>166.51611699740218</v>
      </c>
      <c r="I379" s="14">
        <v>165.30690961216627</v>
      </c>
      <c r="J379" s="14">
        <v>170.28584002099049</v>
      </c>
      <c r="K379" s="14">
        <v>169.89053760668043</v>
      </c>
      <c r="L379" s="14">
        <v>169.0367323920637</v>
      </c>
      <c r="M379" s="14">
        <v>167.05112026493481</v>
      </c>
      <c r="N379" s="14">
        <v>161.81928831151427</v>
      </c>
      <c r="O379" s="14">
        <v>158.79496984048552</v>
      </c>
      <c r="P379" s="14">
        <v>156.74025729132578</v>
      </c>
      <c r="Q379" s="14">
        <v>153.49883749435008</v>
      </c>
      <c r="R379" s="15">
        <v>149.85581524458686</v>
      </c>
      <c r="S379" s="14">
        <v>147.97100373309874</v>
      </c>
      <c r="T379" s="14">
        <v>146.90749723773089</v>
      </c>
      <c r="U379" s="14">
        <v>147.26389941445785</v>
      </c>
      <c r="V379" s="14">
        <v>150.23721757400239</v>
      </c>
      <c r="W379" s="14">
        <v>154.48944354447821</v>
      </c>
      <c r="X379" s="14">
        <v>159.97107702356195</v>
      </c>
      <c r="Y379" s="14">
        <v>166.51611699740218</v>
      </c>
      <c r="Z379" s="14">
        <v>165.30690961216627</v>
      </c>
      <c r="AA379" s="14">
        <v>170.28584002099049</v>
      </c>
      <c r="AB379" s="14">
        <v>169.89053760668043</v>
      </c>
      <c r="AC379" s="14">
        <v>169.0367323920637</v>
      </c>
      <c r="AD379" s="14">
        <v>167.05112026493481</v>
      </c>
      <c r="AE379" s="14">
        <v>161.81928831151427</v>
      </c>
      <c r="AF379" s="14">
        <v>158.79496984048552</v>
      </c>
      <c r="AG379" s="14">
        <v>156.74025729132578</v>
      </c>
      <c r="AH379" s="14">
        <v>153.49883749435008</v>
      </c>
      <c r="AI379" s="15">
        <v>149.85581524458686</v>
      </c>
      <c r="AJ379" s="14">
        <v>146.17749277922815</v>
      </c>
      <c r="AK379" s="14">
        <v>149.61491377328102</v>
      </c>
      <c r="AL379" s="14">
        <v>147.26389941445785</v>
      </c>
      <c r="AM379" s="14">
        <v>150.23721757400239</v>
      </c>
      <c r="AN379" s="14">
        <v>154.48944354447821</v>
      </c>
      <c r="AO379" s="14">
        <v>159.97107702356195</v>
      </c>
      <c r="AP379" s="14">
        <v>166.51611699740218</v>
      </c>
      <c r="AQ379" s="14">
        <v>165.30690961216627</v>
      </c>
      <c r="AR379" s="14">
        <v>153.49883749435008</v>
      </c>
      <c r="AS379" s="14">
        <v>149.85581524458686</v>
      </c>
    </row>
    <row r="380" spans="1:45" x14ac:dyDescent="0.35">
      <c r="A380" s="16">
        <v>11227.78348800003</v>
      </c>
      <c r="B380" s="14">
        <v>149.55091338239868</v>
      </c>
      <c r="C380" s="14">
        <v>146.9379974240112</v>
      </c>
      <c r="D380" s="14">
        <v>147.29449960134878</v>
      </c>
      <c r="E380" s="14">
        <v>150.25131766011887</v>
      </c>
      <c r="F380" s="14">
        <v>154.47984348584572</v>
      </c>
      <c r="G380" s="14">
        <v>159.93077677742789</v>
      </c>
      <c r="H380" s="14">
        <v>166.44191654422286</v>
      </c>
      <c r="I380" s="14">
        <v>165.23250915776566</v>
      </c>
      <c r="J380" s="14">
        <v>170.18243938947049</v>
      </c>
      <c r="K380" s="14">
        <v>169.79743703806804</v>
      </c>
      <c r="L380" s="14">
        <v>168.95473189124539</v>
      </c>
      <c r="M380" s="14">
        <v>166.9834198514549</v>
      </c>
      <c r="N380" s="14">
        <v>161.75748793406862</v>
      </c>
      <c r="O380" s="14">
        <v>158.73426946975823</v>
      </c>
      <c r="P380" s="14">
        <v>156.67795691082625</v>
      </c>
      <c r="Q380" s="14">
        <v>153.44203714744225</v>
      </c>
      <c r="R380" s="15">
        <v>149.80291492149857</v>
      </c>
      <c r="S380" s="14">
        <v>148.00810395968841</v>
      </c>
      <c r="T380" s="14">
        <v>146.9379974240112</v>
      </c>
      <c r="U380" s="14">
        <v>147.29449960134878</v>
      </c>
      <c r="V380" s="14">
        <v>150.25131766011887</v>
      </c>
      <c r="W380" s="14">
        <v>154.47984348584572</v>
      </c>
      <c r="X380" s="14">
        <v>159.93077677742789</v>
      </c>
      <c r="Y380" s="14">
        <v>166.44191654422286</v>
      </c>
      <c r="Z380" s="14">
        <v>165.23250915776566</v>
      </c>
      <c r="AA380" s="14">
        <v>170.18243938947049</v>
      </c>
      <c r="AB380" s="14">
        <v>169.79743703806804</v>
      </c>
      <c r="AC380" s="14">
        <v>168.95473189124539</v>
      </c>
      <c r="AD380" s="14">
        <v>166.9834198514549</v>
      </c>
      <c r="AE380" s="14">
        <v>161.75748793406862</v>
      </c>
      <c r="AF380" s="14">
        <v>158.73426946975823</v>
      </c>
      <c r="AG380" s="14">
        <v>156.67795691082625</v>
      </c>
      <c r="AH380" s="14">
        <v>153.44203714744225</v>
      </c>
      <c r="AI380" s="15">
        <v>149.80291492149857</v>
      </c>
      <c r="AJ380" s="14">
        <v>146.21429300398523</v>
      </c>
      <c r="AK380" s="14">
        <v>149.65301400597838</v>
      </c>
      <c r="AL380" s="14">
        <v>147.29449960134878</v>
      </c>
      <c r="AM380" s="14">
        <v>150.25131766011887</v>
      </c>
      <c r="AN380" s="14">
        <v>154.47984348584572</v>
      </c>
      <c r="AO380" s="14">
        <v>159.93077677742789</v>
      </c>
      <c r="AP380" s="14">
        <v>166.44191654422286</v>
      </c>
      <c r="AQ380" s="14">
        <v>165.23250915776566</v>
      </c>
      <c r="AR380" s="14">
        <v>153.44203714744225</v>
      </c>
      <c r="AS380" s="14">
        <v>149.80291492149857</v>
      </c>
    </row>
    <row r="381" spans="1:45" x14ac:dyDescent="0.35">
      <c r="A381" s="16">
        <v>11265.88348800003</v>
      </c>
      <c r="B381" s="14">
        <v>149.61421376900589</v>
      </c>
      <c r="C381" s="14">
        <v>146.99379776481197</v>
      </c>
      <c r="D381" s="14">
        <v>147.35029994214955</v>
      </c>
      <c r="E381" s="14">
        <v>150.29071790075585</v>
      </c>
      <c r="F381" s="14">
        <v>154.49534358051244</v>
      </c>
      <c r="G381" s="14">
        <v>159.91587668642566</v>
      </c>
      <c r="H381" s="14">
        <v>166.3928162443421</v>
      </c>
      <c r="I381" s="14">
        <v>165.18350885849623</v>
      </c>
      <c r="J381" s="14">
        <v>170.10423891186099</v>
      </c>
      <c r="K381" s="14">
        <v>169.72953662336616</v>
      </c>
      <c r="L381" s="14">
        <v>168.89733154067306</v>
      </c>
      <c r="M381" s="14">
        <v>166.94001958638776</v>
      </c>
      <c r="N381" s="14">
        <v>161.72008770564707</v>
      </c>
      <c r="O381" s="14">
        <v>158.69786924744369</v>
      </c>
      <c r="P381" s="14">
        <v>156.63995667873951</v>
      </c>
      <c r="Q381" s="14">
        <v>153.40953694894725</v>
      </c>
      <c r="R381" s="15">
        <v>149.77401474499047</v>
      </c>
      <c r="S381" s="14">
        <v>148.06960433530148</v>
      </c>
      <c r="T381" s="14">
        <v>146.99379776481197</v>
      </c>
      <c r="U381" s="14">
        <v>147.35029994214955</v>
      </c>
      <c r="V381" s="14">
        <v>150.29071790075585</v>
      </c>
      <c r="W381" s="14">
        <v>154.49534358051244</v>
      </c>
      <c r="X381" s="14">
        <v>159.91587668642566</v>
      </c>
      <c r="Y381" s="14">
        <v>166.3928162443421</v>
      </c>
      <c r="Z381" s="14">
        <v>165.18350885849623</v>
      </c>
      <c r="AA381" s="14">
        <v>170.10423891186099</v>
      </c>
      <c r="AB381" s="14">
        <v>169.72953662336616</v>
      </c>
      <c r="AC381" s="14">
        <v>168.89733154067306</v>
      </c>
      <c r="AD381" s="14">
        <v>166.94001958638776</v>
      </c>
      <c r="AE381" s="14">
        <v>161.72008770564707</v>
      </c>
      <c r="AF381" s="14">
        <v>158.69786924744369</v>
      </c>
      <c r="AG381" s="14">
        <v>156.63995667873951</v>
      </c>
      <c r="AH381" s="14">
        <v>153.40953694894725</v>
      </c>
      <c r="AI381" s="15">
        <v>149.77401474499047</v>
      </c>
      <c r="AJ381" s="14">
        <v>146.27519337593452</v>
      </c>
      <c r="AK381" s="14">
        <v>149.71631439258562</v>
      </c>
      <c r="AL381" s="14">
        <v>147.35029994214955</v>
      </c>
      <c r="AM381" s="14">
        <v>150.29071790075585</v>
      </c>
      <c r="AN381" s="14">
        <v>154.49534358051244</v>
      </c>
      <c r="AO381" s="14">
        <v>159.91587668642566</v>
      </c>
      <c r="AP381" s="14">
        <v>166.3928162443421</v>
      </c>
      <c r="AQ381" s="14">
        <v>165.18350885849623</v>
      </c>
      <c r="AR381" s="14">
        <v>153.40953694894725</v>
      </c>
      <c r="AS381" s="14">
        <v>149.77401474499047</v>
      </c>
    </row>
    <row r="382" spans="1:45" x14ac:dyDescent="0.35">
      <c r="A382" s="16">
        <v>11303.983488000031</v>
      </c>
      <c r="B382" s="14">
        <v>149.63931392230509</v>
      </c>
      <c r="C382" s="14">
        <v>147.01109787047216</v>
      </c>
      <c r="D382" s="14">
        <v>147.36760004780973</v>
      </c>
      <c r="E382" s="14">
        <v>150.29161790625224</v>
      </c>
      <c r="F382" s="14">
        <v>154.47244344064993</v>
      </c>
      <c r="G382" s="14">
        <v>159.86237635967217</v>
      </c>
      <c r="H382" s="14">
        <v>166.30531570993273</v>
      </c>
      <c r="I382" s="14">
        <v>165.0964083265294</v>
      </c>
      <c r="J382" s="14">
        <v>169.98753819911167</v>
      </c>
      <c r="K382" s="14">
        <v>169.62303597291378</v>
      </c>
      <c r="L382" s="14">
        <v>168.80153095557083</v>
      </c>
      <c r="M382" s="14">
        <v>166.85891909106581</v>
      </c>
      <c r="N382" s="14">
        <v>161.64538724941389</v>
      </c>
      <c r="O382" s="14">
        <v>158.62416879731822</v>
      </c>
      <c r="P382" s="14">
        <v>156.5648562200638</v>
      </c>
      <c r="Q382" s="14">
        <v>153.34003652447319</v>
      </c>
      <c r="R382" s="15">
        <v>149.70851434494656</v>
      </c>
      <c r="S382" s="14">
        <v>148.09380448310429</v>
      </c>
      <c r="T382" s="14">
        <v>147.01109787047216</v>
      </c>
      <c r="U382" s="14">
        <v>147.36760004780973</v>
      </c>
      <c r="V382" s="14">
        <v>150.29161790625224</v>
      </c>
      <c r="W382" s="14">
        <v>154.47244344064993</v>
      </c>
      <c r="X382" s="14">
        <v>159.86237635967217</v>
      </c>
      <c r="Y382" s="14">
        <v>166.30531570993273</v>
      </c>
      <c r="Z382" s="14">
        <v>165.0964083265294</v>
      </c>
      <c r="AA382" s="14">
        <v>169.98753819911167</v>
      </c>
      <c r="AB382" s="14">
        <v>169.62303597291378</v>
      </c>
      <c r="AC382" s="14">
        <v>168.80153095557083</v>
      </c>
      <c r="AD382" s="14">
        <v>166.85891909106581</v>
      </c>
      <c r="AE382" s="14">
        <v>161.64538724941389</v>
      </c>
      <c r="AF382" s="14">
        <v>158.62416879731822</v>
      </c>
      <c r="AG382" s="14">
        <v>156.5648562200638</v>
      </c>
      <c r="AH382" s="14">
        <v>153.34003652447319</v>
      </c>
      <c r="AI382" s="15">
        <v>149.70851434494656</v>
      </c>
      <c r="AJ382" s="14">
        <v>146.29909352190475</v>
      </c>
      <c r="AK382" s="14">
        <v>149.74131454527421</v>
      </c>
      <c r="AL382" s="14">
        <v>147.36760004780973</v>
      </c>
      <c r="AM382" s="14">
        <v>150.29161790625224</v>
      </c>
      <c r="AN382" s="14">
        <v>154.47244344064993</v>
      </c>
      <c r="AO382" s="14">
        <v>159.86237635967217</v>
      </c>
      <c r="AP382" s="14">
        <v>166.30531570993273</v>
      </c>
      <c r="AQ382" s="14">
        <v>165.0964083265294</v>
      </c>
      <c r="AR382" s="14">
        <v>153.34003652447319</v>
      </c>
      <c r="AS382" s="14">
        <v>149.70851434494656</v>
      </c>
    </row>
    <row r="383" spans="1:45" x14ac:dyDescent="0.35">
      <c r="A383" s="16">
        <v>11342.083488000031</v>
      </c>
      <c r="B383" s="14">
        <v>149.62571383924248</v>
      </c>
      <c r="C383" s="14">
        <v>146.99019774282436</v>
      </c>
      <c r="D383" s="14">
        <v>147.34659991955129</v>
      </c>
      <c r="E383" s="14">
        <v>150.25411767722005</v>
      </c>
      <c r="F383" s="14">
        <v>154.41114306625812</v>
      </c>
      <c r="G383" s="14">
        <v>159.77027579716818</v>
      </c>
      <c r="H383" s="14">
        <v>166.17891493793954</v>
      </c>
      <c r="I383" s="14">
        <v>164.9710075606439</v>
      </c>
      <c r="J383" s="14">
        <v>169.83243725183232</v>
      </c>
      <c r="K383" s="14">
        <v>169.47813508793146</v>
      </c>
      <c r="L383" s="14">
        <v>168.66743013654997</v>
      </c>
      <c r="M383" s="14">
        <v>166.74001836487975</v>
      </c>
      <c r="N383" s="14">
        <v>161.53328656475847</v>
      </c>
      <c r="O383" s="14">
        <v>158.51336812060239</v>
      </c>
      <c r="P383" s="14">
        <v>156.45245553357648</v>
      </c>
      <c r="Q383" s="14">
        <v>153.23343587340949</v>
      </c>
      <c r="R383" s="15">
        <v>149.60641372136686</v>
      </c>
      <c r="S383" s="14">
        <v>148.08070440309552</v>
      </c>
      <c r="T383" s="14">
        <v>146.99019774282436</v>
      </c>
      <c r="U383" s="14">
        <v>147.34659991955129</v>
      </c>
      <c r="V383" s="14">
        <v>150.25411767722005</v>
      </c>
      <c r="W383" s="14">
        <v>154.41114306625812</v>
      </c>
      <c r="X383" s="14">
        <v>159.77027579716818</v>
      </c>
      <c r="Y383" s="14">
        <v>166.17891493793954</v>
      </c>
      <c r="Z383" s="14">
        <v>164.9710075606439</v>
      </c>
      <c r="AA383" s="14">
        <v>169.83243725183232</v>
      </c>
      <c r="AB383" s="14">
        <v>169.47813508793146</v>
      </c>
      <c r="AC383" s="14">
        <v>168.66743013654997</v>
      </c>
      <c r="AD383" s="14">
        <v>166.74001836487975</v>
      </c>
      <c r="AE383" s="14">
        <v>161.53328656475847</v>
      </c>
      <c r="AF383" s="14">
        <v>158.51336812060239</v>
      </c>
      <c r="AG383" s="14">
        <v>156.45245553357648</v>
      </c>
      <c r="AH383" s="14">
        <v>153.23343587340949</v>
      </c>
      <c r="AI383" s="15">
        <v>149.60641372136686</v>
      </c>
      <c r="AJ383" s="14">
        <v>146.28609344250657</v>
      </c>
      <c r="AK383" s="14">
        <v>149.72781446282218</v>
      </c>
      <c r="AL383" s="14">
        <v>147.34659991955129</v>
      </c>
      <c r="AM383" s="14">
        <v>150.25411767722005</v>
      </c>
      <c r="AN383" s="14">
        <v>154.41114306625812</v>
      </c>
      <c r="AO383" s="14">
        <v>159.77027579716818</v>
      </c>
      <c r="AP383" s="14">
        <v>166.17891493793954</v>
      </c>
      <c r="AQ383" s="14">
        <v>164.9710075606439</v>
      </c>
      <c r="AR383" s="14">
        <v>153.23343587340949</v>
      </c>
      <c r="AS383" s="14">
        <v>149.60641372136686</v>
      </c>
    </row>
    <row r="384" spans="1:45" x14ac:dyDescent="0.35">
      <c r="A384" s="16">
        <v>11380.183488000032</v>
      </c>
      <c r="B384" s="14">
        <v>149.64211393940627</v>
      </c>
      <c r="C384" s="14">
        <v>146.99929779840301</v>
      </c>
      <c r="D384" s="14">
        <v>147.35549997390868</v>
      </c>
      <c r="E384" s="14">
        <v>150.24671763202426</v>
      </c>
      <c r="F384" s="14">
        <v>154.37984287509204</v>
      </c>
      <c r="G384" s="14">
        <v>159.70817541788992</v>
      </c>
      <c r="H384" s="14">
        <v>166.08251434917352</v>
      </c>
      <c r="I384" s="14">
        <v>164.87590697981679</v>
      </c>
      <c r="J384" s="14">
        <v>169.70743648839007</v>
      </c>
      <c r="K384" s="14">
        <v>169.36313438556422</v>
      </c>
      <c r="L384" s="14">
        <v>168.56272949709034</v>
      </c>
      <c r="M384" s="14">
        <v>166.65021781642309</v>
      </c>
      <c r="N384" s="14">
        <v>161.4502860578331</v>
      </c>
      <c r="O384" s="14">
        <v>158.43146762039538</v>
      </c>
      <c r="P384" s="14">
        <v>156.36905502420791</v>
      </c>
      <c r="Q384" s="14">
        <v>153.15583539946451</v>
      </c>
      <c r="R384" s="15">
        <v>149.53291327246268</v>
      </c>
      <c r="S384" s="14">
        <v>148.09670450081609</v>
      </c>
      <c r="T384" s="14">
        <v>146.99929779840301</v>
      </c>
      <c r="U384" s="14">
        <v>147.35549997390868</v>
      </c>
      <c r="V384" s="14">
        <v>150.24671763202426</v>
      </c>
      <c r="W384" s="14">
        <v>154.37984287509204</v>
      </c>
      <c r="X384" s="14">
        <v>159.70817541788992</v>
      </c>
      <c r="Y384" s="14">
        <v>166.08251434917352</v>
      </c>
      <c r="Z384" s="14">
        <v>164.87590697981679</v>
      </c>
      <c r="AA384" s="14">
        <v>169.70743648839007</v>
      </c>
      <c r="AB384" s="14">
        <v>169.36313438556422</v>
      </c>
      <c r="AC384" s="14">
        <v>168.56272949709034</v>
      </c>
      <c r="AD384" s="14">
        <v>166.65021781642309</v>
      </c>
      <c r="AE384" s="14">
        <v>161.4502860578331</v>
      </c>
      <c r="AF384" s="14">
        <v>158.43146762039538</v>
      </c>
      <c r="AG384" s="14">
        <v>156.36905502420791</v>
      </c>
      <c r="AH384" s="14">
        <v>153.15583539946451</v>
      </c>
      <c r="AI384" s="15">
        <v>149.53291327246268</v>
      </c>
      <c r="AJ384" s="14">
        <v>146.30189353900593</v>
      </c>
      <c r="AK384" s="14">
        <v>149.744214562986</v>
      </c>
      <c r="AL384" s="14">
        <v>147.35549997390868</v>
      </c>
      <c r="AM384" s="14">
        <v>150.24671763202426</v>
      </c>
      <c r="AN384" s="14">
        <v>154.37984287509204</v>
      </c>
      <c r="AO384" s="14">
        <v>159.70817541788992</v>
      </c>
      <c r="AP384" s="14">
        <v>166.08251434917352</v>
      </c>
      <c r="AQ384" s="14">
        <v>164.87590697981679</v>
      </c>
      <c r="AR384" s="14">
        <v>153.15583539946451</v>
      </c>
      <c r="AS384" s="14">
        <v>149.53291327246268</v>
      </c>
    </row>
    <row r="385" spans="1:45" x14ac:dyDescent="0.35">
      <c r="A385" s="16">
        <v>11418.28348800003</v>
      </c>
      <c r="B385" s="14">
        <v>149.68861422340649</v>
      </c>
      <c r="C385" s="14">
        <v>147.03849803781873</v>
      </c>
      <c r="D385" s="14">
        <v>147.39450021210243</v>
      </c>
      <c r="E385" s="14">
        <v>150.26931777005419</v>
      </c>
      <c r="F385" s="14">
        <v>154.37864286776306</v>
      </c>
      <c r="G385" s="14">
        <v>159.67637522367005</v>
      </c>
      <c r="H385" s="14">
        <v>166.01621394424313</v>
      </c>
      <c r="I385" s="14">
        <v>164.81130658526996</v>
      </c>
      <c r="J385" s="14">
        <v>169.61243590817358</v>
      </c>
      <c r="K385" s="14">
        <v>169.2780338658128</v>
      </c>
      <c r="L385" s="14">
        <v>168.4874290371927</v>
      </c>
      <c r="M385" s="14">
        <v>166.58941744508445</v>
      </c>
      <c r="N385" s="14">
        <v>161.39628572802579</v>
      </c>
      <c r="O385" s="14">
        <v>158.37856729730638</v>
      </c>
      <c r="P385" s="14">
        <v>156.31455469134673</v>
      </c>
      <c r="Q385" s="14">
        <v>153.10693510080569</v>
      </c>
      <c r="R385" s="15">
        <v>149.48791299762405</v>
      </c>
      <c r="S385" s="14">
        <v>148.14180477626607</v>
      </c>
      <c r="T385" s="14">
        <v>147.03849803781873</v>
      </c>
      <c r="U385" s="14">
        <v>147.39450021210243</v>
      </c>
      <c r="V385" s="14">
        <v>150.26931777005419</v>
      </c>
      <c r="W385" s="14">
        <v>154.37864286776306</v>
      </c>
      <c r="X385" s="14">
        <v>159.67637522367005</v>
      </c>
      <c r="Y385" s="14">
        <v>166.01621394424313</v>
      </c>
      <c r="Z385" s="14">
        <v>164.81130658526996</v>
      </c>
      <c r="AA385" s="14">
        <v>169.61243590817358</v>
      </c>
      <c r="AB385" s="14">
        <v>169.2780338658128</v>
      </c>
      <c r="AC385" s="14">
        <v>168.4874290371927</v>
      </c>
      <c r="AD385" s="14">
        <v>166.58941744508445</v>
      </c>
      <c r="AE385" s="14">
        <v>161.39628572802579</v>
      </c>
      <c r="AF385" s="14">
        <v>158.37856729730638</v>
      </c>
      <c r="AG385" s="14">
        <v>156.31455469134673</v>
      </c>
      <c r="AH385" s="14">
        <v>153.10693510080569</v>
      </c>
      <c r="AI385" s="15">
        <v>149.48791299762405</v>
      </c>
      <c r="AJ385" s="14">
        <v>146.34659381201266</v>
      </c>
      <c r="AK385" s="14">
        <v>149.79071484698619</v>
      </c>
      <c r="AL385" s="14">
        <v>147.39450021210243</v>
      </c>
      <c r="AM385" s="14">
        <v>150.26931777005419</v>
      </c>
      <c r="AN385" s="14">
        <v>154.37864286776306</v>
      </c>
      <c r="AO385" s="14">
        <v>159.67637522367005</v>
      </c>
      <c r="AP385" s="14">
        <v>166.01621394424313</v>
      </c>
      <c r="AQ385" s="14">
        <v>164.81130658526996</v>
      </c>
      <c r="AR385" s="14">
        <v>153.10693510080569</v>
      </c>
      <c r="AS385" s="14">
        <v>149.48791299762405</v>
      </c>
    </row>
    <row r="386" spans="1:45" x14ac:dyDescent="0.35">
      <c r="A386" s="16">
        <v>11456.38348800003</v>
      </c>
      <c r="B386" s="14">
        <v>149.7137143767057</v>
      </c>
      <c r="C386" s="14">
        <v>147.05629814653275</v>
      </c>
      <c r="D386" s="14">
        <v>147.41200031898455</v>
      </c>
      <c r="E386" s="14">
        <v>150.27051777738316</v>
      </c>
      <c r="F386" s="14">
        <v>154.35594272912181</v>
      </c>
      <c r="G386" s="14">
        <v>159.62307489813853</v>
      </c>
      <c r="H386" s="14">
        <v>165.92841340800121</v>
      </c>
      <c r="I386" s="14">
        <v>164.7257060624647</v>
      </c>
      <c r="J386" s="14">
        <v>169.49613519786675</v>
      </c>
      <c r="K386" s="14">
        <v>169.17153321535972</v>
      </c>
      <c r="L386" s="14">
        <v>168.39072844659404</v>
      </c>
      <c r="M386" s="14">
        <v>166.50761694548805</v>
      </c>
      <c r="N386" s="14">
        <v>161.32148527118196</v>
      </c>
      <c r="O386" s="14">
        <v>158.30496684779155</v>
      </c>
      <c r="P386" s="14">
        <v>156.23945423267034</v>
      </c>
      <c r="Q386" s="14">
        <v>153.03753467694295</v>
      </c>
      <c r="R386" s="15">
        <v>149.42251259819076</v>
      </c>
      <c r="S386" s="14">
        <v>148.16610492467953</v>
      </c>
      <c r="T386" s="14">
        <v>147.05629814653275</v>
      </c>
      <c r="U386" s="14">
        <v>147.41200031898455</v>
      </c>
      <c r="V386" s="14">
        <v>150.27051777738316</v>
      </c>
      <c r="W386" s="14">
        <v>154.35594272912181</v>
      </c>
      <c r="X386" s="14">
        <v>159.62307489813853</v>
      </c>
      <c r="Y386" s="14">
        <v>165.92841340800121</v>
      </c>
      <c r="Z386" s="14">
        <v>164.7257060624647</v>
      </c>
      <c r="AA386" s="14">
        <v>169.49613519786675</v>
      </c>
      <c r="AB386" s="14">
        <v>169.17153321535972</v>
      </c>
      <c r="AC386" s="14">
        <v>168.39072844659404</v>
      </c>
      <c r="AD386" s="14">
        <v>166.50761694548805</v>
      </c>
      <c r="AE386" s="14">
        <v>161.32148527118196</v>
      </c>
      <c r="AF386" s="14">
        <v>158.30496684779155</v>
      </c>
      <c r="AG386" s="14">
        <v>156.23945423267034</v>
      </c>
      <c r="AH386" s="14">
        <v>153.03753467694295</v>
      </c>
      <c r="AI386" s="15">
        <v>149.42251259819076</v>
      </c>
      <c r="AJ386" s="14">
        <v>146.37069395920415</v>
      </c>
      <c r="AK386" s="14">
        <v>149.81571499967478</v>
      </c>
      <c r="AL386" s="14">
        <v>147.41200031898455</v>
      </c>
      <c r="AM386" s="14">
        <v>150.27051777738316</v>
      </c>
      <c r="AN386" s="14">
        <v>154.35594272912181</v>
      </c>
      <c r="AO386" s="14">
        <v>159.62307489813853</v>
      </c>
      <c r="AP386" s="14">
        <v>165.92841340800121</v>
      </c>
      <c r="AQ386" s="14">
        <v>164.7257060624647</v>
      </c>
      <c r="AR386" s="14">
        <v>153.03753467694295</v>
      </c>
      <c r="AS386" s="14">
        <v>149.42251259819076</v>
      </c>
    </row>
    <row r="387" spans="1:45" x14ac:dyDescent="0.35">
      <c r="A387" s="16">
        <v>11494.483488000031</v>
      </c>
      <c r="B387" s="14">
        <v>149.71741439930395</v>
      </c>
      <c r="C387" s="14">
        <v>147.05279812515647</v>
      </c>
      <c r="D387" s="14">
        <v>147.40820029577571</v>
      </c>
      <c r="E387" s="14">
        <v>150.25051765523244</v>
      </c>
      <c r="F387" s="14">
        <v>154.31204246100086</v>
      </c>
      <c r="G387" s="14">
        <v>159.54817444068337</v>
      </c>
      <c r="H387" s="14">
        <v>165.81911274044765</v>
      </c>
      <c r="I387" s="14">
        <v>164.61900541079035</v>
      </c>
      <c r="J387" s="14">
        <v>169.35843435685896</v>
      </c>
      <c r="K387" s="14">
        <v>169.04363243420565</v>
      </c>
      <c r="L387" s="14">
        <v>168.27252772468242</v>
      </c>
      <c r="M387" s="14">
        <v>166.40451631580063</v>
      </c>
      <c r="N387" s="14">
        <v>161.225884687301</v>
      </c>
      <c r="O387" s="14">
        <v>158.21056627124022</v>
      </c>
      <c r="P387" s="14">
        <v>156.14355364695746</v>
      </c>
      <c r="Q387" s="14">
        <v>152.94743412665369</v>
      </c>
      <c r="R387" s="15">
        <v>149.33681207477485</v>
      </c>
      <c r="S387" s="14">
        <v>148.1698049472771</v>
      </c>
      <c r="T387" s="14">
        <v>147.05279812515647</v>
      </c>
      <c r="U387" s="14">
        <v>147.40820029577571</v>
      </c>
      <c r="V387" s="14">
        <v>150.25051765523244</v>
      </c>
      <c r="W387" s="14">
        <v>154.31204246100086</v>
      </c>
      <c r="X387" s="14">
        <v>159.54817444068337</v>
      </c>
      <c r="Y387" s="14">
        <v>165.81911274044765</v>
      </c>
      <c r="Z387" s="14">
        <v>164.61900541079035</v>
      </c>
      <c r="AA387" s="14">
        <v>169.35843435685896</v>
      </c>
      <c r="AB387" s="14">
        <v>169.04363243420565</v>
      </c>
      <c r="AC387" s="14">
        <v>168.27252772468242</v>
      </c>
      <c r="AD387" s="14">
        <v>166.40451631580063</v>
      </c>
      <c r="AE387" s="14">
        <v>161.225884687301</v>
      </c>
      <c r="AF387" s="14">
        <v>158.21056627124022</v>
      </c>
      <c r="AG387" s="14">
        <v>156.14355364695746</v>
      </c>
      <c r="AH387" s="14">
        <v>152.94743412665369</v>
      </c>
      <c r="AI387" s="15">
        <v>149.33681207477485</v>
      </c>
      <c r="AJ387" s="14">
        <v>146.37429398119178</v>
      </c>
      <c r="AK387" s="14">
        <v>149.81941502227303</v>
      </c>
      <c r="AL387" s="14">
        <v>147.40820029577571</v>
      </c>
      <c r="AM387" s="14">
        <v>150.25051765523244</v>
      </c>
      <c r="AN387" s="14">
        <v>154.31204246100086</v>
      </c>
      <c r="AO387" s="14">
        <v>159.54817444068337</v>
      </c>
      <c r="AP387" s="14">
        <v>165.81911274044765</v>
      </c>
      <c r="AQ387" s="14">
        <v>164.61900541079035</v>
      </c>
      <c r="AR387" s="14">
        <v>152.94743412665369</v>
      </c>
      <c r="AS387" s="14">
        <v>149.33681207477485</v>
      </c>
    </row>
    <row r="388" spans="1:45" x14ac:dyDescent="0.35">
      <c r="A388" s="16">
        <v>11532.583488000031</v>
      </c>
      <c r="B388" s="14">
        <v>149.75761464482667</v>
      </c>
      <c r="C388" s="14">
        <v>147.08579832670534</v>
      </c>
      <c r="D388" s="14">
        <v>147.44090049549197</v>
      </c>
      <c r="E388" s="14">
        <v>150.26711775661752</v>
      </c>
      <c r="F388" s="14">
        <v>154.30464241580503</v>
      </c>
      <c r="G388" s="14">
        <v>159.50977420615413</v>
      </c>
      <c r="H388" s="14">
        <v>165.74631229581854</v>
      </c>
      <c r="I388" s="14">
        <v>164.54920498448439</v>
      </c>
      <c r="J388" s="14">
        <v>169.25733373938695</v>
      </c>
      <c r="K388" s="14">
        <v>168.95233187658744</v>
      </c>
      <c r="L388" s="14">
        <v>168.19032722264282</v>
      </c>
      <c r="M388" s="14">
        <v>166.33711590415263</v>
      </c>
      <c r="N388" s="14">
        <v>161.16568431962756</v>
      </c>
      <c r="O388" s="14">
        <v>158.15166591150569</v>
      </c>
      <c r="P388" s="14">
        <v>156.08305327745143</v>
      </c>
      <c r="Q388" s="14">
        <v>152.89263379196061</v>
      </c>
      <c r="R388" s="15">
        <v>149.28591176390131</v>
      </c>
      <c r="S388" s="14">
        <v>148.20900518669279</v>
      </c>
      <c r="T388" s="14">
        <v>147.08579832670534</v>
      </c>
      <c r="U388" s="14">
        <v>147.44090049549197</v>
      </c>
      <c r="V388" s="14">
        <v>150.26711775661752</v>
      </c>
      <c r="W388" s="14">
        <v>154.30464241580503</v>
      </c>
      <c r="X388" s="14">
        <v>159.50977420615413</v>
      </c>
      <c r="Y388" s="14">
        <v>165.74631229581854</v>
      </c>
      <c r="Z388" s="14">
        <v>164.54920498448439</v>
      </c>
      <c r="AA388" s="14">
        <v>169.25733373938695</v>
      </c>
      <c r="AB388" s="14">
        <v>168.95233187658744</v>
      </c>
      <c r="AC388" s="14">
        <v>168.19032722264282</v>
      </c>
      <c r="AD388" s="14">
        <v>166.33711590415263</v>
      </c>
      <c r="AE388" s="14">
        <v>161.16568431962756</v>
      </c>
      <c r="AF388" s="14">
        <v>158.15166591150569</v>
      </c>
      <c r="AG388" s="14">
        <v>156.08305327745143</v>
      </c>
      <c r="AH388" s="14">
        <v>152.89263379196061</v>
      </c>
      <c r="AI388" s="15">
        <v>149.28591176390131</v>
      </c>
      <c r="AJ388" s="14">
        <v>146.41309421816428</v>
      </c>
      <c r="AK388" s="14">
        <v>149.8597152684064</v>
      </c>
      <c r="AL388" s="14">
        <v>147.44090049549197</v>
      </c>
      <c r="AM388" s="14">
        <v>150.26711775661752</v>
      </c>
      <c r="AN388" s="14">
        <v>154.30464241580503</v>
      </c>
      <c r="AO388" s="14">
        <v>159.50977420615413</v>
      </c>
      <c r="AP388" s="14">
        <v>165.74631229581854</v>
      </c>
      <c r="AQ388" s="14">
        <v>164.54920498448439</v>
      </c>
      <c r="AR388" s="14">
        <v>152.89263379196061</v>
      </c>
      <c r="AS388" s="14">
        <v>149.28591176390131</v>
      </c>
    </row>
    <row r="389" spans="1:45" x14ac:dyDescent="0.35">
      <c r="A389" s="16">
        <v>11570.683488000032</v>
      </c>
      <c r="B389" s="14">
        <v>149.83451511449655</v>
      </c>
      <c r="C389" s="14">
        <v>147.15539875179005</v>
      </c>
      <c r="D389" s="14">
        <v>147.51010091813416</v>
      </c>
      <c r="E389" s="14">
        <v>150.32021808092847</v>
      </c>
      <c r="F389" s="14">
        <v>154.33394259475565</v>
      </c>
      <c r="G389" s="14">
        <v>159.5083741976039</v>
      </c>
      <c r="H389" s="14">
        <v>165.71011207472597</v>
      </c>
      <c r="I389" s="14">
        <v>164.51630478354616</v>
      </c>
      <c r="J389" s="14">
        <v>169.19303334667202</v>
      </c>
      <c r="K389" s="14">
        <v>168.89753154189435</v>
      </c>
      <c r="L389" s="14">
        <v>168.14422694108583</v>
      </c>
      <c r="M389" s="14">
        <v>166.30511570871147</v>
      </c>
      <c r="N389" s="14">
        <v>161.14098416877084</v>
      </c>
      <c r="O389" s="14">
        <v>158.12806576736804</v>
      </c>
      <c r="P389" s="14">
        <v>156.05785312354158</v>
      </c>
      <c r="Q389" s="14">
        <v>152.87293367164179</v>
      </c>
      <c r="R389" s="15">
        <v>149.26991166618004</v>
      </c>
      <c r="S389" s="14">
        <v>148.28360564231531</v>
      </c>
      <c r="T389" s="14">
        <v>147.15539875179005</v>
      </c>
      <c r="U389" s="14">
        <v>147.51010091813416</v>
      </c>
      <c r="V389" s="14">
        <v>150.32021808092847</v>
      </c>
      <c r="W389" s="14">
        <v>154.33394259475565</v>
      </c>
      <c r="X389" s="14">
        <v>159.5083741976039</v>
      </c>
      <c r="Y389" s="14">
        <v>165.71011207472597</v>
      </c>
      <c r="Z389" s="14">
        <v>164.51630478354616</v>
      </c>
      <c r="AA389" s="14">
        <v>169.19303334667202</v>
      </c>
      <c r="AB389" s="14">
        <v>168.89753154189435</v>
      </c>
      <c r="AC389" s="14">
        <v>168.14422694108583</v>
      </c>
      <c r="AD389" s="14">
        <v>166.30511570871147</v>
      </c>
      <c r="AE389" s="14">
        <v>161.14098416877084</v>
      </c>
      <c r="AF389" s="14">
        <v>158.12806576736804</v>
      </c>
      <c r="AG389" s="14">
        <v>156.05785312354158</v>
      </c>
      <c r="AH389" s="14">
        <v>152.87293367164179</v>
      </c>
      <c r="AI389" s="15">
        <v>149.26991166618004</v>
      </c>
      <c r="AJ389" s="14">
        <v>146.48709467012162</v>
      </c>
      <c r="AK389" s="14">
        <v>149.93661573807623</v>
      </c>
      <c r="AL389" s="14">
        <v>147.51010091813416</v>
      </c>
      <c r="AM389" s="14">
        <v>150.32021808092847</v>
      </c>
      <c r="AN389" s="14">
        <v>154.33394259475565</v>
      </c>
      <c r="AO389" s="14">
        <v>159.5083741976039</v>
      </c>
      <c r="AP389" s="14">
        <v>165.71011207472597</v>
      </c>
      <c r="AQ389" s="14">
        <v>164.51630478354616</v>
      </c>
      <c r="AR389" s="14">
        <v>152.87293367164179</v>
      </c>
      <c r="AS389" s="14">
        <v>149.26991166618004</v>
      </c>
    </row>
    <row r="390" spans="1:45" x14ac:dyDescent="0.35">
      <c r="A390" s="16">
        <v>11604.74488800003</v>
      </c>
      <c r="B390" s="14">
        <v>149.87201534352943</v>
      </c>
      <c r="C390" s="14">
        <v>147.18609893929158</v>
      </c>
      <c r="D390" s="14">
        <v>147.54060110441375</v>
      </c>
      <c r="E390" s="14">
        <v>150.33641817987029</v>
      </c>
      <c r="F390" s="14">
        <v>154.32874256299655</v>
      </c>
      <c r="G390" s="14">
        <v>159.47577399849752</v>
      </c>
      <c r="H390" s="14">
        <v>165.6462116844543</v>
      </c>
      <c r="I390" s="14">
        <v>164.4558044140401</v>
      </c>
      <c r="J390" s="14">
        <v>169.10403280310109</v>
      </c>
      <c r="K390" s="14">
        <v>168.81703105023757</v>
      </c>
      <c r="L390" s="14">
        <v>168.0715264970674</v>
      </c>
      <c r="M390" s="14">
        <v>166.24561534531242</v>
      </c>
      <c r="N390" s="14">
        <v>161.08828384690383</v>
      </c>
      <c r="O390" s="14">
        <v>158.07646545221937</v>
      </c>
      <c r="P390" s="14">
        <v>156.00485279984196</v>
      </c>
      <c r="Q390" s="14">
        <v>152.82513337970127</v>
      </c>
      <c r="R390" s="15">
        <v>149.22561139561651</v>
      </c>
      <c r="S390" s="14">
        <v>148.31990586401855</v>
      </c>
      <c r="T390" s="14">
        <v>147.18609893929158</v>
      </c>
      <c r="U390" s="14">
        <v>147.54060110441375</v>
      </c>
      <c r="V390" s="14">
        <v>150.33641817987029</v>
      </c>
      <c r="W390" s="14">
        <v>154.32874256299655</v>
      </c>
      <c r="X390" s="14">
        <v>159.47577399849752</v>
      </c>
      <c r="Y390" s="14">
        <v>165.6462116844543</v>
      </c>
      <c r="Z390" s="14">
        <v>164.4558044140401</v>
      </c>
      <c r="AA390" s="14">
        <v>169.10403280310109</v>
      </c>
      <c r="AB390" s="14">
        <v>168.81703105023757</v>
      </c>
      <c r="AC390" s="14">
        <v>168.0715264970674</v>
      </c>
      <c r="AD390" s="14">
        <v>166.24561534531242</v>
      </c>
      <c r="AE390" s="14">
        <v>161.08828384690383</v>
      </c>
      <c r="AF390" s="14">
        <v>158.07646545221937</v>
      </c>
      <c r="AG390" s="14">
        <v>156.00485279984196</v>
      </c>
      <c r="AH390" s="14">
        <v>152.82513337970127</v>
      </c>
      <c r="AI390" s="15">
        <v>149.22561139561651</v>
      </c>
      <c r="AJ390" s="14">
        <v>146.52299488938232</v>
      </c>
      <c r="AK390" s="14">
        <v>149.97401596649848</v>
      </c>
      <c r="AL390" s="14">
        <v>147.54060110441375</v>
      </c>
      <c r="AM390" s="14">
        <v>150.33641817987029</v>
      </c>
      <c r="AN390" s="14">
        <v>154.32874256299655</v>
      </c>
      <c r="AO390" s="14">
        <v>159.47577399849752</v>
      </c>
      <c r="AP390" s="14">
        <v>165.6462116844543</v>
      </c>
      <c r="AQ390" s="14">
        <v>164.4558044140401</v>
      </c>
      <c r="AR390" s="14">
        <v>152.82513337970127</v>
      </c>
      <c r="AS390" s="14">
        <v>149.22561139561651</v>
      </c>
    </row>
    <row r="391" spans="1:45" x14ac:dyDescent="0.35">
      <c r="A391" s="16">
        <v>11634.767688000031</v>
      </c>
      <c r="B391" s="14">
        <v>149.86971532948209</v>
      </c>
      <c r="C391" s="14">
        <v>147.17799888981997</v>
      </c>
      <c r="D391" s="14">
        <v>147.53230105372157</v>
      </c>
      <c r="E391" s="14">
        <v>150.31561805283312</v>
      </c>
      <c r="F391" s="14">
        <v>154.28904232052767</v>
      </c>
      <c r="G391" s="14">
        <v>159.4114736057833</v>
      </c>
      <c r="H391" s="14">
        <v>165.55461112500345</v>
      </c>
      <c r="I391" s="14">
        <v>164.3675038747443</v>
      </c>
      <c r="J391" s="14">
        <v>168.99053210989541</v>
      </c>
      <c r="K391" s="14">
        <v>168.71103040283833</v>
      </c>
      <c r="L391" s="14">
        <v>167.97252589242146</v>
      </c>
      <c r="M391" s="14">
        <v>166.15871481456756</v>
      </c>
      <c r="N391" s="14">
        <v>161.00778335524703</v>
      </c>
      <c r="O391" s="14">
        <v>157.99706496728024</v>
      </c>
      <c r="P391" s="14">
        <v>155.92425230757453</v>
      </c>
      <c r="Q391" s="14">
        <v>152.74923291613914</v>
      </c>
      <c r="R391" s="15">
        <v>149.15311095282001</v>
      </c>
      <c r="S391" s="14">
        <v>148.3178058511925</v>
      </c>
      <c r="T391" s="14">
        <v>147.17799888981997</v>
      </c>
      <c r="U391" s="14">
        <v>147.53230105372157</v>
      </c>
      <c r="V391" s="14">
        <v>150.31561805283312</v>
      </c>
      <c r="W391" s="14">
        <v>154.28904232052767</v>
      </c>
      <c r="X391" s="14">
        <v>159.4114736057833</v>
      </c>
      <c r="Y391" s="14">
        <v>165.55461112500345</v>
      </c>
      <c r="Z391" s="14">
        <v>164.3675038747443</v>
      </c>
      <c r="AA391" s="14">
        <v>168.99053210989541</v>
      </c>
      <c r="AB391" s="14">
        <v>168.71103040283833</v>
      </c>
      <c r="AC391" s="14">
        <v>167.97252589242146</v>
      </c>
      <c r="AD391" s="14">
        <v>166.15871481456756</v>
      </c>
      <c r="AE391" s="14">
        <v>161.00778335524703</v>
      </c>
      <c r="AF391" s="14">
        <v>157.99706496728024</v>
      </c>
      <c r="AG391" s="14">
        <v>155.92425230757453</v>
      </c>
      <c r="AH391" s="14">
        <v>152.74923291613914</v>
      </c>
      <c r="AI391" s="15">
        <v>149.15311095282001</v>
      </c>
      <c r="AJ391" s="14">
        <v>146.52089487655695</v>
      </c>
      <c r="AK391" s="14">
        <v>149.97181595306179</v>
      </c>
      <c r="AL391" s="14">
        <v>147.53230105372157</v>
      </c>
      <c r="AM391" s="14">
        <v>150.31561805283312</v>
      </c>
      <c r="AN391" s="14">
        <v>154.28904232052767</v>
      </c>
      <c r="AO391" s="14">
        <v>159.4114736057833</v>
      </c>
      <c r="AP391" s="14">
        <v>165.55461112500345</v>
      </c>
      <c r="AQ391" s="14">
        <v>164.3675038747443</v>
      </c>
      <c r="AR391" s="14">
        <v>152.74923291613914</v>
      </c>
      <c r="AS391" s="14">
        <v>149.15311095282001</v>
      </c>
    </row>
    <row r="392" spans="1:45" x14ac:dyDescent="0.35">
      <c r="A392" s="16">
        <v>11668.829088000031</v>
      </c>
      <c r="B392" s="14">
        <v>149.86271528672953</v>
      </c>
      <c r="C392" s="14">
        <v>147.16439880675802</v>
      </c>
      <c r="D392" s="14">
        <v>147.51840096882634</v>
      </c>
      <c r="E392" s="14">
        <v>150.28741788060083</v>
      </c>
      <c r="F392" s="14">
        <v>154.23944201759369</v>
      </c>
      <c r="G392" s="14">
        <v>159.33397313244896</v>
      </c>
      <c r="H392" s="14">
        <v>165.44611046233564</v>
      </c>
      <c r="I392" s="14">
        <v>164.26300323650665</v>
      </c>
      <c r="J392" s="14">
        <v>168.85723129576027</v>
      </c>
      <c r="K392" s="14">
        <v>168.58612964000673</v>
      </c>
      <c r="L392" s="14">
        <v>167.8554251772282</v>
      </c>
      <c r="M392" s="14">
        <v>166.05541418365888</v>
      </c>
      <c r="N392" s="14">
        <v>160.91208277075543</v>
      </c>
      <c r="O392" s="14">
        <v>157.90246438950766</v>
      </c>
      <c r="P392" s="14">
        <v>155.82845172247229</v>
      </c>
      <c r="Q392" s="14">
        <v>152.65873236340735</v>
      </c>
      <c r="R392" s="15">
        <v>149.06661042451768</v>
      </c>
      <c r="S392" s="14">
        <v>148.31100580966185</v>
      </c>
      <c r="T392" s="14">
        <v>147.16439880675802</v>
      </c>
      <c r="U392" s="14">
        <v>147.51840096882634</v>
      </c>
      <c r="V392" s="14">
        <v>150.28741788060083</v>
      </c>
      <c r="W392" s="14">
        <v>154.23944201759369</v>
      </c>
      <c r="X392" s="14">
        <v>159.33397313244896</v>
      </c>
      <c r="Y392" s="14">
        <v>165.44611046233564</v>
      </c>
      <c r="Z392" s="14">
        <v>164.26300323650665</v>
      </c>
      <c r="AA392" s="14">
        <v>168.85723129576027</v>
      </c>
      <c r="AB392" s="14">
        <v>168.58612964000673</v>
      </c>
      <c r="AC392" s="14">
        <v>167.8554251772282</v>
      </c>
      <c r="AD392" s="14">
        <v>166.05541418365888</v>
      </c>
      <c r="AE392" s="14">
        <v>160.91208277075543</v>
      </c>
      <c r="AF392" s="14">
        <v>157.90246438950766</v>
      </c>
      <c r="AG392" s="14">
        <v>155.82845172247229</v>
      </c>
      <c r="AH392" s="14">
        <v>152.65873236340735</v>
      </c>
      <c r="AI392" s="15">
        <v>149.06661042451768</v>
      </c>
      <c r="AJ392" s="14">
        <v>146.51419483563626</v>
      </c>
      <c r="AK392" s="14">
        <v>149.9648159103092</v>
      </c>
      <c r="AL392" s="14">
        <v>147.51840096882634</v>
      </c>
      <c r="AM392" s="14">
        <v>150.28741788060083</v>
      </c>
      <c r="AN392" s="14">
        <v>154.23944201759369</v>
      </c>
      <c r="AO392" s="14">
        <v>159.33397313244896</v>
      </c>
      <c r="AP392" s="14">
        <v>165.44611046233564</v>
      </c>
      <c r="AQ392" s="14">
        <v>164.26300323650665</v>
      </c>
      <c r="AR392" s="14">
        <v>152.65873236340735</v>
      </c>
      <c r="AS392" s="14">
        <v>149.06661042451768</v>
      </c>
    </row>
    <row r="393" spans="1:45" x14ac:dyDescent="0.35">
      <c r="A393" s="16">
        <v>11706.929088000032</v>
      </c>
      <c r="B393" s="14">
        <v>149.85091521466032</v>
      </c>
      <c r="C393" s="14">
        <v>147.14519868949307</v>
      </c>
      <c r="D393" s="14">
        <v>147.49880084911882</v>
      </c>
      <c r="E393" s="14">
        <v>150.25191766378339</v>
      </c>
      <c r="F393" s="14">
        <v>154.18004165480602</v>
      </c>
      <c r="G393" s="14">
        <v>159.24337257910582</v>
      </c>
      <c r="H393" s="14">
        <v>165.32050969522891</v>
      </c>
      <c r="I393" s="14">
        <v>164.14220249871579</v>
      </c>
      <c r="J393" s="14">
        <v>168.70413036069638</v>
      </c>
      <c r="K393" s="14">
        <v>168.442528762964</v>
      </c>
      <c r="L393" s="14">
        <v>167.7203243520996</v>
      </c>
      <c r="M393" s="14">
        <v>165.93581345319703</v>
      </c>
      <c r="N393" s="14">
        <v>160.80108209281906</v>
      </c>
      <c r="O393" s="14">
        <v>157.79276371951016</v>
      </c>
      <c r="P393" s="14">
        <v>155.71725104331392</v>
      </c>
      <c r="Q393" s="14">
        <v>152.55363172150518</v>
      </c>
      <c r="R393" s="15">
        <v>148.96610981071018</v>
      </c>
      <c r="S393" s="14">
        <v>148.29960574003593</v>
      </c>
      <c r="T393" s="14">
        <v>147.14519868949307</v>
      </c>
      <c r="U393" s="14">
        <v>147.49880084911882</v>
      </c>
      <c r="V393" s="14">
        <v>150.25191766378339</v>
      </c>
      <c r="W393" s="14">
        <v>154.18004165480602</v>
      </c>
      <c r="X393" s="14">
        <v>159.24337257910582</v>
      </c>
      <c r="Y393" s="14">
        <v>165.32050969522891</v>
      </c>
      <c r="Z393" s="14">
        <v>164.14220249871579</v>
      </c>
      <c r="AA393" s="14">
        <v>168.70413036069638</v>
      </c>
      <c r="AB393" s="14">
        <v>168.442528762964</v>
      </c>
      <c r="AC393" s="14">
        <v>167.7203243520996</v>
      </c>
      <c r="AD393" s="14">
        <v>165.93581345319703</v>
      </c>
      <c r="AE393" s="14">
        <v>160.80108209281906</v>
      </c>
      <c r="AF393" s="14">
        <v>157.79276371951016</v>
      </c>
      <c r="AG393" s="14">
        <v>155.71725104331392</v>
      </c>
      <c r="AH393" s="14">
        <v>152.55363172150518</v>
      </c>
      <c r="AI393" s="15">
        <v>148.96610981071018</v>
      </c>
      <c r="AJ393" s="14">
        <v>146.50279476601031</v>
      </c>
      <c r="AK393" s="14">
        <v>149.95301583824005</v>
      </c>
      <c r="AL393" s="14">
        <v>147.49880084911882</v>
      </c>
      <c r="AM393" s="14">
        <v>150.25191766378339</v>
      </c>
      <c r="AN393" s="14">
        <v>154.18004165480602</v>
      </c>
      <c r="AO393" s="14">
        <v>159.24337257910582</v>
      </c>
      <c r="AP393" s="14">
        <v>165.32050969522891</v>
      </c>
      <c r="AQ393" s="14">
        <v>164.14220249871579</v>
      </c>
      <c r="AR393" s="14">
        <v>152.55363172150518</v>
      </c>
      <c r="AS393" s="14">
        <v>148.96610981071018</v>
      </c>
    </row>
    <row r="394" spans="1:45" x14ac:dyDescent="0.35">
      <c r="A394" s="16">
        <v>11745.02908800003</v>
      </c>
      <c r="B394" s="14">
        <v>149.89411547850622</v>
      </c>
      <c r="C394" s="14">
        <v>147.1809989081431</v>
      </c>
      <c r="D394" s="14">
        <v>147.53430106593629</v>
      </c>
      <c r="E394" s="14">
        <v>150.27151778349091</v>
      </c>
      <c r="F394" s="14">
        <v>154.17574162854328</v>
      </c>
      <c r="G394" s="14">
        <v>159.20777236167774</v>
      </c>
      <c r="H394" s="14">
        <v>165.24970926281526</v>
      </c>
      <c r="I394" s="14">
        <v>164.0767020986726</v>
      </c>
      <c r="J394" s="14">
        <v>168.60622976276809</v>
      </c>
      <c r="K394" s="14">
        <v>168.35382822122565</v>
      </c>
      <c r="L394" s="14">
        <v>167.63962385922156</v>
      </c>
      <c r="M394" s="14">
        <v>165.86981305009994</v>
      </c>
      <c r="N394" s="14">
        <v>160.74338174041347</v>
      </c>
      <c r="O394" s="14">
        <v>157.73636337504493</v>
      </c>
      <c r="P394" s="14">
        <v>155.65935068968781</v>
      </c>
      <c r="Q394" s="14">
        <v>152.50143140269134</v>
      </c>
      <c r="R394" s="15">
        <v>148.91790951632646</v>
      </c>
      <c r="S394" s="14">
        <v>148.34160599655209</v>
      </c>
      <c r="T394" s="14">
        <v>147.1809989081431</v>
      </c>
      <c r="U394" s="14">
        <v>147.53430106593629</v>
      </c>
      <c r="V394" s="14">
        <v>150.27151778349091</v>
      </c>
      <c r="W394" s="14">
        <v>154.17574162854328</v>
      </c>
      <c r="X394" s="14">
        <v>159.20777236167774</v>
      </c>
      <c r="Y394" s="14">
        <v>165.24970926281526</v>
      </c>
      <c r="Z394" s="14">
        <v>164.0767020986726</v>
      </c>
      <c r="AA394" s="14">
        <v>168.60622976276809</v>
      </c>
      <c r="AB394" s="14">
        <v>168.35382822122565</v>
      </c>
      <c r="AC394" s="14">
        <v>167.63962385922156</v>
      </c>
      <c r="AD394" s="14">
        <v>165.86981305009994</v>
      </c>
      <c r="AE394" s="14">
        <v>160.74338174041347</v>
      </c>
      <c r="AF394" s="14">
        <v>157.73636337504493</v>
      </c>
      <c r="AG394" s="14">
        <v>155.65935068968781</v>
      </c>
      <c r="AH394" s="14">
        <v>152.50143140269134</v>
      </c>
      <c r="AI394" s="15">
        <v>148.91790951632646</v>
      </c>
      <c r="AJ394" s="14">
        <v>146.54429501947334</v>
      </c>
      <c r="AK394" s="14">
        <v>149.9961161014746</v>
      </c>
      <c r="AL394" s="14">
        <v>147.53430106593629</v>
      </c>
      <c r="AM394" s="14">
        <v>150.27151778349091</v>
      </c>
      <c r="AN394" s="14">
        <v>154.17574162854328</v>
      </c>
      <c r="AO394" s="14">
        <v>159.20777236167774</v>
      </c>
      <c r="AP394" s="14">
        <v>165.24970926281526</v>
      </c>
      <c r="AQ394" s="14">
        <v>164.0767020986726</v>
      </c>
      <c r="AR394" s="14">
        <v>152.50143140269134</v>
      </c>
      <c r="AS394" s="14">
        <v>148.91790951632646</v>
      </c>
    </row>
    <row r="395" spans="1:45" x14ac:dyDescent="0.35">
      <c r="A395" s="16">
        <v>11783.129088000031</v>
      </c>
      <c r="B395" s="14">
        <v>149.99221607765577</v>
      </c>
      <c r="C395" s="14">
        <v>147.27189946331814</v>
      </c>
      <c r="D395" s="14">
        <v>147.62470161805814</v>
      </c>
      <c r="E395" s="14">
        <v>150.34621823972404</v>
      </c>
      <c r="F395" s="14">
        <v>154.22654193880621</v>
      </c>
      <c r="G395" s="14">
        <v>159.22767248321782</v>
      </c>
      <c r="H395" s="14">
        <v>165.23140915104733</v>
      </c>
      <c r="I395" s="14">
        <v>164.06660203698624</v>
      </c>
      <c r="J395" s="14">
        <v>168.56342950136545</v>
      </c>
      <c r="K395" s="14">
        <v>168.32022801601229</v>
      </c>
      <c r="L395" s="14">
        <v>167.61322369798273</v>
      </c>
      <c r="M395" s="14">
        <v>165.85731297375565</v>
      </c>
      <c r="N395" s="14">
        <v>160.73888171293015</v>
      </c>
      <c r="O395" s="14">
        <v>157.7331633555012</v>
      </c>
      <c r="P395" s="14">
        <v>155.65445065976058</v>
      </c>
      <c r="Q395" s="14">
        <v>152.50213140696644</v>
      </c>
      <c r="R395" s="15">
        <v>148.92210954197856</v>
      </c>
      <c r="S395" s="14">
        <v>148.43690657860051</v>
      </c>
      <c r="T395" s="14">
        <v>147.27189946331814</v>
      </c>
      <c r="U395" s="14">
        <v>147.62470161805814</v>
      </c>
      <c r="V395" s="14">
        <v>150.34621823972404</v>
      </c>
      <c r="W395" s="14">
        <v>154.22654193880621</v>
      </c>
      <c r="X395" s="14">
        <v>159.22767248321782</v>
      </c>
      <c r="Y395" s="14">
        <v>165.23140915104733</v>
      </c>
      <c r="Z395" s="14">
        <v>164.06660203698624</v>
      </c>
      <c r="AA395" s="14">
        <v>168.56342950136545</v>
      </c>
      <c r="AB395" s="14">
        <v>168.32022801601229</v>
      </c>
      <c r="AC395" s="14">
        <v>167.61322369798273</v>
      </c>
      <c r="AD395" s="14">
        <v>165.85731297375565</v>
      </c>
      <c r="AE395" s="14">
        <v>160.73888171293015</v>
      </c>
      <c r="AF395" s="14">
        <v>157.7331633555012</v>
      </c>
      <c r="AG395" s="14">
        <v>155.65445065976058</v>
      </c>
      <c r="AH395" s="14">
        <v>152.50213140696644</v>
      </c>
      <c r="AI395" s="15">
        <v>148.92210954197856</v>
      </c>
      <c r="AJ395" s="14">
        <v>146.6387955966353</v>
      </c>
      <c r="AK395" s="14">
        <v>150.09431670123547</v>
      </c>
      <c r="AL395" s="14">
        <v>147.62470161805814</v>
      </c>
      <c r="AM395" s="14">
        <v>150.34621823972404</v>
      </c>
      <c r="AN395" s="14">
        <v>154.22654193880621</v>
      </c>
      <c r="AO395" s="14">
        <v>159.22767248321782</v>
      </c>
      <c r="AP395" s="14">
        <v>165.23140915104733</v>
      </c>
      <c r="AQ395" s="14">
        <v>164.06660203698624</v>
      </c>
      <c r="AR395" s="14">
        <v>152.50213140696644</v>
      </c>
      <c r="AS395" s="14">
        <v>148.92210954197856</v>
      </c>
    </row>
    <row r="396" spans="1:45" x14ac:dyDescent="0.35">
      <c r="A396" s="16">
        <v>11821.229088000031</v>
      </c>
      <c r="B396" s="14">
        <v>150.04711641295944</v>
      </c>
      <c r="C396" s="14">
        <v>147.31939975342604</v>
      </c>
      <c r="D396" s="14">
        <v>147.67190190633346</v>
      </c>
      <c r="E396" s="14">
        <v>150.37751843089012</v>
      </c>
      <c r="F396" s="14">
        <v>154.233941984002</v>
      </c>
      <c r="G396" s="14">
        <v>159.2041723396901</v>
      </c>
      <c r="H396" s="14">
        <v>165.16970877421161</v>
      </c>
      <c r="I396" s="14">
        <v>164.013501712676</v>
      </c>
      <c r="J396" s="14">
        <v>168.4772289748957</v>
      </c>
      <c r="K396" s="14">
        <v>168.24312754512115</v>
      </c>
      <c r="L396" s="14">
        <v>167.54352327228742</v>
      </c>
      <c r="M396" s="14">
        <v>165.80221263722999</v>
      </c>
      <c r="N396" s="14">
        <v>160.69238142892925</v>
      </c>
      <c r="O396" s="14">
        <v>157.68796307944064</v>
      </c>
      <c r="P396" s="14">
        <v>155.6077503745384</v>
      </c>
      <c r="Q396" s="14">
        <v>152.46113115655729</v>
      </c>
      <c r="R396" s="15">
        <v>148.88500931538891</v>
      </c>
      <c r="S396" s="14">
        <v>148.49020690413269</v>
      </c>
      <c r="T396" s="14">
        <v>147.31939975342604</v>
      </c>
      <c r="U396" s="14">
        <v>147.67190190633346</v>
      </c>
      <c r="V396" s="14">
        <v>150.37751843089012</v>
      </c>
      <c r="W396" s="14">
        <v>154.233941984002</v>
      </c>
      <c r="X396" s="14">
        <v>159.2041723396901</v>
      </c>
      <c r="Y396" s="14">
        <v>165.16970877421161</v>
      </c>
      <c r="Z396" s="14">
        <v>164.013501712676</v>
      </c>
      <c r="AA396" s="14">
        <v>168.4772289748957</v>
      </c>
      <c r="AB396" s="14">
        <v>168.24312754512115</v>
      </c>
      <c r="AC396" s="14">
        <v>167.54352327228742</v>
      </c>
      <c r="AD396" s="14">
        <v>165.80221263722999</v>
      </c>
      <c r="AE396" s="14">
        <v>160.69238142892925</v>
      </c>
      <c r="AF396" s="14">
        <v>157.68796307944064</v>
      </c>
      <c r="AG396" s="14">
        <v>155.6077503745384</v>
      </c>
      <c r="AH396" s="14">
        <v>152.46113115655729</v>
      </c>
      <c r="AI396" s="15">
        <v>148.88500931538891</v>
      </c>
      <c r="AJ396" s="14">
        <v>146.69159591911364</v>
      </c>
      <c r="AK396" s="14">
        <v>150.14921703653917</v>
      </c>
      <c r="AL396" s="14">
        <v>147.67190190633346</v>
      </c>
      <c r="AM396" s="14">
        <v>150.37751843089012</v>
      </c>
      <c r="AN396" s="14">
        <v>154.233941984002</v>
      </c>
      <c r="AO396" s="14">
        <v>159.2041723396901</v>
      </c>
      <c r="AP396" s="14">
        <v>165.16970877421161</v>
      </c>
      <c r="AQ396" s="14">
        <v>164.013501712676</v>
      </c>
      <c r="AR396" s="14">
        <v>152.46113115655729</v>
      </c>
      <c r="AS396" s="14">
        <v>148.88500931538891</v>
      </c>
    </row>
    <row r="397" spans="1:45" x14ac:dyDescent="0.35">
      <c r="A397" s="16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5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5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</row>
    <row r="398" spans="1:45" x14ac:dyDescent="0.35">
      <c r="A398" s="16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5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5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</row>
    <row r="399" spans="1:45" x14ac:dyDescent="0.35">
      <c r="A399" s="16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5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5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</row>
    <row r="400" spans="1:45" x14ac:dyDescent="0.35">
      <c r="A400" s="16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5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5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</row>
    <row r="401" spans="1:45" x14ac:dyDescent="0.35">
      <c r="A401" s="16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5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5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</row>
    <row r="402" spans="1:45" x14ac:dyDescent="0.35">
      <c r="A402" s="16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5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5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</row>
    <row r="403" spans="1:45" x14ac:dyDescent="0.35">
      <c r="A403" s="16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5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5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</row>
    <row r="404" spans="1:45" x14ac:dyDescent="0.35">
      <c r="A404" s="16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5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5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</row>
    <row r="405" spans="1:45" x14ac:dyDescent="0.35">
      <c r="A405" s="16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5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5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</row>
    <row r="406" spans="1:45" x14ac:dyDescent="0.35">
      <c r="A406" s="16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5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5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</row>
    <row r="407" spans="1:45" x14ac:dyDescent="0.35">
      <c r="A407" s="16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5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5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</row>
    <row r="408" spans="1:45" x14ac:dyDescent="0.35">
      <c r="A408" s="16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5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5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</row>
    <row r="409" spans="1:45" x14ac:dyDescent="0.35">
      <c r="A409" s="16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5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5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</row>
    <row r="410" spans="1:45" x14ac:dyDescent="0.35">
      <c r="A410" s="16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5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5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</row>
    <row r="411" spans="1:45" x14ac:dyDescent="0.35">
      <c r="A411" s="16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5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5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</row>
    <row r="412" spans="1:45" x14ac:dyDescent="0.35">
      <c r="A412" s="16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5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5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</row>
    <row r="413" spans="1:45" x14ac:dyDescent="0.35">
      <c r="A413" s="16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5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5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</row>
    <row r="414" spans="1:45" x14ac:dyDescent="0.35">
      <c r="A414" s="16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5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5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</row>
    <row r="415" spans="1:45" x14ac:dyDescent="0.35">
      <c r="A415" s="16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5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5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</row>
    <row r="416" spans="1:45" x14ac:dyDescent="0.35">
      <c r="A416" s="16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5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5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</row>
    <row r="417" spans="1:45" x14ac:dyDescent="0.35">
      <c r="A417" s="16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5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5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</row>
    <row r="418" spans="1:45" x14ac:dyDescent="0.35">
      <c r="A418" s="16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5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5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</row>
    <row r="419" spans="1:45" x14ac:dyDescent="0.35">
      <c r="A419" s="16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5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5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</row>
    <row r="420" spans="1:45" x14ac:dyDescent="0.35">
      <c r="A420" s="16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5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5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</row>
    <row r="421" spans="1:45" x14ac:dyDescent="0.35">
      <c r="A421" s="16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5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5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</row>
    <row r="422" spans="1:45" x14ac:dyDescent="0.35">
      <c r="A422" s="16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5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5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</row>
    <row r="423" spans="1:45" x14ac:dyDescent="0.35">
      <c r="A423" s="16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5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5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</row>
    <row r="424" spans="1:45" x14ac:dyDescent="0.35">
      <c r="A424" s="16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5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5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</row>
    <row r="425" spans="1:45" x14ac:dyDescent="0.35">
      <c r="A425" s="16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5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5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</row>
    <row r="426" spans="1:45" x14ac:dyDescent="0.35">
      <c r="A426" s="16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5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5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</row>
    <row r="427" spans="1:45" x14ac:dyDescent="0.35">
      <c r="A427" s="16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5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5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</row>
    <row r="428" spans="1:45" x14ac:dyDescent="0.35">
      <c r="A428" s="16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5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5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</row>
    <row r="429" spans="1:45" x14ac:dyDescent="0.35">
      <c r="A429" s="16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5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5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</row>
    <row r="430" spans="1:45" x14ac:dyDescent="0.35">
      <c r="A430" s="16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5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5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</row>
    <row r="431" spans="1:45" x14ac:dyDescent="0.35">
      <c r="A431" s="16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5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5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</row>
    <row r="432" spans="1:45" x14ac:dyDescent="0.35">
      <c r="A432" s="16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5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5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</row>
    <row r="433" spans="1:45" x14ac:dyDescent="0.35">
      <c r="A433" s="16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5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5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</row>
    <row r="434" spans="1:45" x14ac:dyDescent="0.35">
      <c r="A434" s="16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5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5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</row>
    <row r="435" spans="1:45" x14ac:dyDescent="0.35">
      <c r="A435" s="16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5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5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</row>
    <row r="436" spans="1:45" x14ac:dyDescent="0.35">
      <c r="A436" s="16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5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5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</row>
    <row r="437" spans="1:45" x14ac:dyDescent="0.35">
      <c r="A437" s="16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5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5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</row>
    <row r="438" spans="1:45" x14ac:dyDescent="0.35">
      <c r="A438" s="16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5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5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</row>
    <row r="439" spans="1:45" x14ac:dyDescent="0.35">
      <c r="A439" s="16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5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5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</row>
    <row r="440" spans="1:45" x14ac:dyDescent="0.35">
      <c r="A440" s="16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5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5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</row>
    <row r="441" spans="1:45" x14ac:dyDescent="0.35">
      <c r="A441" s="16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5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5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</row>
    <row r="442" spans="1:45" x14ac:dyDescent="0.35">
      <c r="A442" s="16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5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5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</row>
    <row r="443" spans="1:45" x14ac:dyDescent="0.35">
      <c r="A443" s="16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5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5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</row>
    <row r="444" spans="1:45" x14ac:dyDescent="0.35">
      <c r="A444" s="16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5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5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</row>
    <row r="445" spans="1:45" x14ac:dyDescent="0.35">
      <c r="A445" s="16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5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5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</row>
    <row r="446" spans="1:45" x14ac:dyDescent="0.35">
      <c r="A446" s="16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5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5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</row>
    <row r="447" spans="1:45" x14ac:dyDescent="0.35">
      <c r="A447" s="16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5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5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</row>
    <row r="448" spans="1:45" x14ac:dyDescent="0.35">
      <c r="A448" s="16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5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5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</row>
    <row r="449" spans="1:45" x14ac:dyDescent="0.35">
      <c r="A449" s="16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5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5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</row>
    <row r="450" spans="1:45" x14ac:dyDescent="0.35">
      <c r="A450" s="16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5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5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</row>
    <row r="451" spans="1:45" x14ac:dyDescent="0.35">
      <c r="A451" s="16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5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5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</row>
    <row r="452" spans="1:45" x14ac:dyDescent="0.35">
      <c r="A452" s="16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5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5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</row>
    <row r="453" spans="1:45" x14ac:dyDescent="0.35">
      <c r="A453" s="16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5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5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</row>
    <row r="454" spans="1:45" x14ac:dyDescent="0.35">
      <c r="A454" s="16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5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5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</row>
    <row r="455" spans="1:45" x14ac:dyDescent="0.35">
      <c r="A455" s="16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5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5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</row>
    <row r="456" spans="1:45" x14ac:dyDescent="0.35">
      <c r="A456" s="16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5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5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</row>
    <row r="457" spans="1:45" x14ac:dyDescent="0.35">
      <c r="A457" s="16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5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5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</row>
    <row r="458" spans="1:45" x14ac:dyDescent="0.35">
      <c r="A458" s="16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5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5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</row>
    <row r="459" spans="1:45" x14ac:dyDescent="0.35">
      <c r="A459" s="16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5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5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</row>
    <row r="460" spans="1:45" x14ac:dyDescent="0.35">
      <c r="A460" s="16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5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5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</row>
    <row r="461" spans="1:45" x14ac:dyDescent="0.35">
      <c r="A461" s="16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5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5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</row>
    <row r="462" spans="1:45" x14ac:dyDescent="0.35">
      <c r="A462" s="16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5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5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</row>
    <row r="463" spans="1:45" x14ac:dyDescent="0.35">
      <c r="A463" s="16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5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5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</row>
    <row r="464" spans="1:45" x14ac:dyDescent="0.35">
      <c r="A464" s="16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5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5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</row>
    <row r="465" spans="1:45" x14ac:dyDescent="0.35">
      <c r="A465" s="16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5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5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</row>
    <row r="466" spans="1:45" x14ac:dyDescent="0.35">
      <c r="A466" s="16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5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5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</row>
    <row r="467" spans="1:45" x14ac:dyDescent="0.35">
      <c r="A467" s="16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5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5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</row>
    <row r="468" spans="1:45" x14ac:dyDescent="0.35">
      <c r="A468" s="16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5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5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</row>
    <row r="469" spans="1:45" x14ac:dyDescent="0.35">
      <c r="A469" s="16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5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5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</row>
    <row r="470" spans="1:45" x14ac:dyDescent="0.35">
      <c r="A470" s="16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5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5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</row>
    <row r="471" spans="1:45" x14ac:dyDescent="0.35">
      <c r="A471" s="16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5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5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</row>
    <row r="472" spans="1:45" x14ac:dyDescent="0.35">
      <c r="A472" s="16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5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5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</row>
    <row r="473" spans="1:45" x14ac:dyDescent="0.35">
      <c r="A473" s="16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5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5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</row>
    <row r="474" spans="1:45" x14ac:dyDescent="0.35">
      <c r="A474" s="16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5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5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</row>
    <row r="475" spans="1:45" x14ac:dyDescent="0.35">
      <c r="A475" s="16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5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5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</row>
    <row r="476" spans="1:45" x14ac:dyDescent="0.35">
      <c r="A476" s="16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5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5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</row>
    <row r="477" spans="1:45" x14ac:dyDescent="0.35">
      <c r="A477" s="16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5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5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</row>
    <row r="478" spans="1:45" x14ac:dyDescent="0.35">
      <c r="A478" s="16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5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5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</row>
    <row r="479" spans="1:45" x14ac:dyDescent="0.35">
      <c r="A479" s="16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5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5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</row>
    <row r="480" spans="1:45" x14ac:dyDescent="0.35">
      <c r="A480" s="16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5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5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</row>
    <row r="481" spans="1:45" x14ac:dyDescent="0.35">
      <c r="A481" s="16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5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5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</row>
    <row r="482" spans="1:45" x14ac:dyDescent="0.35">
      <c r="A482" s="16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5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5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</row>
    <row r="483" spans="1:45" x14ac:dyDescent="0.35">
      <c r="A483" s="16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5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5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</row>
    <row r="484" spans="1:45" x14ac:dyDescent="0.35">
      <c r="A484" s="16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5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5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</row>
    <row r="485" spans="1:45" x14ac:dyDescent="0.35">
      <c r="A485" s="16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5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5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</row>
    <row r="486" spans="1:45" x14ac:dyDescent="0.35">
      <c r="A486" s="16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5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5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</row>
    <row r="487" spans="1:45" x14ac:dyDescent="0.35">
      <c r="A487" s="16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5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5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</row>
    <row r="488" spans="1:45" x14ac:dyDescent="0.35">
      <c r="A488" s="16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5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5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</row>
    <row r="489" spans="1:45" x14ac:dyDescent="0.35">
      <c r="A489" s="16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5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5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</row>
    <row r="490" spans="1:45" x14ac:dyDescent="0.35">
      <c r="A490" s="16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5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5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</row>
    <row r="491" spans="1:45" x14ac:dyDescent="0.35">
      <c r="A491" s="16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5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5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</row>
    <row r="492" spans="1:45" x14ac:dyDescent="0.35">
      <c r="A492" s="16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5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5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</row>
    <row r="493" spans="1:45" x14ac:dyDescent="0.35">
      <c r="A493" s="16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5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5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</row>
    <row r="494" spans="1:45" x14ac:dyDescent="0.35">
      <c r="A494" s="16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5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5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</row>
    <row r="495" spans="1:45" x14ac:dyDescent="0.35">
      <c r="A495" s="16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5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5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</row>
    <row r="496" spans="1:45" x14ac:dyDescent="0.35">
      <c r="A496" s="16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5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5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</row>
    <row r="497" spans="1:45" x14ac:dyDescent="0.35">
      <c r="A497" s="16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5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5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</row>
    <row r="498" spans="1:45" x14ac:dyDescent="0.35">
      <c r="A498" s="16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5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5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</row>
    <row r="499" spans="1:45" x14ac:dyDescent="0.35">
      <c r="A499" s="16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5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5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</row>
    <row r="500" spans="1:45" x14ac:dyDescent="0.35">
      <c r="A500" s="16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5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5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</row>
    <row r="501" spans="1:45" x14ac:dyDescent="0.35">
      <c r="A501" s="16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5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5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</row>
    <row r="502" spans="1:45" x14ac:dyDescent="0.35">
      <c r="A502" s="16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5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5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</row>
    <row r="503" spans="1:45" x14ac:dyDescent="0.35">
      <c r="A503" s="16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5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5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</row>
    <row r="504" spans="1:45" x14ac:dyDescent="0.35">
      <c r="A504" s="16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5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5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</row>
    <row r="505" spans="1:45" x14ac:dyDescent="0.35">
      <c r="A505" s="16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5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5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</row>
    <row r="506" spans="1:45" x14ac:dyDescent="0.35">
      <c r="A506" s="16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5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5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</row>
    <row r="507" spans="1:45" x14ac:dyDescent="0.35">
      <c r="A507" s="16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5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5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</row>
    <row r="508" spans="1:45" x14ac:dyDescent="0.35">
      <c r="A508" s="16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5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5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</row>
    <row r="509" spans="1:45" x14ac:dyDescent="0.35">
      <c r="A509" s="16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5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5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</row>
    <row r="510" spans="1:45" x14ac:dyDescent="0.35">
      <c r="A510" s="16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5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5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</row>
    <row r="511" spans="1:45" x14ac:dyDescent="0.35">
      <c r="A511" s="16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5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5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</row>
    <row r="512" spans="1:45" x14ac:dyDescent="0.35">
      <c r="A512" s="16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5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5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</row>
    <row r="513" spans="1:45" x14ac:dyDescent="0.35">
      <c r="A513" s="16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5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5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</row>
    <row r="514" spans="1:45" x14ac:dyDescent="0.35">
      <c r="A514" s="16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5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5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</row>
    <row r="515" spans="1:45" x14ac:dyDescent="0.35">
      <c r="A515" s="16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5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5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</row>
    <row r="516" spans="1:45" x14ac:dyDescent="0.35">
      <c r="A516" s="16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5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5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</row>
    <row r="517" spans="1:45" x14ac:dyDescent="0.35">
      <c r="A517" s="16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5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5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</row>
    <row r="518" spans="1:45" x14ac:dyDescent="0.35">
      <c r="A518" s="16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5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5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</row>
    <row r="519" spans="1:45" x14ac:dyDescent="0.35">
      <c r="A519" s="16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5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5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</row>
    <row r="520" spans="1:45" x14ac:dyDescent="0.35">
      <c r="A520" s="16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5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5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</row>
    <row r="521" spans="1:45" x14ac:dyDescent="0.35">
      <c r="A521" s="16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5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5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</row>
    <row r="522" spans="1:45" x14ac:dyDescent="0.35">
      <c r="A522" s="16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5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5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</row>
    <row r="523" spans="1:45" x14ac:dyDescent="0.35">
      <c r="A523" s="16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5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5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</row>
    <row r="524" spans="1:45" x14ac:dyDescent="0.35">
      <c r="A524" s="16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5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5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</row>
    <row r="525" spans="1:45" x14ac:dyDescent="0.35">
      <c r="A525" s="16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5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5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</row>
    <row r="526" spans="1:45" x14ac:dyDescent="0.35">
      <c r="A526" s="16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5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5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</row>
    <row r="527" spans="1:45" x14ac:dyDescent="0.35">
      <c r="A527" s="16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5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5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</row>
    <row r="528" spans="1:45" x14ac:dyDescent="0.35">
      <c r="A528" s="16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5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5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</row>
    <row r="529" spans="1:45" x14ac:dyDescent="0.35">
      <c r="A529" s="16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5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5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</row>
    <row r="530" spans="1:45" x14ac:dyDescent="0.35">
      <c r="A530" s="16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5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5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</row>
    <row r="531" spans="1:45" x14ac:dyDescent="0.35">
      <c r="A531" s="16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5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5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</row>
    <row r="532" spans="1:45" x14ac:dyDescent="0.35">
      <c r="A532" s="16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5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5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</row>
    <row r="533" spans="1:45" x14ac:dyDescent="0.35">
      <c r="A533" s="16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5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5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</row>
    <row r="534" spans="1:45" x14ac:dyDescent="0.35">
      <c r="A534" s="16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5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5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</row>
    <row r="535" spans="1:45" x14ac:dyDescent="0.35">
      <c r="A535" s="16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5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5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</row>
    <row r="536" spans="1:45" x14ac:dyDescent="0.35">
      <c r="A536" s="16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5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5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</row>
    <row r="537" spans="1:45" x14ac:dyDescent="0.35">
      <c r="A537" s="16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5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5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</row>
    <row r="538" spans="1:45" x14ac:dyDescent="0.35">
      <c r="A538" s="16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5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5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</row>
    <row r="539" spans="1:45" x14ac:dyDescent="0.35">
      <c r="A539" s="16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5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5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</row>
    <row r="540" spans="1:45" x14ac:dyDescent="0.35">
      <c r="A540" s="16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5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5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</row>
    <row r="541" spans="1:45" x14ac:dyDescent="0.35">
      <c r="A541" s="16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5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5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</row>
    <row r="542" spans="1:45" x14ac:dyDescent="0.35">
      <c r="A542" s="16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5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5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</row>
    <row r="543" spans="1:45" x14ac:dyDescent="0.35">
      <c r="A543" s="16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5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5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</row>
    <row r="544" spans="1:45" x14ac:dyDescent="0.35">
      <c r="A544" s="16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5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5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</row>
    <row r="545" spans="1:45" x14ac:dyDescent="0.35">
      <c r="A545" s="16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5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5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</row>
    <row r="546" spans="1:45" x14ac:dyDescent="0.35">
      <c r="A546" s="16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5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5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</row>
    <row r="547" spans="1:45" x14ac:dyDescent="0.35">
      <c r="A547" s="16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5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5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</row>
    <row r="548" spans="1:45" x14ac:dyDescent="0.35">
      <c r="A548" s="16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5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5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</row>
    <row r="549" spans="1:45" x14ac:dyDescent="0.35">
      <c r="A549" s="16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5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5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</row>
    <row r="550" spans="1:45" x14ac:dyDescent="0.35">
      <c r="A550" s="16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5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5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</row>
    <row r="551" spans="1:45" x14ac:dyDescent="0.35">
      <c r="A551" s="16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5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5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</row>
    <row r="552" spans="1:45" x14ac:dyDescent="0.35">
      <c r="A552" s="16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5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5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</row>
    <row r="553" spans="1:45" x14ac:dyDescent="0.35">
      <c r="A553" s="16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5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5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</row>
    <row r="554" spans="1:45" x14ac:dyDescent="0.35">
      <c r="A554" s="16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5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5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</row>
    <row r="555" spans="1:45" x14ac:dyDescent="0.35">
      <c r="A555" s="16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5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5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</row>
    <row r="556" spans="1:45" x14ac:dyDescent="0.35">
      <c r="A556" s="16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5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5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</row>
    <row r="557" spans="1:45" x14ac:dyDescent="0.35">
      <c r="A557" s="16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5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5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</row>
    <row r="558" spans="1:45" x14ac:dyDescent="0.35">
      <c r="A558" s="16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5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5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</row>
    <row r="559" spans="1:45" x14ac:dyDescent="0.35">
      <c r="A559" s="16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5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5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</row>
    <row r="560" spans="1:45" x14ac:dyDescent="0.35">
      <c r="A560" s="16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5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5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</row>
    <row r="561" spans="1:45" x14ac:dyDescent="0.35">
      <c r="A561" s="16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5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5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</row>
    <row r="562" spans="1:45" x14ac:dyDescent="0.35">
      <c r="A562" s="16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5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5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</row>
    <row r="563" spans="1:45" x14ac:dyDescent="0.35">
      <c r="A563" s="16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5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5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</row>
    <row r="564" spans="1:45" x14ac:dyDescent="0.35">
      <c r="A564" s="16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5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5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</row>
    <row r="565" spans="1:45" x14ac:dyDescent="0.35">
      <c r="A565" s="16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5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5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</row>
    <row r="566" spans="1:45" x14ac:dyDescent="0.35">
      <c r="A566" s="16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5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5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</row>
    <row r="567" spans="1:45" x14ac:dyDescent="0.35">
      <c r="A567" s="16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5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5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</row>
    <row r="568" spans="1:45" x14ac:dyDescent="0.35">
      <c r="A568" s="16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5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5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</row>
    <row r="569" spans="1:45" x14ac:dyDescent="0.35">
      <c r="A569" s="16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5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5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</row>
  </sheetData>
  <mergeCells count="3">
    <mergeCell ref="B1:R1"/>
    <mergeCell ref="S1:AI1"/>
    <mergeCell ref="AJ1:A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1AA6-F626-4AB6-98BD-2FC2ED851EC1}">
  <dimension ref="A1:AS569"/>
  <sheetViews>
    <sheetView tabSelected="1" workbookViewId="0">
      <selection activeCell="A6" sqref="A6:AS396"/>
    </sheetView>
  </sheetViews>
  <sheetFormatPr defaultRowHeight="14.5" x14ac:dyDescent="0.35"/>
  <cols>
    <col min="1" max="18" width="14.26953125" style="13" customWidth="1"/>
  </cols>
  <sheetData>
    <row r="1" spans="1:45" x14ac:dyDescent="0.35">
      <c r="A1" s="13" t="s">
        <v>143</v>
      </c>
      <c r="B1" s="39" t="s">
        <v>125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1"/>
      <c r="S1" s="39" t="s">
        <v>148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41"/>
      <c r="AJ1" s="40" t="s">
        <v>149</v>
      </c>
      <c r="AK1" s="40"/>
      <c r="AL1" s="40"/>
      <c r="AM1" s="40"/>
      <c r="AN1" s="40"/>
      <c r="AO1" s="40"/>
      <c r="AP1" s="40"/>
      <c r="AQ1" s="40"/>
      <c r="AR1" s="40"/>
      <c r="AS1" s="40"/>
    </row>
    <row r="2" spans="1:45" x14ac:dyDescent="0.35">
      <c r="A2" s="13" t="s">
        <v>144</v>
      </c>
      <c r="B2" s="9" t="s">
        <v>126</v>
      </c>
      <c r="C2" s="9" t="s">
        <v>127</v>
      </c>
      <c r="D2" s="9" t="s">
        <v>128</v>
      </c>
      <c r="E2" s="9" t="s">
        <v>129</v>
      </c>
      <c r="F2" s="9" t="s">
        <v>130</v>
      </c>
      <c r="G2" s="9" t="s">
        <v>131</v>
      </c>
      <c r="H2" s="9" t="s">
        <v>132</v>
      </c>
      <c r="I2" s="9" t="s">
        <v>133</v>
      </c>
      <c r="J2" s="9" t="s">
        <v>134</v>
      </c>
      <c r="K2" s="9" t="s">
        <v>135</v>
      </c>
      <c r="L2" s="9" t="s">
        <v>136</v>
      </c>
      <c r="M2" s="9" t="s">
        <v>137</v>
      </c>
      <c r="N2" s="9" t="s">
        <v>138</v>
      </c>
      <c r="O2" s="9" t="s">
        <v>139</v>
      </c>
      <c r="P2" s="9" t="s">
        <v>140</v>
      </c>
      <c r="Q2" s="9" t="s">
        <v>141</v>
      </c>
      <c r="R2" s="10" t="s">
        <v>142</v>
      </c>
      <c r="S2" s="9" t="s">
        <v>126</v>
      </c>
      <c r="T2" s="9" t="s">
        <v>127</v>
      </c>
      <c r="U2" s="9" t="s">
        <v>128</v>
      </c>
      <c r="V2" s="9" t="s">
        <v>129</v>
      </c>
      <c r="W2" s="9" t="s">
        <v>130</v>
      </c>
      <c r="X2" s="9" t="s">
        <v>131</v>
      </c>
      <c r="Y2" s="9" t="s">
        <v>132</v>
      </c>
      <c r="Z2" s="9" t="s">
        <v>133</v>
      </c>
      <c r="AA2" s="9" t="s">
        <v>134</v>
      </c>
      <c r="AB2" s="9" t="s">
        <v>135</v>
      </c>
      <c r="AC2" s="9" t="s">
        <v>136</v>
      </c>
      <c r="AD2" s="9" t="s">
        <v>137</v>
      </c>
      <c r="AE2" s="9" t="s">
        <v>138</v>
      </c>
      <c r="AF2" s="9" t="s">
        <v>139</v>
      </c>
      <c r="AG2" s="9" t="s">
        <v>140</v>
      </c>
      <c r="AH2" s="9" t="s">
        <v>141</v>
      </c>
      <c r="AI2" s="10" t="s">
        <v>142</v>
      </c>
      <c r="AJ2" s="9" t="s">
        <v>126</v>
      </c>
      <c r="AK2" s="9" t="s">
        <v>150</v>
      </c>
      <c r="AL2" s="9" t="s">
        <v>128</v>
      </c>
      <c r="AM2" s="9" t="s">
        <v>129</v>
      </c>
      <c r="AN2" s="9" t="s">
        <v>130</v>
      </c>
      <c r="AO2" s="9" t="s">
        <v>131</v>
      </c>
      <c r="AP2" s="9" t="s">
        <v>132</v>
      </c>
      <c r="AQ2" s="9" t="s">
        <v>133</v>
      </c>
      <c r="AR2" s="9" t="s">
        <v>141</v>
      </c>
      <c r="AS2" s="9" t="s">
        <v>142</v>
      </c>
    </row>
    <row r="3" spans="1:45" x14ac:dyDescent="0.35">
      <c r="A3" s="13" t="s">
        <v>145</v>
      </c>
      <c r="B3" s="11">
        <v>5.8799999999999998E-2</v>
      </c>
      <c r="C3" s="11">
        <v>0.1176</v>
      </c>
      <c r="D3" s="11">
        <v>0.17649999999999999</v>
      </c>
      <c r="E3" s="11">
        <v>0.23530000000000001</v>
      </c>
      <c r="F3" s="11">
        <v>0.29409999999999997</v>
      </c>
      <c r="G3" s="11">
        <v>0.35289999999999999</v>
      </c>
      <c r="H3" s="11">
        <v>0.4118</v>
      </c>
      <c r="I3" s="11">
        <v>0.47060000000000002</v>
      </c>
      <c r="J3" s="11">
        <v>0.52939999999999998</v>
      </c>
      <c r="K3" s="11">
        <v>0.58819999999999995</v>
      </c>
      <c r="L3" s="11">
        <v>0.64710000000000001</v>
      </c>
      <c r="M3" s="11">
        <v>0.70589999999999997</v>
      </c>
      <c r="N3" s="11">
        <v>0.76470000000000005</v>
      </c>
      <c r="O3" s="11">
        <v>0.82350000000000001</v>
      </c>
      <c r="P3" s="11">
        <v>0.88239999999999996</v>
      </c>
      <c r="Q3" s="11">
        <v>0.94120000000000004</v>
      </c>
      <c r="R3" s="12">
        <v>1</v>
      </c>
      <c r="S3" s="11">
        <v>5.8799999999999998E-2</v>
      </c>
      <c r="T3" s="11">
        <v>0.1176</v>
      </c>
      <c r="U3" s="11">
        <v>0.17649999999999999</v>
      </c>
      <c r="V3" s="11">
        <v>0.23530000000000001</v>
      </c>
      <c r="W3" s="11">
        <v>0.29409999999999997</v>
      </c>
      <c r="X3" s="11">
        <v>0.35289999999999999</v>
      </c>
      <c r="Y3" s="11">
        <v>0.4118</v>
      </c>
      <c r="Z3" s="11">
        <v>0.47060000000000002</v>
      </c>
      <c r="AA3" s="11">
        <v>0.52939999999999998</v>
      </c>
      <c r="AB3" s="11">
        <v>0.58819999999999995</v>
      </c>
      <c r="AC3" s="11">
        <v>0.64710000000000001</v>
      </c>
      <c r="AD3" s="11">
        <v>0.70589999999999997</v>
      </c>
      <c r="AE3" s="11">
        <v>0.76470000000000005</v>
      </c>
      <c r="AF3" s="11">
        <v>0.82350000000000001</v>
      </c>
      <c r="AG3" s="11">
        <v>0.88239999999999996</v>
      </c>
      <c r="AH3" s="11">
        <v>0.94120000000000004</v>
      </c>
      <c r="AI3" s="12">
        <v>1</v>
      </c>
      <c r="AJ3" s="11">
        <v>0.1</v>
      </c>
      <c r="AK3" s="11">
        <v>0.2</v>
      </c>
      <c r="AL3" s="11">
        <v>0.3</v>
      </c>
      <c r="AM3" s="11">
        <v>0.4</v>
      </c>
      <c r="AN3" s="11">
        <v>0.5</v>
      </c>
      <c r="AO3" s="11">
        <v>0.6</v>
      </c>
      <c r="AP3" s="11">
        <v>0.7</v>
      </c>
      <c r="AQ3" s="11">
        <v>0.8</v>
      </c>
      <c r="AR3" s="11">
        <v>0.9</v>
      </c>
      <c r="AS3" s="11">
        <v>1</v>
      </c>
    </row>
    <row r="4" spans="1:45" s="18" customFormat="1" x14ac:dyDescent="0.35">
      <c r="A4" s="17" t="s">
        <v>52</v>
      </c>
      <c r="B4" s="17" t="s">
        <v>146</v>
      </c>
      <c r="C4" s="17" t="s">
        <v>146</v>
      </c>
      <c r="D4" s="17" t="s">
        <v>146</v>
      </c>
      <c r="E4" s="17" t="s">
        <v>146</v>
      </c>
      <c r="F4" s="17" t="s">
        <v>146</v>
      </c>
      <c r="G4" s="17" t="s">
        <v>146</v>
      </c>
      <c r="H4" s="17" t="s">
        <v>146</v>
      </c>
      <c r="I4" s="17" t="s">
        <v>146</v>
      </c>
      <c r="J4" s="17" t="s">
        <v>146</v>
      </c>
      <c r="K4" s="17" t="s">
        <v>146</v>
      </c>
      <c r="L4" s="17" t="s">
        <v>146</v>
      </c>
      <c r="M4" s="17" t="s">
        <v>146</v>
      </c>
      <c r="N4" s="17" t="s">
        <v>146</v>
      </c>
      <c r="O4" s="17" t="s">
        <v>146</v>
      </c>
      <c r="P4" s="17" t="s">
        <v>146</v>
      </c>
      <c r="Q4" s="17" t="s">
        <v>146</v>
      </c>
      <c r="R4" s="17" t="s">
        <v>146</v>
      </c>
      <c r="S4" s="17" t="s">
        <v>146</v>
      </c>
      <c r="T4" s="17" t="s">
        <v>146</v>
      </c>
      <c r="U4" s="17" t="s">
        <v>146</v>
      </c>
      <c r="V4" s="17" t="s">
        <v>146</v>
      </c>
      <c r="W4" s="17" t="s">
        <v>146</v>
      </c>
      <c r="X4" s="17" t="s">
        <v>146</v>
      </c>
      <c r="Y4" s="17" t="s">
        <v>146</v>
      </c>
      <c r="Z4" s="17" t="s">
        <v>146</v>
      </c>
      <c r="AA4" s="17" t="s">
        <v>146</v>
      </c>
      <c r="AB4" s="17" t="s">
        <v>146</v>
      </c>
      <c r="AC4" s="17" t="s">
        <v>146</v>
      </c>
      <c r="AD4" s="17" t="s">
        <v>146</v>
      </c>
      <c r="AE4" s="17" t="s">
        <v>146</v>
      </c>
      <c r="AF4" s="17" t="s">
        <v>146</v>
      </c>
      <c r="AG4" s="17" t="s">
        <v>146</v>
      </c>
      <c r="AH4" s="17" t="s">
        <v>146</v>
      </c>
      <c r="AI4" s="17" t="s">
        <v>146</v>
      </c>
      <c r="AJ4" s="17" t="s">
        <v>146</v>
      </c>
      <c r="AK4" s="17" t="s">
        <v>146</v>
      </c>
      <c r="AL4" s="17" t="s">
        <v>146</v>
      </c>
      <c r="AM4" s="17" t="s">
        <v>146</v>
      </c>
      <c r="AN4" s="17" t="s">
        <v>146</v>
      </c>
      <c r="AO4" s="17" t="s">
        <v>146</v>
      </c>
      <c r="AP4" s="17" t="s">
        <v>146</v>
      </c>
      <c r="AQ4" s="17" t="s">
        <v>146</v>
      </c>
      <c r="AR4" s="17" t="s">
        <v>146</v>
      </c>
      <c r="AS4" s="17" t="s">
        <v>146</v>
      </c>
    </row>
    <row r="5" spans="1:45" s="18" customFormat="1" x14ac:dyDescent="0.35">
      <c r="A5" s="17" t="s">
        <v>53</v>
      </c>
      <c r="B5" s="17" t="s">
        <v>147</v>
      </c>
      <c r="C5" s="17" t="s">
        <v>147</v>
      </c>
      <c r="D5" s="17" t="s">
        <v>147</v>
      </c>
      <c r="E5" s="17" t="s">
        <v>147</v>
      </c>
      <c r="F5" s="17" t="s">
        <v>147</v>
      </c>
      <c r="G5" s="17" t="s">
        <v>147</v>
      </c>
      <c r="H5" s="17" t="s">
        <v>147</v>
      </c>
      <c r="I5" s="17" t="s">
        <v>147</v>
      </c>
      <c r="J5" s="17" t="s">
        <v>147</v>
      </c>
      <c r="K5" s="17" t="s">
        <v>147</v>
      </c>
      <c r="L5" s="17" t="s">
        <v>147</v>
      </c>
      <c r="M5" s="17" t="s">
        <v>147</v>
      </c>
      <c r="N5" s="17" t="s">
        <v>147</v>
      </c>
      <c r="O5" s="17" t="s">
        <v>147</v>
      </c>
      <c r="P5" s="17" t="s">
        <v>147</v>
      </c>
      <c r="Q5" s="17" t="s">
        <v>147</v>
      </c>
      <c r="R5" s="17" t="s">
        <v>147</v>
      </c>
      <c r="S5" s="17" t="s">
        <v>147</v>
      </c>
      <c r="T5" s="17" t="s">
        <v>147</v>
      </c>
      <c r="U5" s="17" t="s">
        <v>147</v>
      </c>
      <c r="V5" s="17" t="s">
        <v>147</v>
      </c>
      <c r="W5" s="17" t="s">
        <v>147</v>
      </c>
      <c r="X5" s="17" t="s">
        <v>147</v>
      </c>
      <c r="Y5" s="17" t="s">
        <v>147</v>
      </c>
      <c r="Z5" s="17" t="s">
        <v>147</v>
      </c>
      <c r="AA5" s="17" t="s">
        <v>147</v>
      </c>
      <c r="AB5" s="17" t="s">
        <v>147</v>
      </c>
      <c r="AC5" s="17" t="s">
        <v>147</v>
      </c>
      <c r="AD5" s="17" t="s">
        <v>147</v>
      </c>
      <c r="AE5" s="17" t="s">
        <v>147</v>
      </c>
      <c r="AF5" s="17" t="s">
        <v>147</v>
      </c>
      <c r="AG5" s="17" t="s">
        <v>147</v>
      </c>
      <c r="AH5" s="17" t="s">
        <v>147</v>
      </c>
      <c r="AI5" s="17" t="s">
        <v>147</v>
      </c>
      <c r="AJ5" s="17" t="s">
        <v>147</v>
      </c>
      <c r="AK5" s="17" t="s">
        <v>147</v>
      </c>
      <c r="AL5" s="17" t="s">
        <v>147</v>
      </c>
      <c r="AM5" s="17" t="s">
        <v>147</v>
      </c>
      <c r="AN5" s="17" t="s">
        <v>147</v>
      </c>
      <c r="AO5" s="17" t="s">
        <v>147</v>
      </c>
      <c r="AP5" s="17" t="s">
        <v>147</v>
      </c>
      <c r="AQ5" s="17" t="s">
        <v>147</v>
      </c>
      <c r="AR5" s="17" t="s">
        <v>147</v>
      </c>
      <c r="AS5" s="17" t="s">
        <v>147</v>
      </c>
    </row>
    <row r="6" spans="1:45" x14ac:dyDescent="0.35">
      <c r="A6" s="19">
        <v>0</v>
      </c>
      <c r="B6" s="23">
        <f>B7</f>
        <v>4.1988038277777777</v>
      </c>
      <c r="C6" s="23">
        <f t="shared" ref="C6:AS6" si="0">C7</f>
        <v>75.975319277777785</v>
      </c>
      <c r="D6" s="23">
        <f t="shared" si="0"/>
        <v>99.297039055555558</v>
      </c>
      <c r="E6" s="23">
        <f t="shared" si="0"/>
        <v>95.542809111111126</v>
      </c>
      <c r="F6" s="23">
        <f t="shared" si="0"/>
        <v>88.501689166666665</v>
      </c>
      <c r="G6" s="23">
        <f t="shared" si="0"/>
        <v>81.120769222222236</v>
      </c>
      <c r="H6" s="23">
        <f t="shared" si="0"/>
        <v>73.735349277777786</v>
      </c>
      <c r="I6" s="23">
        <f t="shared" si="0"/>
        <v>73.989749277777776</v>
      </c>
      <c r="J6" s="23">
        <f t="shared" si="0"/>
        <v>70.342609277777782</v>
      </c>
      <c r="K6" s="23">
        <f t="shared" si="0"/>
        <v>70.717829277777781</v>
      </c>
      <c r="L6" s="23">
        <f t="shared" si="0"/>
        <v>71.266889277777778</v>
      </c>
      <c r="M6" s="23">
        <f t="shared" si="0"/>
        <v>71.897069277777774</v>
      </c>
      <c r="N6" s="23">
        <f t="shared" si="0"/>
        <v>72.894589277777769</v>
      </c>
      <c r="O6" s="23">
        <f t="shared" si="0"/>
        <v>73.426409277777779</v>
      </c>
      <c r="P6" s="23">
        <f t="shared" si="0"/>
        <v>74.094859277777786</v>
      </c>
      <c r="Q6" s="23">
        <f t="shared" si="0"/>
        <v>77.487139222222225</v>
      </c>
      <c r="R6" s="23">
        <f t="shared" si="0"/>
        <v>90.539189135686115</v>
      </c>
      <c r="S6" s="23">
        <f t="shared" si="0"/>
        <v>61.398879368808885</v>
      </c>
      <c r="T6" s="23">
        <f t="shared" si="0"/>
        <v>75.975319277777785</v>
      </c>
      <c r="U6" s="23">
        <f t="shared" si="0"/>
        <v>99.297039055555558</v>
      </c>
      <c r="V6" s="23">
        <f t="shared" si="0"/>
        <v>95.542809111111126</v>
      </c>
      <c r="W6" s="23">
        <f t="shared" si="0"/>
        <v>88.501689166666665</v>
      </c>
      <c r="X6" s="23">
        <f t="shared" si="0"/>
        <v>81.120769222222236</v>
      </c>
      <c r="Y6" s="23">
        <f t="shared" si="0"/>
        <v>73.735349277777786</v>
      </c>
      <c r="Z6" s="23">
        <f t="shared" si="0"/>
        <v>73.989749277777776</v>
      </c>
      <c r="AA6" s="23">
        <f t="shared" si="0"/>
        <v>70.342609277777782</v>
      </c>
      <c r="AB6" s="23">
        <f t="shared" si="0"/>
        <v>70.717829277777781</v>
      </c>
      <c r="AC6" s="23">
        <f t="shared" si="0"/>
        <v>71.266889277777778</v>
      </c>
      <c r="AD6" s="23">
        <f t="shared" si="0"/>
        <v>71.897069277777774</v>
      </c>
      <c r="AE6" s="23">
        <f t="shared" si="0"/>
        <v>72.894589277777769</v>
      </c>
      <c r="AF6" s="23">
        <f t="shared" si="0"/>
        <v>73.426409277777779</v>
      </c>
      <c r="AG6" s="23">
        <f t="shared" si="0"/>
        <v>74.094859277777786</v>
      </c>
      <c r="AH6" s="23">
        <f t="shared" si="0"/>
        <v>77.487139222222225</v>
      </c>
      <c r="AI6" s="23">
        <f t="shared" si="0"/>
        <v>90.539189135686115</v>
      </c>
      <c r="AJ6" s="23">
        <f t="shared" si="0"/>
        <v>75.793149253654448</v>
      </c>
      <c r="AK6" s="23">
        <f t="shared" si="0"/>
        <v>75.793149253654448</v>
      </c>
      <c r="AL6" s="23">
        <f t="shared" si="0"/>
        <v>99.297039055555558</v>
      </c>
      <c r="AM6" s="23">
        <f t="shared" si="0"/>
        <v>95.542809111111126</v>
      </c>
      <c r="AN6" s="23">
        <f t="shared" si="0"/>
        <v>88.501689166666665</v>
      </c>
      <c r="AO6" s="23">
        <f t="shared" si="0"/>
        <v>81.120769222222236</v>
      </c>
      <c r="AP6" s="23">
        <f t="shared" si="0"/>
        <v>75.793149253654448</v>
      </c>
      <c r="AQ6" s="23">
        <f t="shared" si="0"/>
        <v>75.793149253654448</v>
      </c>
      <c r="AR6" s="23">
        <f t="shared" si="0"/>
        <v>77.487139222222225</v>
      </c>
      <c r="AS6" s="23">
        <f t="shared" si="0"/>
        <v>90.539189135686115</v>
      </c>
    </row>
    <row r="7" spans="1:45" x14ac:dyDescent="0.35">
      <c r="A7" s="15">
        <v>14.795924163033481</v>
      </c>
      <c r="B7" s="14">
        <v>4.1988038277777777</v>
      </c>
      <c r="C7" s="14">
        <v>75.975319277777785</v>
      </c>
      <c r="D7" s="14">
        <v>99.297039055555558</v>
      </c>
      <c r="E7" s="14">
        <v>95.542809111111126</v>
      </c>
      <c r="F7" s="14">
        <v>88.501689166666665</v>
      </c>
      <c r="G7" s="14">
        <v>81.120769222222236</v>
      </c>
      <c r="H7" s="14">
        <v>73.735349277777786</v>
      </c>
      <c r="I7" s="14">
        <v>73.989749277777776</v>
      </c>
      <c r="J7" s="14">
        <v>70.342609277777782</v>
      </c>
      <c r="K7" s="14">
        <v>70.717829277777781</v>
      </c>
      <c r="L7" s="14">
        <v>71.266889277777778</v>
      </c>
      <c r="M7" s="14">
        <v>71.897069277777774</v>
      </c>
      <c r="N7" s="14">
        <v>72.894589277777769</v>
      </c>
      <c r="O7" s="14">
        <v>73.426409277777779</v>
      </c>
      <c r="P7" s="14">
        <v>74.094859277777786</v>
      </c>
      <c r="Q7" s="14">
        <v>77.487139222222225</v>
      </c>
      <c r="R7" s="15">
        <v>90.539189135686115</v>
      </c>
      <c r="S7" s="14">
        <v>61.398879368808885</v>
      </c>
      <c r="T7" s="14">
        <v>75.975319277777785</v>
      </c>
      <c r="U7" s="14">
        <v>99.297039055555558</v>
      </c>
      <c r="V7" s="14">
        <v>95.542809111111126</v>
      </c>
      <c r="W7" s="14">
        <v>88.501689166666665</v>
      </c>
      <c r="X7" s="14">
        <v>81.120769222222236</v>
      </c>
      <c r="Y7" s="14">
        <v>73.735349277777786</v>
      </c>
      <c r="Z7" s="14">
        <v>73.989749277777776</v>
      </c>
      <c r="AA7" s="14">
        <v>70.342609277777782</v>
      </c>
      <c r="AB7" s="14">
        <v>70.717829277777781</v>
      </c>
      <c r="AC7" s="14">
        <v>71.266889277777778</v>
      </c>
      <c r="AD7" s="14">
        <v>71.897069277777774</v>
      </c>
      <c r="AE7" s="14">
        <v>72.894589277777769</v>
      </c>
      <c r="AF7" s="14">
        <v>73.426409277777779</v>
      </c>
      <c r="AG7" s="14">
        <v>74.094859277777786</v>
      </c>
      <c r="AH7" s="14">
        <v>77.487139222222225</v>
      </c>
      <c r="AI7" s="15">
        <v>90.539189135686115</v>
      </c>
      <c r="AJ7" s="14">
        <v>75.793149253654448</v>
      </c>
      <c r="AK7" s="14">
        <v>75.793149253654448</v>
      </c>
      <c r="AL7" s="14">
        <v>99.297039055555558</v>
      </c>
      <c r="AM7" s="14">
        <v>95.542809111111126</v>
      </c>
      <c r="AN7" s="14">
        <v>88.501689166666665</v>
      </c>
      <c r="AO7" s="14">
        <v>81.120769222222236</v>
      </c>
      <c r="AP7" s="14">
        <v>75.793149253654448</v>
      </c>
      <c r="AQ7" s="14">
        <v>75.793149253654448</v>
      </c>
      <c r="AR7" s="14">
        <v>77.487139222222225</v>
      </c>
      <c r="AS7" s="14">
        <v>90.539189135686115</v>
      </c>
    </row>
    <row r="8" spans="1:45" x14ac:dyDescent="0.35">
      <c r="A8" s="15">
        <v>44.387772489100534</v>
      </c>
      <c r="B8" s="14">
        <v>4.1933488277777782</v>
      </c>
      <c r="C8" s="14">
        <v>64.130869333333351</v>
      </c>
      <c r="D8" s="14">
        <v>96.703209111111107</v>
      </c>
      <c r="E8" s="14">
        <v>95.227719111111114</v>
      </c>
      <c r="F8" s="14">
        <v>88.384479166666665</v>
      </c>
      <c r="G8" s="14">
        <v>81.080409222222215</v>
      </c>
      <c r="H8" s="14">
        <v>73.765849277777789</v>
      </c>
      <c r="I8" s="14">
        <v>73.910229277777773</v>
      </c>
      <c r="J8" s="14">
        <v>70.302179277777768</v>
      </c>
      <c r="K8" s="14">
        <v>70.654239277777776</v>
      </c>
      <c r="L8" s="14">
        <v>71.21634927777778</v>
      </c>
      <c r="M8" s="14">
        <v>71.847649277777776</v>
      </c>
      <c r="N8" s="14">
        <v>72.862539277777785</v>
      </c>
      <c r="O8" s="14">
        <v>73.377009277777773</v>
      </c>
      <c r="P8" s="14">
        <v>74.111759277777779</v>
      </c>
      <c r="Q8" s="14">
        <v>77.438509222222223</v>
      </c>
      <c r="R8" s="15">
        <v>90.487599136098879</v>
      </c>
      <c r="S8" s="14">
        <v>60.74914937400667</v>
      </c>
      <c r="T8" s="14">
        <v>64.130869333333351</v>
      </c>
      <c r="U8" s="14">
        <v>96.703209111111107</v>
      </c>
      <c r="V8" s="14">
        <v>95.227719111111114</v>
      </c>
      <c r="W8" s="14">
        <v>88.384479166666665</v>
      </c>
      <c r="X8" s="14">
        <v>81.080409222222215</v>
      </c>
      <c r="Y8" s="14">
        <v>73.765849277777789</v>
      </c>
      <c r="Z8" s="14">
        <v>73.910229277777773</v>
      </c>
      <c r="AA8" s="14">
        <v>70.302179277777768</v>
      </c>
      <c r="AB8" s="14">
        <v>70.654239277777776</v>
      </c>
      <c r="AC8" s="14">
        <v>71.21634927777778</v>
      </c>
      <c r="AD8" s="14">
        <v>71.847649277777776</v>
      </c>
      <c r="AE8" s="14">
        <v>72.862539277777785</v>
      </c>
      <c r="AF8" s="14">
        <v>73.377009277777773</v>
      </c>
      <c r="AG8" s="14">
        <v>74.111759277777779</v>
      </c>
      <c r="AH8" s="14">
        <v>77.438509222222223</v>
      </c>
      <c r="AI8" s="15">
        <v>90.487599136098879</v>
      </c>
      <c r="AJ8" s="14">
        <v>74.953299260373328</v>
      </c>
      <c r="AK8" s="14">
        <v>74.953299260373328</v>
      </c>
      <c r="AL8" s="14">
        <v>96.703209111111107</v>
      </c>
      <c r="AM8" s="14">
        <v>95.227719111111114</v>
      </c>
      <c r="AN8" s="14">
        <v>88.384479166666665</v>
      </c>
      <c r="AO8" s="14">
        <v>81.080409222222215</v>
      </c>
      <c r="AP8" s="14">
        <v>74.953299260373328</v>
      </c>
      <c r="AQ8" s="14">
        <v>74.953299260373328</v>
      </c>
      <c r="AR8" s="14">
        <v>77.438509222222223</v>
      </c>
      <c r="AS8" s="14">
        <v>90.487599136098879</v>
      </c>
    </row>
    <row r="9" spans="1:45" x14ac:dyDescent="0.35">
      <c r="A9" s="15">
        <v>67.691848326067031</v>
      </c>
      <c r="B9" s="14">
        <v>4.1896228277777761</v>
      </c>
      <c r="C9" s="14">
        <v>57.700849388888884</v>
      </c>
      <c r="D9" s="14">
        <v>95.016989111111101</v>
      </c>
      <c r="E9" s="14">
        <v>95.039399111111109</v>
      </c>
      <c r="F9" s="14">
        <v>88.318769166666655</v>
      </c>
      <c r="G9" s="14">
        <v>81.059719222222228</v>
      </c>
      <c r="H9" s="14">
        <v>73.788949277777775</v>
      </c>
      <c r="I9" s="14">
        <v>73.865709277777768</v>
      </c>
      <c r="J9" s="14">
        <v>70.280169277777787</v>
      </c>
      <c r="K9" s="14">
        <v>70.619049277777776</v>
      </c>
      <c r="L9" s="14">
        <v>71.188439277777775</v>
      </c>
      <c r="M9" s="14">
        <v>71.820389277777778</v>
      </c>
      <c r="N9" s="14">
        <v>72.845179277777788</v>
      </c>
      <c r="O9" s="14">
        <v>73.349629277777765</v>
      </c>
      <c r="P9" s="14">
        <v>74.121679277777787</v>
      </c>
      <c r="Q9" s="14">
        <v>77.411609222222225</v>
      </c>
      <c r="R9" s="15">
        <v>90.458949136327774</v>
      </c>
      <c r="S9" s="14">
        <v>60.409759376721659</v>
      </c>
      <c r="T9" s="14">
        <v>60.409759376721659</v>
      </c>
      <c r="U9" s="14">
        <v>95.016989111111101</v>
      </c>
      <c r="V9" s="14">
        <v>95.039399111111109</v>
      </c>
      <c r="W9" s="14">
        <v>88.318769166666655</v>
      </c>
      <c r="X9" s="14">
        <v>81.059719222222228</v>
      </c>
      <c r="Y9" s="14">
        <v>73.788949277777775</v>
      </c>
      <c r="Z9" s="14">
        <v>73.865709277777768</v>
      </c>
      <c r="AA9" s="14">
        <v>70.280169277777787</v>
      </c>
      <c r="AB9" s="14">
        <v>70.619049277777776</v>
      </c>
      <c r="AC9" s="14">
        <v>71.188439277777775</v>
      </c>
      <c r="AD9" s="14">
        <v>71.820389277777778</v>
      </c>
      <c r="AE9" s="14">
        <v>72.845179277777788</v>
      </c>
      <c r="AF9" s="14">
        <v>73.349629277777765</v>
      </c>
      <c r="AG9" s="14">
        <v>74.121679277777787</v>
      </c>
      <c r="AH9" s="14">
        <v>77.411609222222225</v>
      </c>
      <c r="AI9" s="15">
        <v>90.458949136327774</v>
      </c>
      <c r="AJ9" s="14">
        <v>74.520199263838322</v>
      </c>
      <c r="AK9" s="14">
        <v>74.520199263838322</v>
      </c>
      <c r="AL9" s="14">
        <v>95.016989111111101</v>
      </c>
      <c r="AM9" s="14">
        <v>95.039399111111109</v>
      </c>
      <c r="AN9" s="14">
        <v>88.318769166666655</v>
      </c>
      <c r="AO9" s="14">
        <v>81.059719222222228</v>
      </c>
      <c r="AP9" s="14">
        <v>74.520199263838322</v>
      </c>
      <c r="AQ9" s="14">
        <v>74.520199263838322</v>
      </c>
      <c r="AR9" s="14">
        <v>77.411609222222225</v>
      </c>
      <c r="AS9" s="14">
        <v>90.458949136327774</v>
      </c>
    </row>
    <row r="10" spans="1:45" x14ac:dyDescent="0.35">
      <c r="A10" s="15">
        <v>82.580988000000005</v>
      </c>
      <c r="B10" s="14">
        <v>4.1882768277777771</v>
      </c>
      <c r="C10" s="14">
        <v>53.170709444444441</v>
      </c>
      <c r="D10" s="14">
        <v>93.639249111111113</v>
      </c>
      <c r="E10" s="14">
        <v>94.892699111111114</v>
      </c>
      <c r="F10" s="14">
        <v>88.269149166666665</v>
      </c>
      <c r="G10" s="14">
        <v>81.044449222222227</v>
      </c>
      <c r="H10" s="14">
        <v>73.808099277777785</v>
      </c>
      <c r="I10" s="14">
        <v>73.831819277777782</v>
      </c>
      <c r="J10" s="14">
        <v>70.262889277777788</v>
      </c>
      <c r="K10" s="14">
        <v>70.591959277777775</v>
      </c>
      <c r="L10" s="14">
        <v>71.166649277777779</v>
      </c>
      <c r="M10" s="14">
        <v>71.799139277777769</v>
      </c>
      <c r="N10" s="14">
        <v>72.831189277777781</v>
      </c>
      <c r="O10" s="14">
        <v>73.32822927777778</v>
      </c>
      <c r="P10" s="14">
        <v>74.127659277777781</v>
      </c>
      <c r="Q10" s="14">
        <v>77.390579222222229</v>
      </c>
      <c r="R10" s="15">
        <v>90.436559136507228</v>
      </c>
      <c r="S10" s="14">
        <v>60.173959378607769</v>
      </c>
      <c r="T10" s="14">
        <v>60.173959378607769</v>
      </c>
      <c r="U10" s="14">
        <v>93.639249111111113</v>
      </c>
      <c r="V10" s="14">
        <v>94.892699111111114</v>
      </c>
      <c r="W10" s="14">
        <v>88.269149166666665</v>
      </c>
      <c r="X10" s="14">
        <v>81.044449222222227</v>
      </c>
      <c r="Y10" s="14">
        <v>73.808099277777785</v>
      </c>
      <c r="Z10" s="14">
        <v>73.831819277777782</v>
      </c>
      <c r="AA10" s="14">
        <v>70.262889277777788</v>
      </c>
      <c r="AB10" s="14">
        <v>70.591959277777775</v>
      </c>
      <c r="AC10" s="14">
        <v>71.166649277777779</v>
      </c>
      <c r="AD10" s="14">
        <v>71.799139277777769</v>
      </c>
      <c r="AE10" s="14">
        <v>72.831189277777781</v>
      </c>
      <c r="AF10" s="14">
        <v>73.32822927777778</v>
      </c>
      <c r="AG10" s="14">
        <v>74.127659277777781</v>
      </c>
      <c r="AH10" s="14">
        <v>77.390579222222229</v>
      </c>
      <c r="AI10" s="15">
        <v>90.436559136507228</v>
      </c>
      <c r="AJ10" s="14">
        <v>74.221399266228332</v>
      </c>
      <c r="AK10" s="14">
        <v>74.221399266228332</v>
      </c>
      <c r="AL10" s="14">
        <v>93.639249111111113</v>
      </c>
      <c r="AM10" s="14">
        <v>94.892699111111114</v>
      </c>
      <c r="AN10" s="14">
        <v>88.269149166666665</v>
      </c>
      <c r="AO10" s="14">
        <v>81.044449222222227</v>
      </c>
      <c r="AP10" s="14">
        <v>74.221399266228332</v>
      </c>
      <c r="AQ10" s="14">
        <v>74.221399266228332</v>
      </c>
      <c r="AR10" s="14">
        <v>77.390579222222229</v>
      </c>
      <c r="AS10" s="14">
        <v>90.436559136507228</v>
      </c>
    </row>
    <row r="11" spans="1:45" x14ac:dyDescent="0.35">
      <c r="A11" s="15">
        <v>95.342964000000009</v>
      </c>
      <c r="B11" s="14">
        <v>4.1875768277777761</v>
      </c>
      <c r="C11" s="14">
        <v>48.964079444444451</v>
      </c>
      <c r="D11" s="14">
        <v>92.148509111111096</v>
      </c>
      <c r="E11" s="14">
        <v>94.741179111111109</v>
      </c>
      <c r="F11" s="14">
        <v>88.21925916666666</v>
      </c>
      <c r="G11" s="14">
        <v>81.029549222222229</v>
      </c>
      <c r="H11" s="14">
        <v>73.82916927777778</v>
      </c>
      <c r="I11" s="14">
        <v>73.797659277777768</v>
      </c>
      <c r="J11" s="14">
        <v>70.244959277777781</v>
      </c>
      <c r="K11" s="14">
        <v>70.564259277777779</v>
      </c>
      <c r="L11" s="14">
        <v>71.14406927777776</v>
      </c>
      <c r="M11" s="14">
        <v>71.777169277777773</v>
      </c>
      <c r="N11" s="14">
        <v>72.81628927777777</v>
      </c>
      <c r="O11" s="14">
        <v>73.306039277777771</v>
      </c>
      <c r="P11" s="14">
        <v>74.132119277777775</v>
      </c>
      <c r="Q11" s="14">
        <v>77.368779222222216</v>
      </c>
      <c r="R11" s="15">
        <v>90.41335913669279</v>
      </c>
      <c r="S11" s="14">
        <v>60.000979379991676</v>
      </c>
      <c r="T11" s="14">
        <v>60.000979379991676</v>
      </c>
      <c r="U11" s="14">
        <v>92.148509111111096</v>
      </c>
      <c r="V11" s="14">
        <v>94.741179111111109</v>
      </c>
      <c r="W11" s="14">
        <v>88.21925916666666</v>
      </c>
      <c r="X11" s="14">
        <v>81.029549222222229</v>
      </c>
      <c r="Y11" s="14">
        <v>73.82916927777778</v>
      </c>
      <c r="Z11" s="14">
        <v>73.797659277777768</v>
      </c>
      <c r="AA11" s="14">
        <v>70.244959277777781</v>
      </c>
      <c r="AB11" s="14">
        <v>70.564259277777779</v>
      </c>
      <c r="AC11" s="14">
        <v>71.14406927777776</v>
      </c>
      <c r="AD11" s="14">
        <v>71.777169277777773</v>
      </c>
      <c r="AE11" s="14">
        <v>72.81628927777777</v>
      </c>
      <c r="AF11" s="14">
        <v>73.306039277777771</v>
      </c>
      <c r="AG11" s="14">
        <v>74.132119277777775</v>
      </c>
      <c r="AH11" s="14">
        <v>77.368779222222216</v>
      </c>
      <c r="AI11" s="15">
        <v>90.41335913669279</v>
      </c>
      <c r="AJ11" s="14">
        <v>73.984169268126095</v>
      </c>
      <c r="AK11" s="14">
        <v>73.984169268126095</v>
      </c>
      <c r="AL11" s="14">
        <v>92.148509111111096</v>
      </c>
      <c r="AM11" s="14">
        <v>94.741179111111109</v>
      </c>
      <c r="AN11" s="14">
        <v>88.21925916666666</v>
      </c>
      <c r="AO11" s="14">
        <v>81.029549222222229</v>
      </c>
      <c r="AP11" s="14">
        <v>73.984169268126095</v>
      </c>
      <c r="AQ11" s="14">
        <v>73.984169268126095</v>
      </c>
      <c r="AR11" s="14">
        <v>77.368779222222216</v>
      </c>
      <c r="AS11" s="14">
        <v>90.41335913669279</v>
      </c>
    </row>
    <row r="12" spans="1:45" x14ac:dyDescent="0.35">
      <c r="A12" s="15">
        <v>114.449352</v>
      </c>
      <c r="B12" s="14">
        <v>4.1860498277777776</v>
      </c>
      <c r="C12" s="14">
        <v>41.827829500000007</v>
      </c>
      <c r="D12" s="14">
        <v>88.732429166666662</v>
      </c>
      <c r="E12" s="14">
        <v>94.418929111111112</v>
      </c>
      <c r="F12" s="14">
        <v>88.121859166666667</v>
      </c>
      <c r="G12" s="14">
        <v>81.004579222222219</v>
      </c>
      <c r="H12" s="14">
        <v>73.881559277777768</v>
      </c>
      <c r="I12" s="14">
        <v>73.732009277777777</v>
      </c>
      <c r="J12" s="14">
        <v>70.209289277777771</v>
      </c>
      <c r="K12" s="14">
        <v>70.509369277777779</v>
      </c>
      <c r="L12" s="14">
        <v>71.098709277777772</v>
      </c>
      <c r="M12" s="14">
        <v>71.733229277777781</v>
      </c>
      <c r="N12" s="14">
        <v>72.785449277777786</v>
      </c>
      <c r="O12" s="14">
        <v>73.261509277777776</v>
      </c>
      <c r="P12" s="14">
        <v>74.136079277777782</v>
      </c>
      <c r="Q12" s="14">
        <v>77.325109222222238</v>
      </c>
      <c r="R12" s="15">
        <v>90.366849137065003</v>
      </c>
      <c r="S12" s="14">
        <v>59.674499382603891</v>
      </c>
      <c r="T12" s="14">
        <v>59.674499382603891</v>
      </c>
      <c r="U12" s="14">
        <v>88.732429166666662</v>
      </c>
      <c r="V12" s="14">
        <v>94.418929111111112</v>
      </c>
      <c r="W12" s="14">
        <v>88.121859166666667</v>
      </c>
      <c r="X12" s="14">
        <v>81.004579222222219</v>
      </c>
      <c r="Y12" s="14">
        <v>73.881559277777768</v>
      </c>
      <c r="Z12" s="14">
        <v>73.732009277777777</v>
      </c>
      <c r="AA12" s="14">
        <v>70.209289277777771</v>
      </c>
      <c r="AB12" s="14">
        <v>70.509369277777779</v>
      </c>
      <c r="AC12" s="14">
        <v>71.098709277777772</v>
      </c>
      <c r="AD12" s="14">
        <v>71.733229277777781</v>
      </c>
      <c r="AE12" s="14">
        <v>72.785449277777786</v>
      </c>
      <c r="AF12" s="14">
        <v>73.261509277777776</v>
      </c>
      <c r="AG12" s="14">
        <v>74.136079277777782</v>
      </c>
      <c r="AH12" s="14">
        <v>77.325109222222238</v>
      </c>
      <c r="AI12" s="15">
        <v>90.366849137065003</v>
      </c>
      <c r="AJ12" s="14">
        <v>73.582019271343327</v>
      </c>
      <c r="AK12" s="14">
        <v>73.582019271343327</v>
      </c>
      <c r="AL12" s="14">
        <v>88.732429166666662</v>
      </c>
      <c r="AM12" s="14">
        <v>94.418929111111112</v>
      </c>
      <c r="AN12" s="14">
        <v>88.121859166666667</v>
      </c>
      <c r="AO12" s="14">
        <v>81.004579222222219</v>
      </c>
      <c r="AP12" s="14">
        <v>73.881559277777768</v>
      </c>
      <c r="AQ12" s="14">
        <v>73.732009277777777</v>
      </c>
      <c r="AR12" s="14">
        <v>77.325109222222238</v>
      </c>
      <c r="AS12" s="14">
        <v>90.366849137065003</v>
      </c>
    </row>
    <row r="13" spans="1:45" x14ac:dyDescent="0.35">
      <c r="A13" s="15">
        <v>152.549352</v>
      </c>
      <c r="B13" s="14">
        <v>4.1834028277777771</v>
      </c>
      <c r="C13" s="14">
        <v>31.425479611111111</v>
      </c>
      <c r="D13" s="14">
        <v>80.519149222222211</v>
      </c>
      <c r="E13" s="14">
        <v>93.663709111111118</v>
      </c>
      <c r="F13" s="14">
        <v>87.937879166666661</v>
      </c>
      <c r="G13" s="14">
        <v>80.977389222222214</v>
      </c>
      <c r="H13" s="14">
        <v>74.02660927777778</v>
      </c>
      <c r="I13" s="14">
        <v>73.614899277777766</v>
      </c>
      <c r="J13" s="14">
        <v>70.140509277777767</v>
      </c>
      <c r="K13" s="14">
        <v>70.404439277777769</v>
      </c>
      <c r="L13" s="14">
        <v>71.009219277777774</v>
      </c>
      <c r="M13" s="14">
        <v>71.646739277777769</v>
      </c>
      <c r="N13" s="14">
        <v>72.720189277777777</v>
      </c>
      <c r="O13" s="14">
        <v>73.173179277777777</v>
      </c>
      <c r="P13" s="14">
        <v>74.11659927777778</v>
      </c>
      <c r="Q13" s="14">
        <v>77.23859922222222</v>
      </c>
      <c r="R13" s="15">
        <v>90.274319137804994</v>
      </c>
      <c r="S13" s="14">
        <v>59.27104938583112</v>
      </c>
      <c r="T13" s="14">
        <v>59.27104938583112</v>
      </c>
      <c r="U13" s="14">
        <v>80.519149222222211</v>
      </c>
      <c r="V13" s="14">
        <v>93.663709111111118</v>
      </c>
      <c r="W13" s="14">
        <v>87.937879166666661</v>
      </c>
      <c r="X13" s="14">
        <v>80.977389222222214</v>
      </c>
      <c r="Y13" s="14">
        <v>74.02660927777778</v>
      </c>
      <c r="Z13" s="14">
        <v>73.614899277777766</v>
      </c>
      <c r="AA13" s="14">
        <v>70.140509277777767</v>
      </c>
      <c r="AB13" s="14">
        <v>70.404439277777769</v>
      </c>
      <c r="AC13" s="14">
        <v>71.009219277777774</v>
      </c>
      <c r="AD13" s="14">
        <v>71.646739277777769</v>
      </c>
      <c r="AE13" s="14">
        <v>72.720189277777777</v>
      </c>
      <c r="AF13" s="14">
        <v>73.173179277777777</v>
      </c>
      <c r="AG13" s="14">
        <v>74.11659927777778</v>
      </c>
      <c r="AH13" s="14">
        <v>77.23859922222222</v>
      </c>
      <c r="AI13" s="15">
        <v>90.274319137804994</v>
      </c>
      <c r="AJ13" s="14">
        <v>73.065089275478897</v>
      </c>
      <c r="AK13" s="14">
        <v>73.065089275478897</v>
      </c>
      <c r="AL13" s="14">
        <v>80.519149222222211</v>
      </c>
      <c r="AM13" s="14">
        <v>93.663709111111118</v>
      </c>
      <c r="AN13" s="14">
        <v>87.937879166666661</v>
      </c>
      <c r="AO13" s="14">
        <v>80.977389222222214</v>
      </c>
      <c r="AP13" s="14">
        <v>74.02660927777778</v>
      </c>
      <c r="AQ13" s="14">
        <v>73.614899277777766</v>
      </c>
      <c r="AR13" s="14">
        <v>77.23859922222222</v>
      </c>
      <c r="AS13" s="14">
        <v>90.274319137804994</v>
      </c>
    </row>
    <row r="14" spans="1:45" x14ac:dyDescent="0.35">
      <c r="A14" s="15">
        <v>196.97395200000003</v>
      </c>
      <c r="B14" s="14">
        <v>4.1813688277777787</v>
      </c>
      <c r="C14" s="14">
        <v>25.248429655555551</v>
      </c>
      <c r="D14" s="14">
        <v>73.779479277777781</v>
      </c>
      <c r="E14" s="14">
        <v>93.018229111111111</v>
      </c>
      <c r="F14" s="14">
        <v>87.806009166666669</v>
      </c>
      <c r="G14" s="14">
        <v>80.971849222222232</v>
      </c>
      <c r="H14" s="14">
        <v>74.15842927777777</v>
      </c>
      <c r="I14" s="14">
        <v>73.535749277777768</v>
      </c>
      <c r="J14" s="14">
        <v>70.091939277777769</v>
      </c>
      <c r="K14" s="14">
        <v>70.330579277777773</v>
      </c>
      <c r="L14" s="14">
        <v>70.944389277777773</v>
      </c>
      <c r="M14" s="14">
        <v>71.584129277777777</v>
      </c>
      <c r="N14" s="14">
        <v>72.670509277777768</v>
      </c>
      <c r="O14" s="14">
        <v>73.108819277777769</v>
      </c>
      <c r="P14" s="14">
        <v>74.087519277777773</v>
      </c>
      <c r="Q14" s="14">
        <v>77.175499222222214</v>
      </c>
      <c r="R14" s="15">
        <v>90.206399138348331</v>
      </c>
      <c r="S14" s="14">
        <v>59.028109387775004</v>
      </c>
      <c r="T14" s="14">
        <v>59.028109387775004</v>
      </c>
      <c r="U14" s="14">
        <v>73.779479277777781</v>
      </c>
      <c r="V14" s="14">
        <v>93.018229111111111</v>
      </c>
      <c r="W14" s="14">
        <v>87.806009166666669</v>
      </c>
      <c r="X14" s="14">
        <v>80.971849222222232</v>
      </c>
      <c r="Y14" s="14">
        <v>74.15842927777777</v>
      </c>
      <c r="Z14" s="14">
        <v>73.535749277777768</v>
      </c>
      <c r="AA14" s="14">
        <v>70.091939277777769</v>
      </c>
      <c r="AB14" s="14">
        <v>70.330579277777773</v>
      </c>
      <c r="AC14" s="14">
        <v>70.944389277777773</v>
      </c>
      <c r="AD14" s="14">
        <v>71.584129277777777</v>
      </c>
      <c r="AE14" s="14">
        <v>72.670509277777768</v>
      </c>
      <c r="AF14" s="14">
        <v>73.108819277777769</v>
      </c>
      <c r="AG14" s="14">
        <v>74.087519277777773</v>
      </c>
      <c r="AH14" s="14">
        <v>77.175499222222214</v>
      </c>
      <c r="AI14" s="15">
        <v>90.206399138348331</v>
      </c>
      <c r="AJ14" s="14">
        <v>72.756949277943875</v>
      </c>
      <c r="AK14" s="14">
        <v>72.756949277943875</v>
      </c>
      <c r="AL14" s="14">
        <v>73.779479277777781</v>
      </c>
      <c r="AM14" s="14">
        <v>93.018229111111111</v>
      </c>
      <c r="AN14" s="14">
        <v>87.806009166666669</v>
      </c>
      <c r="AO14" s="14">
        <v>80.971849222222232</v>
      </c>
      <c r="AP14" s="14">
        <v>74.15842927777777</v>
      </c>
      <c r="AQ14" s="14">
        <v>73.535749277777768</v>
      </c>
      <c r="AR14" s="14">
        <v>77.175499222222214</v>
      </c>
      <c r="AS14" s="14">
        <v>90.206399138348331</v>
      </c>
    </row>
    <row r="15" spans="1:45" x14ac:dyDescent="0.35">
      <c r="A15" s="15">
        <v>235.07395200000002</v>
      </c>
      <c r="B15" s="14">
        <v>4.1802678277777776</v>
      </c>
      <c r="C15" s="14">
        <v>20.323039699999999</v>
      </c>
      <c r="D15" s="14">
        <v>66.813979333333336</v>
      </c>
      <c r="E15" s="14">
        <v>92.274279111111113</v>
      </c>
      <c r="F15" s="14">
        <v>87.678039166666679</v>
      </c>
      <c r="G15" s="14">
        <v>80.979939222222214</v>
      </c>
      <c r="H15" s="14">
        <v>74.308369277777786</v>
      </c>
      <c r="I15" s="14">
        <v>73.461189277777777</v>
      </c>
      <c r="J15" s="14">
        <v>70.043169277777778</v>
      </c>
      <c r="K15" s="14">
        <v>70.258739277777778</v>
      </c>
      <c r="L15" s="14">
        <v>70.878389277777785</v>
      </c>
      <c r="M15" s="14">
        <v>71.520429277777765</v>
      </c>
      <c r="N15" s="14">
        <v>72.616509277777766</v>
      </c>
      <c r="O15" s="14">
        <v>73.043109277777774</v>
      </c>
      <c r="P15" s="14">
        <v>74.042759277777776</v>
      </c>
      <c r="Q15" s="14">
        <v>77.111089222222219</v>
      </c>
      <c r="R15" s="15">
        <v>90.136739138905554</v>
      </c>
      <c r="S15" s="14">
        <v>58.846279389229444</v>
      </c>
      <c r="T15" s="14">
        <v>58.846279389229444</v>
      </c>
      <c r="U15" s="14">
        <v>66.813979333333336</v>
      </c>
      <c r="V15" s="14">
        <v>92.274279111111113</v>
      </c>
      <c r="W15" s="14">
        <v>87.678039166666679</v>
      </c>
      <c r="X15" s="14">
        <v>80.979939222222214</v>
      </c>
      <c r="Y15" s="14">
        <v>74.308369277777786</v>
      </c>
      <c r="Z15" s="14">
        <v>73.461189277777777</v>
      </c>
      <c r="AA15" s="14">
        <v>70.043169277777778</v>
      </c>
      <c r="AB15" s="14">
        <v>70.258739277777778</v>
      </c>
      <c r="AC15" s="14">
        <v>70.878389277777785</v>
      </c>
      <c r="AD15" s="14">
        <v>71.520429277777765</v>
      </c>
      <c r="AE15" s="14">
        <v>72.616509277777766</v>
      </c>
      <c r="AF15" s="14">
        <v>73.043109277777774</v>
      </c>
      <c r="AG15" s="14">
        <v>74.042759277777776</v>
      </c>
      <c r="AH15" s="14">
        <v>77.111089222222219</v>
      </c>
      <c r="AI15" s="15">
        <v>90.136739138905554</v>
      </c>
      <c r="AJ15" s="14">
        <v>72.52282927981723</v>
      </c>
      <c r="AK15" s="14">
        <v>72.52282927981723</v>
      </c>
      <c r="AL15" s="14">
        <v>72.52282927981723</v>
      </c>
      <c r="AM15" s="14">
        <v>92.274279111111113</v>
      </c>
      <c r="AN15" s="14">
        <v>87.678039166666679</v>
      </c>
      <c r="AO15" s="14">
        <v>80.979939222222214</v>
      </c>
      <c r="AP15" s="14">
        <v>74.308369277777786</v>
      </c>
      <c r="AQ15" s="14">
        <v>73.461189277777777</v>
      </c>
      <c r="AR15" s="14">
        <v>77.111089222222219</v>
      </c>
      <c r="AS15" s="14">
        <v>90.136739138905554</v>
      </c>
    </row>
    <row r="16" spans="1:45" x14ac:dyDescent="0.35">
      <c r="A16" s="15">
        <v>273.17395200000004</v>
      </c>
      <c r="B16" s="14">
        <v>4.1785148277777786</v>
      </c>
      <c r="C16" s="14">
        <v>16.351279727777776</v>
      </c>
      <c r="D16" s="14">
        <v>59.975389388888892</v>
      </c>
      <c r="E16" s="14">
        <v>91.416499111111122</v>
      </c>
      <c r="F16" s="14">
        <v>87.554559166666678</v>
      </c>
      <c r="G16" s="14">
        <v>81.003989222222231</v>
      </c>
      <c r="H16" s="14">
        <v>74.47610927777778</v>
      </c>
      <c r="I16" s="14">
        <v>73.391619277777778</v>
      </c>
      <c r="J16" s="14">
        <v>69.996599277777776</v>
      </c>
      <c r="K16" s="14">
        <v>70.191049277777779</v>
      </c>
      <c r="L16" s="14">
        <v>70.813189277777781</v>
      </c>
      <c r="M16" s="14">
        <v>71.457649277777776</v>
      </c>
      <c r="N16" s="14">
        <v>72.560209277777787</v>
      </c>
      <c r="O16" s="14">
        <v>72.978169277777795</v>
      </c>
      <c r="P16" s="14">
        <v>73.98793927777777</v>
      </c>
      <c r="Q16" s="14">
        <v>77.04745922222223</v>
      </c>
      <c r="R16" s="15">
        <v>90.067459139459999</v>
      </c>
      <c r="S16" s="14">
        <v>58.699719390402215</v>
      </c>
      <c r="T16" s="14">
        <v>58.699719390402215</v>
      </c>
      <c r="U16" s="14">
        <v>59.975389388888892</v>
      </c>
      <c r="V16" s="14">
        <v>91.416499111111122</v>
      </c>
      <c r="W16" s="14">
        <v>87.554559166666678</v>
      </c>
      <c r="X16" s="14">
        <v>81.003989222222231</v>
      </c>
      <c r="Y16" s="14">
        <v>74.47610927777778</v>
      </c>
      <c r="Z16" s="14">
        <v>73.391619277777778</v>
      </c>
      <c r="AA16" s="14">
        <v>69.996599277777776</v>
      </c>
      <c r="AB16" s="14">
        <v>70.191049277777779</v>
      </c>
      <c r="AC16" s="14">
        <v>70.813189277777781</v>
      </c>
      <c r="AD16" s="14">
        <v>71.457649277777776</v>
      </c>
      <c r="AE16" s="14">
        <v>72.560209277777787</v>
      </c>
      <c r="AF16" s="14">
        <v>72.978169277777795</v>
      </c>
      <c r="AG16" s="14">
        <v>73.98793927777777</v>
      </c>
      <c r="AH16" s="14">
        <v>77.04745922222223</v>
      </c>
      <c r="AI16" s="15">
        <v>90.067459139459999</v>
      </c>
      <c r="AJ16" s="14">
        <v>72.337799281297222</v>
      </c>
      <c r="AK16" s="14">
        <v>72.337799281297222</v>
      </c>
      <c r="AL16" s="14">
        <v>72.337799281297222</v>
      </c>
      <c r="AM16" s="14">
        <v>91.416499111111122</v>
      </c>
      <c r="AN16" s="14">
        <v>87.554559166666678</v>
      </c>
      <c r="AO16" s="14">
        <v>81.003989222222231</v>
      </c>
      <c r="AP16" s="14">
        <v>74.47610927777778</v>
      </c>
      <c r="AQ16" s="14">
        <v>73.391619277777778</v>
      </c>
      <c r="AR16" s="14">
        <v>77.04745922222223</v>
      </c>
      <c r="AS16" s="14">
        <v>90.067459139459999</v>
      </c>
    </row>
    <row r="17" spans="1:45" x14ac:dyDescent="0.35">
      <c r="A17" s="15">
        <v>311.27395200000001</v>
      </c>
      <c r="B17" s="14">
        <v>4.1764598277777765</v>
      </c>
      <c r="C17" s="14">
        <v>13.130659755555554</v>
      </c>
      <c r="D17" s="14">
        <v>53.52520944444445</v>
      </c>
      <c r="E17" s="14">
        <v>90.425979111111118</v>
      </c>
      <c r="F17" s="14">
        <v>87.433649166666669</v>
      </c>
      <c r="G17" s="14">
        <v>81.043919222222215</v>
      </c>
      <c r="H17" s="14">
        <v>74.658789277777785</v>
      </c>
      <c r="I17" s="14">
        <v>73.325689277777784</v>
      </c>
      <c r="J17" s="14">
        <v>69.95234927777777</v>
      </c>
      <c r="K17" s="14">
        <v>70.127219277777769</v>
      </c>
      <c r="L17" s="14">
        <v>70.748709277777778</v>
      </c>
      <c r="M17" s="14">
        <v>71.395709277777783</v>
      </c>
      <c r="N17" s="14">
        <v>72.501649277777773</v>
      </c>
      <c r="O17" s="14">
        <v>72.913979277777784</v>
      </c>
      <c r="P17" s="14">
        <v>73.926559277777784</v>
      </c>
      <c r="Q17" s="14">
        <v>76.984609222222218</v>
      </c>
      <c r="R17" s="15">
        <v>89.998539140011118</v>
      </c>
      <c r="S17" s="14">
        <v>58.582999391335562</v>
      </c>
      <c r="T17" s="14">
        <v>58.582999391335562</v>
      </c>
      <c r="U17" s="14">
        <v>58.582999391335562</v>
      </c>
      <c r="V17" s="14">
        <v>90.425979111111118</v>
      </c>
      <c r="W17" s="14">
        <v>87.433649166666669</v>
      </c>
      <c r="X17" s="14">
        <v>81.043919222222215</v>
      </c>
      <c r="Y17" s="14">
        <v>74.658789277777785</v>
      </c>
      <c r="Z17" s="14">
        <v>73.325689277777784</v>
      </c>
      <c r="AA17" s="14">
        <v>69.95234927777777</v>
      </c>
      <c r="AB17" s="14">
        <v>70.127219277777769</v>
      </c>
      <c r="AC17" s="14">
        <v>70.748709277777778</v>
      </c>
      <c r="AD17" s="14">
        <v>71.395709277777783</v>
      </c>
      <c r="AE17" s="14">
        <v>72.501649277777773</v>
      </c>
      <c r="AF17" s="14">
        <v>72.913979277777784</v>
      </c>
      <c r="AG17" s="14">
        <v>73.926559277777784</v>
      </c>
      <c r="AH17" s="14">
        <v>76.984609222222218</v>
      </c>
      <c r="AI17" s="15">
        <v>89.998539140011118</v>
      </c>
      <c r="AJ17" s="14">
        <v>72.191089282471111</v>
      </c>
      <c r="AK17" s="14">
        <v>72.191089282471111</v>
      </c>
      <c r="AL17" s="14">
        <v>72.191089282471111</v>
      </c>
      <c r="AM17" s="14">
        <v>90.425979111111118</v>
      </c>
      <c r="AN17" s="14">
        <v>87.433649166666669</v>
      </c>
      <c r="AO17" s="14">
        <v>81.043919222222215</v>
      </c>
      <c r="AP17" s="14">
        <v>74.658789277777785</v>
      </c>
      <c r="AQ17" s="14">
        <v>73.325689277777784</v>
      </c>
      <c r="AR17" s="14">
        <v>76.984609222222218</v>
      </c>
      <c r="AS17" s="14">
        <v>89.998539140011118</v>
      </c>
    </row>
    <row r="18" spans="1:45" x14ac:dyDescent="0.35">
      <c r="A18" s="15">
        <v>349.37395200000003</v>
      </c>
      <c r="B18" s="14">
        <v>4.1734388277777787</v>
      </c>
      <c r="C18" s="14">
        <v>10.542289777777777</v>
      </c>
      <c r="D18" s="14">
        <v>47.589639500000004</v>
      </c>
      <c r="E18" s="14">
        <v>89.280309166666655</v>
      </c>
      <c r="F18" s="14">
        <v>87.312879166666661</v>
      </c>
      <c r="G18" s="14">
        <v>81.099359222222219</v>
      </c>
      <c r="H18" s="14">
        <v>74.85362927777777</v>
      </c>
      <c r="I18" s="14">
        <v>73.26272927777778</v>
      </c>
      <c r="J18" s="14">
        <v>69.91079927777777</v>
      </c>
      <c r="K18" s="14">
        <v>70.066849277777763</v>
      </c>
      <c r="L18" s="14">
        <v>70.68509927777778</v>
      </c>
      <c r="M18" s="14">
        <v>71.334729277777768</v>
      </c>
      <c r="N18" s="14">
        <v>72.441149277777768</v>
      </c>
      <c r="O18" s="14">
        <v>72.850779277777775</v>
      </c>
      <c r="P18" s="14">
        <v>73.861589277777782</v>
      </c>
      <c r="Q18" s="14">
        <v>76.922769222222215</v>
      </c>
      <c r="R18" s="15">
        <v>89.930279140557232</v>
      </c>
      <c r="S18" s="14">
        <v>58.488059392094996</v>
      </c>
      <c r="T18" s="14">
        <v>58.488059392094996</v>
      </c>
      <c r="U18" s="14">
        <v>58.488059392094996</v>
      </c>
      <c r="V18" s="14">
        <v>89.280309166666655</v>
      </c>
      <c r="W18" s="14">
        <v>87.312879166666661</v>
      </c>
      <c r="X18" s="14">
        <v>81.099359222222219</v>
      </c>
      <c r="Y18" s="14">
        <v>74.85362927777777</v>
      </c>
      <c r="Z18" s="14">
        <v>73.26272927777778</v>
      </c>
      <c r="AA18" s="14">
        <v>69.91079927777777</v>
      </c>
      <c r="AB18" s="14">
        <v>70.066849277777763</v>
      </c>
      <c r="AC18" s="14">
        <v>70.68509927777778</v>
      </c>
      <c r="AD18" s="14">
        <v>71.334729277777768</v>
      </c>
      <c r="AE18" s="14">
        <v>72.441149277777768</v>
      </c>
      <c r="AF18" s="14">
        <v>72.850779277777775</v>
      </c>
      <c r="AG18" s="14">
        <v>73.861589277777782</v>
      </c>
      <c r="AH18" s="14">
        <v>76.922769222222215</v>
      </c>
      <c r="AI18" s="15">
        <v>89.930279140557232</v>
      </c>
      <c r="AJ18" s="14">
        <v>72.071759283425564</v>
      </c>
      <c r="AK18" s="14">
        <v>72.071759283425564</v>
      </c>
      <c r="AL18" s="14">
        <v>72.071759283425564</v>
      </c>
      <c r="AM18" s="14">
        <v>89.280309166666655</v>
      </c>
      <c r="AN18" s="14">
        <v>87.312879166666661</v>
      </c>
      <c r="AO18" s="14">
        <v>81.099359222222219</v>
      </c>
      <c r="AP18" s="14">
        <v>74.85362927777777</v>
      </c>
      <c r="AQ18" s="14">
        <v>73.26272927777778</v>
      </c>
      <c r="AR18" s="14">
        <v>76.922769222222215</v>
      </c>
      <c r="AS18" s="14">
        <v>89.930279140557232</v>
      </c>
    </row>
    <row r="19" spans="1:45" x14ac:dyDescent="0.35">
      <c r="A19" s="15">
        <v>387.473952</v>
      </c>
      <c r="B19" s="14">
        <v>4.17007382777778</v>
      </c>
      <c r="C19" s="14">
        <v>8.509879794444446</v>
      </c>
      <c r="D19" s="14">
        <v>42.350889500000008</v>
      </c>
      <c r="E19" s="14">
        <v>87.962039166666671</v>
      </c>
      <c r="F19" s="14">
        <v>87.188819166666661</v>
      </c>
      <c r="G19" s="14">
        <v>81.169149222222217</v>
      </c>
      <c r="H19" s="14">
        <v>75.058259277777779</v>
      </c>
      <c r="I19" s="14">
        <v>73.202329277777778</v>
      </c>
      <c r="J19" s="14">
        <v>69.872089277777775</v>
      </c>
      <c r="K19" s="14">
        <v>70.009309277777774</v>
      </c>
      <c r="L19" s="14">
        <v>70.622329277777766</v>
      </c>
      <c r="M19" s="14">
        <v>71.27463927777778</v>
      </c>
      <c r="N19" s="14">
        <v>72.37887927777777</v>
      </c>
      <c r="O19" s="14">
        <v>72.788569277777768</v>
      </c>
      <c r="P19" s="14">
        <v>73.794879277777767</v>
      </c>
      <c r="Q19" s="14">
        <v>76.861779222222211</v>
      </c>
      <c r="R19" s="15">
        <v>89.862819141097205</v>
      </c>
      <c r="S19" s="14">
        <v>58.40998939272</v>
      </c>
      <c r="T19" s="14">
        <v>58.40998939272</v>
      </c>
      <c r="U19" s="14">
        <v>58.40998939272</v>
      </c>
      <c r="V19" s="14">
        <v>87.962039166666671</v>
      </c>
      <c r="W19" s="14">
        <v>87.188819166666661</v>
      </c>
      <c r="X19" s="14">
        <v>81.169149222222217</v>
      </c>
      <c r="Y19" s="14">
        <v>75.058259277777779</v>
      </c>
      <c r="Z19" s="14">
        <v>73.202329277777778</v>
      </c>
      <c r="AA19" s="14">
        <v>69.872089277777775</v>
      </c>
      <c r="AB19" s="14">
        <v>70.009309277777774</v>
      </c>
      <c r="AC19" s="14">
        <v>70.622329277777766</v>
      </c>
      <c r="AD19" s="14">
        <v>71.27463927777778</v>
      </c>
      <c r="AE19" s="14">
        <v>72.37887927777777</v>
      </c>
      <c r="AF19" s="14">
        <v>72.788569277777768</v>
      </c>
      <c r="AG19" s="14">
        <v>73.794879277777767</v>
      </c>
      <c r="AH19" s="14">
        <v>76.861779222222211</v>
      </c>
      <c r="AI19" s="15">
        <v>89.862819141097205</v>
      </c>
      <c r="AJ19" s="14">
        <v>71.973589284211116</v>
      </c>
      <c r="AK19" s="14">
        <v>71.973589284211116</v>
      </c>
      <c r="AL19" s="14">
        <v>71.973589284211116</v>
      </c>
      <c r="AM19" s="14">
        <v>87.962039166666671</v>
      </c>
      <c r="AN19" s="14">
        <v>87.188819166666661</v>
      </c>
      <c r="AO19" s="14">
        <v>81.169149222222217</v>
      </c>
      <c r="AP19" s="14">
        <v>75.058259277777779</v>
      </c>
      <c r="AQ19" s="14">
        <v>73.202329277777778</v>
      </c>
      <c r="AR19" s="14">
        <v>76.861779222222211</v>
      </c>
      <c r="AS19" s="14">
        <v>89.862819141097205</v>
      </c>
    </row>
    <row r="20" spans="1:45" x14ac:dyDescent="0.35">
      <c r="A20" s="15">
        <v>425.57395200000002</v>
      </c>
      <c r="B20" s="14">
        <v>4.1666658277777797</v>
      </c>
      <c r="C20" s="14">
        <v>6.9674258055555542</v>
      </c>
      <c r="D20" s="14">
        <v>37.686169561111107</v>
      </c>
      <c r="E20" s="14">
        <v>86.448969166666672</v>
      </c>
      <c r="F20" s="14">
        <v>87.055859166666664</v>
      </c>
      <c r="G20" s="14">
        <v>81.250339222222209</v>
      </c>
      <c r="H20" s="14">
        <v>75.268429277777784</v>
      </c>
      <c r="I20" s="14">
        <v>73.143109277777782</v>
      </c>
      <c r="J20" s="14">
        <v>69.835119277777778</v>
      </c>
      <c r="K20" s="14">
        <v>69.952949277777776</v>
      </c>
      <c r="L20" s="14">
        <v>70.559149277777777</v>
      </c>
      <c r="M20" s="14">
        <v>71.214079277777785</v>
      </c>
      <c r="N20" s="14">
        <v>72.313599277777769</v>
      </c>
      <c r="O20" s="14">
        <v>72.726049277777776</v>
      </c>
      <c r="P20" s="14">
        <v>73.726219277777773</v>
      </c>
      <c r="Q20" s="14">
        <v>76.800399222222225</v>
      </c>
      <c r="R20" s="15">
        <v>89.794899141640542</v>
      </c>
      <c r="S20" s="14">
        <v>58.343149393254443</v>
      </c>
      <c r="T20" s="14">
        <v>58.343149393254443</v>
      </c>
      <c r="U20" s="14">
        <v>58.343149393254443</v>
      </c>
      <c r="V20" s="14">
        <v>86.448969166666672</v>
      </c>
      <c r="W20" s="14">
        <v>87.055859166666664</v>
      </c>
      <c r="X20" s="14">
        <v>81.250339222222209</v>
      </c>
      <c r="Y20" s="14">
        <v>75.268429277777784</v>
      </c>
      <c r="Z20" s="14">
        <v>73.143109277777782</v>
      </c>
      <c r="AA20" s="14">
        <v>69.835119277777778</v>
      </c>
      <c r="AB20" s="14">
        <v>69.952949277777776</v>
      </c>
      <c r="AC20" s="14">
        <v>70.559149277777777</v>
      </c>
      <c r="AD20" s="14">
        <v>71.214079277777785</v>
      </c>
      <c r="AE20" s="14">
        <v>72.313599277777769</v>
      </c>
      <c r="AF20" s="14">
        <v>72.726049277777776</v>
      </c>
      <c r="AG20" s="14">
        <v>73.726219277777773</v>
      </c>
      <c r="AH20" s="14">
        <v>76.800399222222225</v>
      </c>
      <c r="AI20" s="15">
        <v>89.794899141640542</v>
      </c>
      <c r="AJ20" s="14">
        <v>71.888509284891654</v>
      </c>
      <c r="AK20" s="14">
        <v>71.888509284891654</v>
      </c>
      <c r="AL20" s="14">
        <v>71.888509284891654</v>
      </c>
      <c r="AM20" s="14">
        <v>86.448969166666672</v>
      </c>
      <c r="AN20" s="14">
        <v>87.055859166666664</v>
      </c>
      <c r="AO20" s="14">
        <v>81.250339222222209</v>
      </c>
      <c r="AP20" s="14">
        <v>75.268429277777784</v>
      </c>
      <c r="AQ20" s="14">
        <v>73.143109277777782</v>
      </c>
      <c r="AR20" s="14">
        <v>76.800399222222225</v>
      </c>
      <c r="AS20" s="14">
        <v>89.794899141640542</v>
      </c>
    </row>
    <row r="21" spans="1:45" x14ac:dyDescent="0.35">
      <c r="A21" s="15">
        <v>463.67395200000004</v>
      </c>
      <c r="B21" s="14">
        <v>4.1748388277777773</v>
      </c>
      <c r="C21" s="14">
        <v>5.8657908111111112</v>
      </c>
      <c r="D21" s="14">
        <v>33.545299588888888</v>
      </c>
      <c r="E21" s="14">
        <v>84.724769166666661</v>
      </c>
      <c r="F21" s="14">
        <v>86.90911916666667</v>
      </c>
      <c r="G21" s="14">
        <v>81.340929222222229</v>
      </c>
      <c r="H21" s="14">
        <v>75.481149277777774</v>
      </c>
      <c r="I21" s="14">
        <v>73.08516927777778</v>
      </c>
      <c r="J21" s="14">
        <v>69.800019277777778</v>
      </c>
      <c r="K21" s="14">
        <v>69.89729927777779</v>
      </c>
      <c r="L21" s="14">
        <v>70.495549277777783</v>
      </c>
      <c r="M21" s="14">
        <v>71.152959277777782</v>
      </c>
      <c r="N21" s="14">
        <v>72.245579277777779</v>
      </c>
      <c r="O21" s="14">
        <v>72.663209277777767</v>
      </c>
      <c r="P21" s="14">
        <v>73.656229277777783</v>
      </c>
      <c r="Q21" s="14">
        <v>76.738719222222215</v>
      </c>
      <c r="R21" s="15">
        <v>89.726719142186113</v>
      </c>
      <c r="S21" s="14">
        <v>58.354899393160558</v>
      </c>
      <c r="T21" s="14">
        <v>58.354899393160558</v>
      </c>
      <c r="U21" s="14">
        <v>58.354899393160558</v>
      </c>
      <c r="V21" s="14">
        <v>84.724769166666661</v>
      </c>
      <c r="W21" s="14">
        <v>86.90911916666667</v>
      </c>
      <c r="X21" s="14">
        <v>81.340929222222229</v>
      </c>
      <c r="Y21" s="14">
        <v>75.481149277777774</v>
      </c>
      <c r="Z21" s="14">
        <v>73.08516927777778</v>
      </c>
      <c r="AA21" s="14">
        <v>69.800019277777778</v>
      </c>
      <c r="AB21" s="14">
        <v>69.89729927777779</v>
      </c>
      <c r="AC21" s="14">
        <v>70.495549277777783</v>
      </c>
      <c r="AD21" s="14">
        <v>71.152959277777782</v>
      </c>
      <c r="AE21" s="14">
        <v>72.245579277777779</v>
      </c>
      <c r="AF21" s="14">
        <v>72.663209277777767</v>
      </c>
      <c r="AG21" s="14">
        <v>73.656229277777783</v>
      </c>
      <c r="AH21" s="14">
        <v>76.738719222222215</v>
      </c>
      <c r="AI21" s="15">
        <v>89.726719142186113</v>
      </c>
      <c r="AJ21" s="14">
        <v>71.838349285292779</v>
      </c>
      <c r="AK21" s="14">
        <v>71.838349285292779</v>
      </c>
      <c r="AL21" s="14">
        <v>71.838349285292779</v>
      </c>
      <c r="AM21" s="14">
        <v>84.724769166666661</v>
      </c>
      <c r="AN21" s="14">
        <v>86.90911916666667</v>
      </c>
      <c r="AO21" s="14">
        <v>81.340929222222229</v>
      </c>
      <c r="AP21" s="14">
        <v>75.481149277777774</v>
      </c>
      <c r="AQ21" s="14">
        <v>73.08516927777778</v>
      </c>
      <c r="AR21" s="14">
        <v>76.738719222222215</v>
      </c>
      <c r="AS21" s="14">
        <v>89.726719142186113</v>
      </c>
    </row>
    <row r="22" spans="1:45" x14ac:dyDescent="0.35">
      <c r="A22" s="15">
        <v>497.73535200000003</v>
      </c>
      <c r="B22" s="14">
        <v>4.1641038277777769</v>
      </c>
      <c r="C22" s="14">
        <v>5.2405008166666649</v>
      </c>
      <c r="D22" s="14">
        <v>30.575229616666661</v>
      </c>
      <c r="E22" s="14">
        <v>83.226869166666674</v>
      </c>
      <c r="F22" s="14">
        <v>86.781559166666668</v>
      </c>
      <c r="G22" s="14">
        <v>81.416409222222228</v>
      </c>
      <c r="H22" s="14">
        <v>75.64851927777778</v>
      </c>
      <c r="I22" s="14">
        <v>73.039989277777778</v>
      </c>
      <c r="J22" s="14">
        <v>69.773279277777775</v>
      </c>
      <c r="K22" s="14">
        <v>69.853389277777779</v>
      </c>
      <c r="L22" s="14">
        <v>70.444879277777787</v>
      </c>
      <c r="M22" s="14">
        <v>71.104109277777781</v>
      </c>
      <c r="N22" s="14">
        <v>72.190199277777779</v>
      </c>
      <c r="O22" s="14">
        <v>72.613139277777776</v>
      </c>
      <c r="P22" s="14">
        <v>73.600099277777787</v>
      </c>
      <c r="Q22" s="14">
        <v>76.689539222222209</v>
      </c>
      <c r="R22" s="15">
        <v>89.67248914261944</v>
      </c>
      <c r="S22" s="14">
        <v>58.419489392643882</v>
      </c>
      <c r="T22" s="14">
        <v>58.419489392643882</v>
      </c>
      <c r="U22" s="14">
        <v>58.419489392643882</v>
      </c>
      <c r="V22" s="14">
        <v>83.226869166666674</v>
      </c>
      <c r="W22" s="14">
        <v>86.781559166666668</v>
      </c>
      <c r="X22" s="14">
        <v>81.416409222222228</v>
      </c>
      <c r="Y22" s="14">
        <v>75.64851927777778</v>
      </c>
      <c r="Z22" s="14">
        <v>73.039989277777778</v>
      </c>
      <c r="AA22" s="14">
        <v>69.773279277777775</v>
      </c>
      <c r="AB22" s="14">
        <v>69.853389277777779</v>
      </c>
      <c r="AC22" s="14">
        <v>70.444879277777787</v>
      </c>
      <c r="AD22" s="14">
        <v>71.104109277777781</v>
      </c>
      <c r="AE22" s="14">
        <v>72.190199277777779</v>
      </c>
      <c r="AF22" s="14">
        <v>72.613139277777776</v>
      </c>
      <c r="AG22" s="14">
        <v>73.600099277777787</v>
      </c>
      <c r="AH22" s="14">
        <v>76.689539222222209</v>
      </c>
      <c r="AI22" s="15">
        <v>89.67248914261944</v>
      </c>
      <c r="AJ22" s="14">
        <v>71.883989284927779</v>
      </c>
      <c r="AK22" s="14">
        <v>71.883989284927779</v>
      </c>
      <c r="AL22" s="14">
        <v>71.883989284927779</v>
      </c>
      <c r="AM22" s="14">
        <v>83.226869166666674</v>
      </c>
      <c r="AN22" s="14">
        <v>86.781559166666668</v>
      </c>
      <c r="AO22" s="14">
        <v>81.416409222222228</v>
      </c>
      <c r="AP22" s="14">
        <v>75.64851927777778</v>
      </c>
      <c r="AQ22" s="14">
        <v>73.039989277777778</v>
      </c>
      <c r="AR22" s="14">
        <v>76.689539222222209</v>
      </c>
      <c r="AS22" s="14">
        <v>89.67248914261944</v>
      </c>
    </row>
    <row r="23" spans="1:45" x14ac:dyDescent="0.35">
      <c r="A23" s="15">
        <v>527.758152</v>
      </c>
      <c r="B23" s="14">
        <v>4.1620818277777776</v>
      </c>
      <c r="C23" s="14">
        <v>4.8134038222222211</v>
      </c>
      <c r="D23" s="14">
        <v>27.874289638888886</v>
      </c>
      <c r="E23" s="14">
        <v>81.583829222222221</v>
      </c>
      <c r="F23" s="14">
        <v>86.638119166666655</v>
      </c>
      <c r="G23" s="14">
        <v>81.493449222222225</v>
      </c>
      <c r="H23" s="14">
        <v>75.812849277777772</v>
      </c>
      <c r="I23" s="14">
        <v>72.99402927777777</v>
      </c>
      <c r="J23" s="14">
        <v>69.745959277777786</v>
      </c>
      <c r="K23" s="14">
        <v>69.807729277777781</v>
      </c>
      <c r="L23" s="14">
        <v>70.392069277777779</v>
      </c>
      <c r="M23" s="14">
        <v>71.052959277777774</v>
      </c>
      <c r="N23" s="14">
        <v>72.131609277777784</v>
      </c>
      <c r="O23" s="14">
        <v>72.56094927777778</v>
      </c>
      <c r="P23" s="14">
        <v>73.541489277777771</v>
      </c>
      <c r="Q23" s="14">
        <v>76.638249222222214</v>
      </c>
      <c r="R23" s="15">
        <v>89.616289143069437</v>
      </c>
      <c r="S23" s="14">
        <v>58.199019394407777</v>
      </c>
      <c r="T23" s="14">
        <v>58.199019394407777</v>
      </c>
      <c r="U23" s="14">
        <v>58.199019394407777</v>
      </c>
      <c r="V23" s="14">
        <v>81.583829222222221</v>
      </c>
      <c r="W23" s="14">
        <v>86.638119166666655</v>
      </c>
      <c r="X23" s="14">
        <v>81.493449222222225</v>
      </c>
      <c r="Y23" s="14">
        <v>75.812849277777772</v>
      </c>
      <c r="Z23" s="14">
        <v>72.99402927777777</v>
      </c>
      <c r="AA23" s="14">
        <v>69.745959277777786</v>
      </c>
      <c r="AB23" s="14">
        <v>69.807729277777781</v>
      </c>
      <c r="AC23" s="14">
        <v>70.392069277777779</v>
      </c>
      <c r="AD23" s="14">
        <v>71.052959277777774</v>
      </c>
      <c r="AE23" s="14">
        <v>72.131609277777784</v>
      </c>
      <c r="AF23" s="14">
        <v>72.56094927777778</v>
      </c>
      <c r="AG23" s="14">
        <v>73.541489277777771</v>
      </c>
      <c r="AH23" s="14">
        <v>76.638249222222214</v>
      </c>
      <c r="AI23" s="15">
        <v>89.616289143069437</v>
      </c>
      <c r="AJ23" s="14">
        <v>71.709359286324997</v>
      </c>
      <c r="AK23" s="14">
        <v>71.709359286324997</v>
      </c>
      <c r="AL23" s="14">
        <v>71.709359286324997</v>
      </c>
      <c r="AM23" s="14">
        <v>81.583829222222221</v>
      </c>
      <c r="AN23" s="14">
        <v>86.638119166666655</v>
      </c>
      <c r="AO23" s="14">
        <v>81.493449222222225</v>
      </c>
      <c r="AP23" s="14">
        <v>75.812849277777772</v>
      </c>
      <c r="AQ23" s="14">
        <v>72.99402927777777</v>
      </c>
      <c r="AR23" s="14">
        <v>76.638249222222214</v>
      </c>
      <c r="AS23" s="14">
        <v>89.616289143069437</v>
      </c>
    </row>
    <row r="24" spans="1:45" x14ac:dyDescent="0.35">
      <c r="A24" s="15">
        <v>554.12563799999998</v>
      </c>
      <c r="B24" s="14">
        <v>4.1622278277777784</v>
      </c>
      <c r="C24" s="14">
        <v>4.5829838222222223</v>
      </c>
      <c r="D24" s="14">
        <v>25.974739649999997</v>
      </c>
      <c r="E24" s="14">
        <v>80.255229222222226</v>
      </c>
      <c r="F24" s="14">
        <v>86.520179166666665</v>
      </c>
      <c r="G24" s="14">
        <v>81.553329222222217</v>
      </c>
      <c r="H24" s="14">
        <v>75.936059277777787</v>
      </c>
      <c r="I24" s="14">
        <v>72.960059277777788</v>
      </c>
      <c r="J24" s="14">
        <v>69.726309277777773</v>
      </c>
      <c r="K24" s="14">
        <v>69.773449277777772</v>
      </c>
      <c r="L24" s="14">
        <v>70.352229277777781</v>
      </c>
      <c r="M24" s="14">
        <v>71.014249277777765</v>
      </c>
      <c r="N24" s="14">
        <v>72.086819277777778</v>
      </c>
      <c r="O24" s="14">
        <v>72.521569277777772</v>
      </c>
      <c r="P24" s="14">
        <v>73.49711927777777</v>
      </c>
      <c r="Q24" s="14">
        <v>76.599559222222226</v>
      </c>
      <c r="R24" s="15">
        <v>89.574019143407227</v>
      </c>
      <c r="S24" s="14">
        <v>58.16717939466222</v>
      </c>
      <c r="T24" s="14">
        <v>58.16717939466222</v>
      </c>
      <c r="U24" s="14">
        <v>58.16717939466222</v>
      </c>
      <c r="V24" s="14">
        <v>80.255229222222226</v>
      </c>
      <c r="W24" s="14">
        <v>86.520179166666665</v>
      </c>
      <c r="X24" s="14">
        <v>81.553329222222217</v>
      </c>
      <c r="Y24" s="14">
        <v>75.936059277777787</v>
      </c>
      <c r="Z24" s="14">
        <v>72.960059277777788</v>
      </c>
      <c r="AA24" s="14">
        <v>69.726309277777773</v>
      </c>
      <c r="AB24" s="14">
        <v>69.773449277777772</v>
      </c>
      <c r="AC24" s="14">
        <v>70.352229277777781</v>
      </c>
      <c r="AD24" s="14">
        <v>71.014249277777765</v>
      </c>
      <c r="AE24" s="14">
        <v>72.086819277777778</v>
      </c>
      <c r="AF24" s="14">
        <v>72.521569277777772</v>
      </c>
      <c r="AG24" s="14">
        <v>73.49711927777777</v>
      </c>
      <c r="AH24" s="14">
        <v>76.599559222222226</v>
      </c>
      <c r="AI24" s="15">
        <v>89.574019143407227</v>
      </c>
      <c r="AJ24" s="14">
        <v>71.669229286646114</v>
      </c>
      <c r="AK24" s="14">
        <v>71.669229286646114</v>
      </c>
      <c r="AL24" s="14">
        <v>71.669229286646114</v>
      </c>
      <c r="AM24" s="14">
        <v>80.255229222222226</v>
      </c>
      <c r="AN24" s="14">
        <v>86.520179166666665</v>
      </c>
      <c r="AO24" s="14">
        <v>81.553329222222217</v>
      </c>
      <c r="AP24" s="14">
        <v>75.936059277777787</v>
      </c>
      <c r="AQ24" s="14">
        <v>72.960059277777788</v>
      </c>
      <c r="AR24" s="14">
        <v>76.599559222222226</v>
      </c>
      <c r="AS24" s="14">
        <v>89.574019143407227</v>
      </c>
    </row>
    <row r="25" spans="1:45" x14ac:dyDescent="0.35">
      <c r="A25" s="15">
        <v>576.83780999999999</v>
      </c>
      <c r="B25" s="14">
        <v>4.1625758277777791</v>
      </c>
      <c r="C25" s="14">
        <v>4.4243848222222226</v>
      </c>
      <c r="D25" s="14">
        <v>24.214689666666668</v>
      </c>
      <c r="E25" s="14">
        <v>78.843009222222221</v>
      </c>
      <c r="F25" s="14">
        <v>86.39117916666666</v>
      </c>
      <c r="G25" s="14">
        <v>81.613839222222225</v>
      </c>
      <c r="H25" s="14">
        <v>76.056979277777771</v>
      </c>
      <c r="I25" s="14">
        <v>72.926329277777768</v>
      </c>
      <c r="J25" s="14">
        <v>69.706909277777783</v>
      </c>
      <c r="K25" s="14">
        <v>69.73859927777778</v>
      </c>
      <c r="L25" s="14">
        <v>70.311699277777777</v>
      </c>
      <c r="M25" s="14">
        <v>70.974729277777769</v>
      </c>
      <c r="N25" s="14">
        <v>72.040869277777773</v>
      </c>
      <c r="O25" s="14">
        <v>72.481539277777784</v>
      </c>
      <c r="P25" s="14">
        <v>73.451949277777786</v>
      </c>
      <c r="Q25" s="14">
        <v>76.560239222222236</v>
      </c>
      <c r="R25" s="15">
        <v>89.531329143748891</v>
      </c>
      <c r="S25" s="14">
        <v>58.136489394907777</v>
      </c>
      <c r="T25" s="14">
        <v>58.136489394907777</v>
      </c>
      <c r="U25" s="14">
        <v>58.136489394907777</v>
      </c>
      <c r="V25" s="14">
        <v>78.843009222222221</v>
      </c>
      <c r="W25" s="14">
        <v>86.39117916666666</v>
      </c>
      <c r="X25" s="14">
        <v>81.613839222222225</v>
      </c>
      <c r="Y25" s="14">
        <v>76.056979277777771</v>
      </c>
      <c r="Z25" s="14">
        <v>72.926329277777768</v>
      </c>
      <c r="AA25" s="14">
        <v>69.706909277777783</v>
      </c>
      <c r="AB25" s="14">
        <v>69.73859927777778</v>
      </c>
      <c r="AC25" s="14">
        <v>70.311699277777777</v>
      </c>
      <c r="AD25" s="14">
        <v>70.974729277777769</v>
      </c>
      <c r="AE25" s="14">
        <v>72.040869277777773</v>
      </c>
      <c r="AF25" s="14">
        <v>72.481539277777784</v>
      </c>
      <c r="AG25" s="14">
        <v>73.451949277777786</v>
      </c>
      <c r="AH25" s="14">
        <v>76.560239222222236</v>
      </c>
      <c r="AI25" s="15">
        <v>89.531329143748891</v>
      </c>
      <c r="AJ25" s="14">
        <v>71.630919286952221</v>
      </c>
      <c r="AK25" s="14">
        <v>71.630919286952221</v>
      </c>
      <c r="AL25" s="14">
        <v>71.630919286952221</v>
      </c>
      <c r="AM25" s="14">
        <v>78.843009222222221</v>
      </c>
      <c r="AN25" s="14">
        <v>86.39117916666666</v>
      </c>
      <c r="AO25" s="14">
        <v>81.613839222222225</v>
      </c>
      <c r="AP25" s="14">
        <v>76.056979277777771</v>
      </c>
      <c r="AQ25" s="14">
        <v>72.926329277777768</v>
      </c>
      <c r="AR25" s="14">
        <v>76.560239222222236</v>
      </c>
      <c r="AS25" s="14">
        <v>89.531329143748891</v>
      </c>
    </row>
    <row r="26" spans="1:45" x14ac:dyDescent="0.35">
      <c r="A26" s="15">
        <v>599.55074400000001</v>
      </c>
      <c r="B26" s="14">
        <v>4.1630188277777771</v>
      </c>
      <c r="C26" s="14">
        <v>4.3191088277777787</v>
      </c>
      <c r="D26" s="14">
        <v>22.588049677777775</v>
      </c>
      <c r="E26" s="14">
        <v>77.346339222222213</v>
      </c>
      <c r="F26" s="14">
        <v>86.250009166666658</v>
      </c>
      <c r="G26" s="14">
        <v>81.67485922222221</v>
      </c>
      <c r="H26" s="14">
        <v>76.175649277777779</v>
      </c>
      <c r="I26" s="14">
        <v>72.893439277777759</v>
      </c>
      <c r="J26" s="14">
        <v>69.688389277777787</v>
      </c>
      <c r="K26" s="14">
        <v>69.703759277777777</v>
      </c>
      <c r="L26" s="14">
        <v>70.271089277777776</v>
      </c>
      <c r="M26" s="14">
        <v>70.934989277777788</v>
      </c>
      <c r="N26" s="14">
        <v>71.994439277777772</v>
      </c>
      <c r="O26" s="14">
        <v>72.441439277777775</v>
      </c>
      <c r="P26" s="14">
        <v>73.406619277777793</v>
      </c>
      <c r="Q26" s="14">
        <v>76.520889222222223</v>
      </c>
      <c r="R26" s="15">
        <v>89.488859144088892</v>
      </c>
      <c r="S26" s="14">
        <v>58.107489395139993</v>
      </c>
      <c r="T26" s="14">
        <v>58.107489395139993</v>
      </c>
      <c r="U26" s="14">
        <v>58.107489395139993</v>
      </c>
      <c r="V26" s="14">
        <v>77.346339222222213</v>
      </c>
      <c r="W26" s="14">
        <v>86.250009166666658</v>
      </c>
      <c r="X26" s="14">
        <v>81.67485922222221</v>
      </c>
      <c r="Y26" s="14">
        <v>76.175649277777779</v>
      </c>
      <c r="Z26" s="14">
        <v>72.893439277777759</v>
      </c>
      <c r="AA26" s="14">
        <v>69.688389277777787</v>
      </c>
      <c r="AB26" s="14">
        <v>69.703759277777777</v>
      </c>
      <c r="AC26" s="14">
        <v>70.271089277777776</v>
      </c>
      <c r="AD26" s="14">
        <v>70.934989277777788</v>
      </c>
      <c r="AE26" s="14">
        <v>71.994439277777772</v>
      </c>
      <c r="AF26" s="14">
        <v>72.441439277777775</v>
      </c>
      <c r="AG26" s="14">
        <v>73.406619277777793</v>
      </c>
      <c r="AH26" s="14">
        <v>76.520889222222223</v>
      </c>
      <c r="AI26" s="15">
        <v>89.488859144088892</v>
      </c>
      <c r="AJ26" s="14">
        <v>71.59460928724279</v>
      </c>
      <c r="AK26" s="14">
        <v>71.59460928724279</v>
      </c>
      <c r="AL26" s="14">
        <v>71.59460928724279</v>
      </c>
      <c r="AM26" s="14">
        <v>77.346339222222213</v>
      </c>
      <c r="AN26" s="14">
        <v>86.250009166666658</v>
      </c>
      <c r="AO26" s="14">
        <v>81.67485922222221</v>
      </c>
      <c r="AP26" s="14">
        <v>76.175649277777779</v>
      </c>
      <c r="AQ26" s="14">
        <v>72.893439277777759</v>
      </c>
      <c r="AR26" s="14">
        <v>76.520889222222223</v>
      </c>
      <c r="AS26" s="14">
        <v>89.488859144088892</v>
      </c>
    </row>
    <row r="27" spans="1:45" x14ac:dyDescent="0.35">
      <c r="A27" s="15">
        <v>622.26444000000004</v>
      </c>
      <c r="B27" s="14">
        <v>4.163500827777777</v>
      </c>
      <c r="C27" s="14">
        <v>4.2518168277777786</v>
      </c>
      <c r="D27" s="14">
        <v>21.086329688888885</v>
      </c>
      <c r="E27" s="14">
        <v>75.767079277777782</v>
      </c>
      <c r="F27" s="14">
        <v>86.095169166666665</v>
      </c>
      <c r="G27" s="14">
        <v>81.735789222222223</v>
      </c>
      <c r="H27" s="14">
        <v>76.291589222222214</v>
      </c>
      <c r="I27" s="14">
        <v>72.861439277777791</v>
      </c>
      <c r="J27" s="14">
        <v>69.670769277777765</v>
      </c>
      <c r="K27" s="14">
        <v>69.668899277777783</v>
      </c>
      <c r="L27" s="14">
        <v>70.230399277777778</v>
      </c>
      <c r="M27" s="14">
        <v>70.895019277777777</v>
      </c>
      <c r="N27" s="14">
        <v>71.947609277777772</v>
      </c>
      <c r="O27" s="14">
        <v>72.401279277777775</v>
      </c>
      <c r="P27" s="14">
        <v>73.361139277777795</v>
      </c>
      <c r="Q27" s="14">
        <v>76.481509222222215</v>
      </c>
      <c r="R27" s="15">
        <v>89.446619144426663</v>
      </c>
      <c r="S27" s="14">
        <v>58.078979395367774</v>
      </c>
      <c r="T27" s="14">
        <v>58.078979395367774</v>
      </c>
      <c r="U27" s="14">
        <v>58.078979395367774</v>
      </c>
      <c r="V27" s="14">
        <v>75.767079277777782</v>
      </c>
      <c r="W27" s="14">
        <v>86.095169166666665</v>
      </c>
      <c r="X27" s="14">
        <v>81.735789222222223</v>
      </c>
      <c r="Y27" s="14">
        <v>76.291589222222214</v>
      </c>
      <c r="Z27" s="14">
        <v>72.861439277777791</v>
      </c>
      <c r="AA27" s="14">
        <v>69.670769277777765</v>
      </c>
      <c r="AB27" s="14">
        <v>69.668899277777783</v>
      </c>
      <c r="AC27" s="14">
        <v>70.230399277777778</v>
      </c>
      <c r="AD27" s="14">
        <v>70.895019277777777</v>
      </c>
      <c r="AE27" s="14">
        <v>71.947609277777772</v>
      </c>
      <c r="AF27" s="14">
        <v>72.401279277777775</v>
      </c>
      <c r="AG27" s="14">
        <v>73.361139277777795</v>
      </c>
      <c r="AH27" s="14">
        <v>76.481509222222215</v>
      </c>
      <c r="AI27" s="15">
        <v>89.446619144426663</v>
      </c>
      <c r="AJ27" s="14">
        <v>71.558909287528337</v>
      </c>
      <c r="AK27" s="14">
        <v>71.558909287528337</v>
      </c>
      <c r="AL27" s="14">
        <v>71.558909287528337</v>
      </c>
      <c r="AM27" s="14">
        <v>75.767079277777782</v>
      </c>
      <c r="AN27" s="14">
        <v>86.095169166666665</v>
      </c>
      <c r="AO27" s="14">
        <v>81.735789222222223</v>
      </c>
      <c r="AP27" s="14">
        <v>76.291589222222214</v>
      </c>
      <c r="AQ27" s="14">
        <v>72.861439277777791</v>
      </c>
      <c r="AR27" s="14">
        <v>76.481509222222215</v>
      </c>
      <c r="AS27" s="14">
        <v>89.446619144426663</v>
      </c>
    </row>
    <row r="28" spans="1:45" x14ac:dyDescent="0.35">
      <c r="A28" s="15">
        <v>644.97813600000006</v>
      </c>
      <c r="B28" s="14">
        <v>4.163977827777777</v>
      </c>
      <c r="C28" s="14">
        <v>4.2102928277777787</v>
      </c>
      <c r="D28" s="14">
        <v>19.703549700000003</v>
      </c>
      <c r="E28" s="14">
        <v>74.109079277777766</v>
      </c>
      <c r="F28" s="14">
        <v>85.925079166666663</v>
      </c>
      <c r="G28" s="14">
        <v>81.796099222222225</v>
      </c>
      <c r="H28" s="14">
        <v>76.404409222222228</v>
      </c>
      <c r="I28" s="14">
        <v>72.830459277777777</v>
      </c>
      <c r="J28" s="14">
        <v>69.654129277777784</v>
      </c>
      <c r="K28" s="14">
        <v>69.63405927777778</v>
      </c>
      <c r="L28" s="14">
        <v>70.189689277777774</v>
      </c>
      <c r="M28" s="14">
        <v>70.85486927777778</v>
      </c>
      <c r="N28" s="14">
        <v>71.900499277777783</v>
      </c>
      <c r="O28" s="14">
        <v>72.361099277777782</v>
      </c>
      <c r="P28" s="14">
        <v>73.315579277777786</v>
      </c>
      <c r="Q28" s="14">
        <v>76.442159222222216</v>
      </c>
      <c r="R28" s="15">
        <v>89.404699144762219</v>
      </c>
      <c r="S28" s="14">
        <v>58.051169395590563</v>
      </c>
      <c r="T28" s="14">
        <v>58.051169395590563</v>
      </c>
      <c r="U28" s="14">
        <v>58.051169395590563</v>
      </c>
      <c r="V28" s="14">
        <v>74.109079277777766</v>
      </c>
      <c r="W28" s="14">
        <v>85.925079166666663</v>
      </c>
      <c r="X28" s="14">
        <v>81.796099222222225</v>
      </c>
      <c r="Y28" s="14">
        <v>76.404409222222228</v>
      </c>
      <c r="Z28" s="14">
        <v>72.830459277777777</v>
      </c>
      <c r="AA28" s="14">
        <v>69.654129277777784</v>
      </c>
      <c r="AB28" s="14">
        <v>69.63405927777778</v>
      </c>
      <c r="AC28" s="14">
        <v>70.189689277777774</v>
      </c>
      <c r="AD28" s="14">
        <v>70.85486927777778</v>
      </c>
      <c r="AE28" s="14">
        <v>71.900499277777783</v>
      </c>
      <c r="AF28" s="14">
        <v>72.361099277777782</v>
      </c>
      <c r="AG28" s="14">
        <v>73.315579277777786</v>
      </c>
      <c r="AH28" s="14">
        <v>76.442159222222216</v>
      </c>
      <c r="AI28" s="15">
        <v>89.404699144762219</v>
      </c>
      <c r="AJ28" s="14">
        <v>71.524099287806678</v>
      </c>
      <c r="AK28" s="14">
        <v>71.524099287806678</v>
      </c>
      <c r="AL28" s="14">
        <v>71.524099287806678</v>
      </c>
      <c r="AM28" s="14">
        <v>74.109079277777766</v>
      </c>
      <c r="AN28" s="14">
        <v>85.925079166666663</v>
      </c>
      <c r="AO28" s="14">
        <v>81.796099222222225</v>
      </c>
      <c r="AP28" s="14">
        <v>76.404409222222228</v>
      </c>
      <c r="AQ28" s="14">
        <v>72.830459277777777</v>
      </c>
      <c r="AR28" s="14">
        <v>76.442159222222216</v>
      </c>
      <c r="AS28" s="14">
        <v>89.404699144762219</v>
      </c>
    </row>
    <row r="29" spans="1:45" x14ac:dyDescent="0.35">
      <c r="A29" s="15">
        <v>667.69183200000009</v>
      </c>
      <c r="B29" s="14">
        <v>4.1644508277777783</v>
      </c>
      <c r="C29" s="14">
        <v>4.1852488277777766</v>
      </c>
      <c r="D29" s="14">
        <v>18.43134971111111</v>
      </c>
      <c r="E29" s="14">
        <v>72.37644927777778</v>
      </c>
      <c r="F29" s="14">
        <v>85.737629166666665</v>
      </c>
      <c r="G29" s="14">
        <v>81.855199222222211</v>
      </c>
      <c r="H29" s="14">
        <v>76.513709222222232</v>
      </c>
      <c r="I29" s="14">
        <v>72.800559277777779</v>
      </c>
      <c r="J29" s="14">
        <v>69.638489277777779</v>
      </c>
      <c r="K29" s="14">
        <v>69.599199277777771</v>
      </c>
      <c r="L29" s="14">
        <v>70.14896927777778</v>
      </c>
      <c r="M29" s="14">
        <v>70.814529277777794</v>
      </c>
      <c r="N29" s="14">
        <v>71.853189277777773</v>
      </c>
      <c r="O29" s="14">
        <v>72.320729277777772</v>
      </c>
      <c r="P29" s="14">
        <v>73.269959277777787</v>
      </c>
      <c r="Q29" s="14">
        <v>76.402839222222227</v>
      </c>
      <c r="R29" s="15">
        <v>89.363129145094447</v>
      </c>
      <c r="S29" s="14">
        <v>58.023679395810554</v>
      </c>
      <c r="T29" s="14">
        <v>58.023679395810554</v>
      </c>
      <c r="U29" s="14">
        <v>58.023679395810554</v>
      </c>
      <c r="V29" s="14">
        <v>72.37644927777778</v>
      </c>
      <c r="W29" s="14">
        <v>85.737629166666665</v>
      </c>
      <c r="X29" s="14">
        <v>81.855199222222211</v>
      </c>
      <c r="Y29" s="14">
        <v>76.513709222222232</v>
      </c>
      <c r="Z29" s="14">
        <v>72.800559277777779</v>
      </c>
      <c r="AA29" s="14">
        <v>69.638489277777779</v>
      </c>
      <c r="AB29" s="14">
        <v>69.599199277777771</v>
      </c>
      <c r="AC29" s="14">
        <v>70.14896927777778</v>
      </c>
      <c r="AD29" s="14">
        <v>70.814529277777794</v>
      </c>
      <c r="AE29" s="14">
        <v>71.853189277777773</v>
      </c>
      <c r="AF29" s="14">
        <v>72.320729277777772</v>
      </c>
      <c r="AG29" s="14">
        <v>73.269959277777787</v>
      </c>
      <c r="AH29" s="14">
        <v>76.402839222222227</v>
      </c>
      <c r="AI29" s="15">
        <v>89.363129145094447</v>
      </c>
      <c r="AJ29" s="14">
        <v>71.489729288081662</v>
      </c>
      <c r="AK29" s="14">
        <v>71.489729288081662</v>
      </c>
      <c r="AL29" s="14">
        <v>71.489729288081662</v>
      </c>
      <c r="AM29" s="14">
        <v>72.37644927777778</v>
      </c>
      <c r="AN29" s="14">
        <v>85.737629166666665</v>
      </c>
      <c r="AO29" s="14">
        <v>81.855199222222211</v>
      </c>
      <c r="AP29" s="14">
        <v>76.513709222222232</v>
      </c>
      <c r="AQ29" s="14">
        <v>72.800559277777779</v>
      </c>
      <c r="AR29" s="14">
        <v>76.402839222222227</v>
      </c>
      <c r="AS29" s="14">
        <v>89.363129145094447</v>
      </c>
    </row>
    <row r="30" spans="1:45" x14ac:dyDescent="0.35">
      <c r="A30" s="15">
        <v>690.40857600000004</v>
      </c>
      <c r="B30" s="14">
        <v>4.16504782777778</v>
      </c>
      <c r="C30" s="14">
        <v>4.1702158277777777</v>
      </c>
      <c r="D30" s="14">
        <v>17.260379722222222</v>
      </c>
      <c r="E30" s="14">
        <v>70.574179277777773</v>
      </c>
      <c r="F30" s="14">
        <v>85.531459166666664</v>
      </c>
      <c r="G30" s="14">
        <v>81.912349222222218</v>
      </c>
      <c r="H30" s="14">
        <v>76.618999222222214</v>
      </c>
      <c r="I30" s="14">
        <v>72.771619277777788</v>
      </c>
      <c r="J30" s="14">
        <v>69.623689277777771</v>
      </c>
      <c r="K30" s="14">
        <v>69.56413927777777</v>
      </c>
      <c r="L30" s="14">
        <v>70.108059277777784</v>
      </c>
      <c r="M30" s="14">
        <v>70.773819277777775</v>
      </c>
      <c r="N30" s="14">
        <v>71.805559277777775</v>
      </c>
      <c r="O30" s="14">
        <v>72.280169277777787</v>
      </c>
      <c r="P30" s="14">
        <v>73.224119277777774</v>
      </c>
      <c r="Q30" s="14">
        <v>76.363379222222221</v>
      </c>
      <c r="R30" s="15">
        <v>89.321709145426112</v>
      </c>
      <c r="S30" s="14">
        <v>57.996259396029444</v>
      </c>
      <c r="T30" s="14">
        <v>57.996259396029444</v>
      </c>
      <c r="U30" s="14">
        <v>57.996259396029444</v>
      </c>
      <c r="V30" s="14">
        <v>70.574179277777773</v>
      </c>
      <c r="W30" s="14">
        <v>85.531459166666664</v>
      </c>
      <c r="X30" s="14">
        <v>81.912349222222218</v>
      </c>
      <c r="Y30" s="14">
        <v>76.618999222222214</v>
      </c>
      <c r="Z30" s="14">
        <v>72.771619277777788</v>
      </c>
      <c r="AA30" s="14">
        <v>69.623689277777771</v>
      </c>
      <c r="AB30" s="14">
        <v>69.56413927777777</v>
      </c>
      <c r="AC30" s="14">
        <v>70.108059277777784</v>
      </c>
      <c r="AD30" s="14">
        <v>70.773819277777775</v>
      </c>
      <c r="AE30" s="14">
        <v>71.805559277777775</v>
      </c>
      <c r="AF30" s="14">
        <v>72.280169277777787</v>
      </c>
      <c r="AG30" s="14">
        <v>73.224119277777774</v>
      </c>
      <c r="AH30" s="14">
        <v>76.363379222222221</v>
      </c>
      <c r="AI30" s="15">
        <v>89.321709145426112</v>
      </c>
      <c r="AJ30" s="14">
        <v>71.455459288356096</v>
      </c>
      <c r="AK30" s="14">
        <v>71.455459288356096</v>
      </c>
      <c r="AL30" s="14">
        <v>71.455459288356096</v>
      </c>
      <c r="AM30" s="14">
        <v>71.455459288356096</v>
      </c>
      <c r="AN30" s="14">
        <v>85.531459166666664</v>
      </c>
      <c r="AO30" s="14">
        <v>81.912349222222218</v>
      </c>
      <c r="AP30" s="14">
        <v>76.618999222222214</v>
      </c>
      <c r="AQ30" s="14">
        <v>72.771619277777788</v>
      </c>
      <c r="AR30" s="14">
        <v>76.363379222222221</v>
      </c>
      <c r="AS30" s="14">
        <v>89.321709145426112</v>
      </c>
    </row>
    <row r="31" spans="1:45" x14ac:dyDescent="0.35">
      <c r="A31" s="15">
        <v>713.12836800000002</v>
      </c>
      <c r="B31" s="14">
        <v>4.1657738277777767</v>
      </c>
      <c r="C31" s="14">
        <v>4.1610968277777776</v>
      </c>
      <c r="D31" s="14">
        <v>16.185789727777781</v>
      </c>
      <c r="E31" s="14">
        <v>68.711499333333322</v>
      </c>
      <c r="F31" s="14">
        <v>85.304959166666663</v>
      </c>
      <c r="G31" s="14">
        <v>81.966969222222218</v>
      </c>
      <c r="H31" s="14">
        <v>76.71992922222222</v>
      </c>
      <c r="I31" s="14">
        <v>72.743729277777774</v>
      </c>
      <c r="J31" s="14">
        <v>69.609769277777772</v>
      </c>
      <c r="K31" s="14">
        <v>69.528869277777787</v>
      </c>
      <c r="L31" s="14">
        <v>70.066879277777772</v>
      </c>
      <c r="M31" s="14">
        <v>70.732759277777788</v>
      </c>
      <c r="N31" s="14">
        <v>71.757699277777775</v>
      </c>
      <c r="O31" s="14">
        <v>72.23941927777777</v>
      </c>
      <c r="P31" s="14">
        <v>73.178089277777772</v>
      </c>
      <c r="Q31" s="14">
        <v>76.323779222222214</v>
      </c>
      <c r="R31" s="15">
        <v>89.280459145756112</v>
      </c>
      <c r="S31" s="14">
        <v>57.969379396244449</v>
      </c>
      <c r="T31" s="14">
        <v>57.969379396244449</v>
      </c>
      <c r="U31" s="14">
        <v>57.969379396244449</v>
      </c>
      <c r="V31" s="14">
        <v>68.711499333333322</v>
      </c>
      <c r="W31" s="14">
        <v>85.304959166666663</v>
      </c>
      <c r="X31" s="14">
        <v>81.966969222222218</v>
      </c>
      <c r="Y31" s="14">
        <v>76.71992922222222</v>
      </c>
      <c r="Z31" s="14">
        <v>72.743729277777774</v>
      </c>
      <c r="AA31" s="14">
        <v>69.609769277777772</v>
      </c>
      <c r="AB31" s="14">
        <v>69.528869277777787</v>
      </c>
      <c r="AC31" s="14">
        <v>70.066879277777772</v>
      </c>
      <c r="AD31" s="14">
        <v>70.732759277777788</v>
      </c>
      <c r="AE31" s="14">
        <v>71.757699277777775</v>
      </c>
      <c r="AF31" s="14">
        <v>72.23941927777777</v>
      </c>
      <c r="AG31" s="14">
        <v>73.178089277777772</v>
      </c>
      <c r="AH31" s="14">
        <v>76.323779222222214</v>
      </c>
      <c r="AI31" s="15">
        <v>89.280459145756112</v>
      </c>
      <c r="AJ31" s="14">
        <v>71.421749288625563</v>
      </c>
      <c r="AK31" s="14">
        <v>71.421749288625563</v>
      </c>
      <c r="AL31" s="14">
        <v>71.421749288625563</v>
      </c>
      <c r="AM31" s="14">
        <v>71.421749288625563</v>
      </c>
      <c r="AN31" s="14">
        <v>85.304959166666663</v>
      </c>
      <c r="AO31" s="14">
        <v>81.966969222222218</v>
      </c>
      <c r="AP31" s="14">
        <v>76.71992922222222</v>
      </c>
      <c r="AQ31" s="14">
        <v>72.743729277777774</v>
      </c>
      <c r="AR31" s="14">
        <v>76.323779222222214</v>
      </c>
      <c r="AS31" s="14">
        <v>89.280459145756112</v>
      </c>
    </row>
    <row r="32" spans="1:45" x14ac:dyDescent="0.35">
      <c r="A32" s="15">
        <v>735.84358800000007</v>
      </c>
      <c r="B32" s="14">
        <v>4.1662968277777779</v>
      </c>
      <c r="C32" s="14">
        <v>4.1556478277777762</v>
      </c>
      <c r="D32" s="14">
        <v>15.199709738888888</v>
      </c>
      <c r="E32" s="14">
        <v>66.798629333333338</v>
      </c>
      <c r="F32" s="14">
        <v>85.057009166666674</v>
      </c>
      <c r="G32" s="14">
        <v>82.018899222222217</v>
      </c>
      <c r="H32" s="14">
        <v>76.816579222222217</v>
      </c>
      <c r="I32" s="14">
        <v>72.717349277777785</v>
      </c>
      <c r="J32" s="14">
        <v>69.597139277777785</v>
      </c>
      <c r="K32" s="14">
        <v>69.493799277777782</v>
      </c>
      <c r="L32" s="14">
        <v>70.025869277777772</v>
      </c>
      <c r="M32" s="14">
        <v>70.691749277777774</v>
      </c>
      <c r="N32" s="14">
        <v>71.710089277777783</v>
      </c>
      <c r="O32" s="14">
        <v>72.198929277777779</v>
      </c>
      <c r="P32" s="14">
        <v>73.132309277777779</v>
      </c>
      <c r="Q32" s="14">
        <v>76.28448922222222</v>
      </c>
      <c r="R32" s="15">
        <v>89.23983914608111</v>
      </c>
      <c r="S32" s="14">
        <v>57.943479396451671</v>
      </c>
      <c r="T32" s="14">
        <v>57.943479396451671</v>
      </c>
      <c r="U32" s="14">
        <v>57.943479396451671</v>
      </c>
      <c r="V32" s="14">
        <v>66.798629333333338</v>
      </c>
      <c r="W32" s="14">
        <v>85.057009166666674</v>
      </c>
      <c r="X32" s="14">
        <v>82.018899222222217</v>
      </c>
      <c r="Y32" s="14">
        <v>76.816579222222217</v>
      </c>
      <c r="Z32" s="14">
        <v>72.717349277777785</v>
      </c>
      <c r="AA32" s="14">
        <v>69.597139277777785</v>
      </c>
      <c r="AB32" s="14">
        <v>69.493799277777782</v>
      </c>
      <c r="AC32" s="14">
        <v>70.025869277777772</v>
      </c>
      <c r="AD32" s="14">
        <v>70.691749277777774</v>
      </c>
      <c r="AE32" s="14">
        <v>71.710089277777783</v>
      </c>
      <c r="AF32" s="14">
        <v>72.198929277777779</v>
      </c>
      <c r="AG32" s="14">
        <v>73.132309277777779</v>
      </c>
      <c r="AH32" s="14">
        <v>76.28448922222222</v>
      </c>
      <c r="AI32" s="15">
        <v>89.23983914608111</v>
      </c>
      <c r="AJ32" s="14">
        <v>71.389229288886099</v>
      </c>
      <c r="AK32" s="14">
        <v>71.389229288886099</v>
      </c>
      <c r="AL32" s="14">
        <v>71.389229288886099</v>
      </c>
      <c r="AM32" s="14">
        <v>71.389229288886099</v>
      </c>
      <c r="AN32" s="14">
        <v>85.057009166666674</v>
      </c>
      <c r="AO32" s="14">
        <v>82.018899222222217</v>
      </c>
      <c r="AP32" s="14">
        <v>76.816579222222217</v>
      </c>
      <c r="AQ32" s="14">
        <v>72.717349277777785</v>
      </c>
      <c r="AR32" s="14">
        <v>76.28448922222222</v>
      </c>
      <c r="AS32" s="14">
        <v>89.23983914608111</v>
      </c>
    </row>
    <row r="33" spans="1:45" x14ac:dyDescent="0.35">
      <c r="A33" s="15">
        <v>758.55423600000006</v>
      </c>
      <c r="B33" s="14">
        <v>4.1665808277777767</v>
      </c>
      <c r="C33" s="14">
        <v>4.1523538277777776</v>
      </c>
      <c r="D33" s="14">
        <v>14.295329744444444</v>
      </c>
      <c r="E33" s="14">
        <v>64.844759333333343</v>
      </c>
      <c r="F33" s="14">
        <v>84.785849166666665</v>
      </c>
      <c r="G33" s="14">
        <v>82.067619222222234</v>
      </c>
      <c r="H33" s="14">
        <v>76.908579222222215</v>
      </c>
      <c r="I33" s="14">
        <v>72.692539277777783</v>
      </c>
      <c r="J33" s="14">
        <v>69.585789277777778</v>
      </c>
      <c r="K33" s="14">
        <v>69.458879277777768</v>
      </c>
      <c r="L33" s="14">
        <v>69.985099277777792</v>
      </c>
      <c r="M33" s="14">
        <v>70.650789277777776</v>
      </c>
      <c r="N33" s="14">
        <v>71.662759277777781</v>
      </c>
      <c r="O33" s="14">
        <v>72.158659277777772</v>
      </c>
      <c r="P33" s="14">
        <v>73.086779277777779</v>
      </c>
      <c r="Q33" s="14">
        <v>76.245489277777779</v>
      </c>
      <c r="R33" s="15">
        <v>89.199809146401122</v>
      </c>
      <c r="S33" s="14">
        <v>57.91738939666056</v>
      </c>
      <c r="T33" s="14">
        <v>57.91738939666056</v>
      </c>
      <c r="U33" s="14">
        <v>57.91738939666056</v>
      </c>
      <c r="V33" s="14">
        <v>64.844759333333343</v>
      </c>
      <c r="W33" s="14">
        <v>84.785849166666665</v>
      </c>
      <c r="X33" s="14">
        <v>82.067619222222234</v>
      </c>
      <c r="Y33" s="14">
        <v>76.908579222222215</v>
      </c>
      <c r="Z33" s="14">
        <v>72.692539277777783</v>
      </c>
      <c r="AA33" s="14">
        <v>69.585789277777778</v>
      </c>
      <c r="AB33" s="14">
        <v>69.458879277777768</v>
      </c>
      <c r="AC33" s="14">
        <v>69.985099277777792</v>
      </c>
      <c r="AD33" s="14">
        <v>70.650789277777776</v>
      </c>
      <c r="AE33" s="14">
        <v>71.662759277777781</v>
      </c>
      <c r="AF33" s="14">
        <v>72.158659277777772</v>
      </c>
      <c r="AG33" s="14">
        <v>73.086779277777779</v>
      </c>
      <c r="AH33" s="14">
        <v>76.245489277777779</v>
      </c>
      <c r="AI33" s="15">
        <v>89.199809146401122</v>
      </c>
      <c r="AJ33" s="14">
        <v>71.356639289146671</v>
      </c>
      <c r="AK33" s="14">
        <v>71.356639289146671</v>
      </c>
      <c r="AL33" s="14">
        <v>71.356639289146671</v>
      </c>
      <c r="AM33" s="14">
        <v>71.356639289146671</v>
      </c>
      <c r="AN33" s="14">
        <v>84.785849166666665</v>
      </c>
      <c r="AO33" s="14">
        <v>82.067619222222234</v>
      </c>
      <c r="AP33" s="14">
        <v>76.908579222222215</v>
      </c>
      <c r="AQ33" s="14">
        <v>72.692539277777783</v>
      </c>
      <c r="AR33" s="14">
        <v>76.245489277777779</v>
      </c>
      <c r="AS33" s="14">
        <v>89.199809146401122</v>
      </c>
    </row>
    <row r="34" spans="1:45" x14ac:dyDescent="0.35">
      <c r="A34" s="15">
        <v>781.26640800000007</v>
      </c>
      <c r="B34" s="14">
        <v>4.166951827777778</v>
      </c>
      <c r="C34" s="14">
        <v>4.1501028277777783</v>
      </c>
      <c r="D34" s="14">
        <v>13.466779749999997</v>
      </c>
      <c r="E34" s="14">
        <v>62.860359333333335</v>
      </c>
      <c r="F34" s="14">
        <v>84.489339166666667</v>
      </c>
      <c r="G34" s="14">
        <v>82.112219222222222</v>
      </c>
      <c r="H34" s="14">
        <v>76.995409222222222</v>
      </c>
      <c r="I34" s="14">
        <v>72.668969277777776</v>
      </c>
      <c r="J34" s="14">
        <v>69.575389277777788</v>
      </c>
      <c r="K34" s="14">
        <v>69.423739277777784</v>
      </c>
      <c r="L34" s="14">
        <v>69.94419927777777</v>
      </c>
      <c r="M34" s="14">
        <v>70.609489277777769</v>
      </c>
      <c r="N34" s="14">
        <v>71.615379277777777</v>
      </c>
      <c r="O34" s="14">
        <v>72.118239277777775</v>
      </c>
      <c r="P34" s="14">
        <v>73.04112927777777</v>
      </c>
      <c r="Q34" s="14">
        <v>76.206399277777777</v>
      </c>
      <c r="R34" s="15">
        <v>89.159929146720003</v>
      </c>
      <c r="S34" s="14">
        <v>57.891029396871673</v>
      </c>
      <c r="T34" s="14">
        <v>57.891029396871673</v>
      </c>
      <c r="U34" s="14">
        <v>57.891029396871673</v>
      </c>
      <c r="V34" s="14">
        <v>62.860359333333335</v>
      </c>
      <c r="W34" s="14">
        <v>84.489339166666667</v>
      </c>
      <c r="X34" s="14">
        <v>82.112219222222222</v>
      </c>
      <c r="Y34" s="14">
        <v>76.995409222222222</v>
      </c>
      <c r="Z34" s="14">
        <v>72.668969277777776</v>
      </c>
      <c r="AA34" s="14">
        <v>69.575389277777788</v>
      </c>
      <c r="AB34" s="14">
        <v>69.423739277777784</v>
      </c>
      <c r="AC34" s="14">
        <v>69.94419927777777</v>
      </c>
      <c r="AD34" s="14">
        <v>70.609489277777769</v>
      </c>
      <c r="AE34" s="14">
        <v>71.615379277777777</v>
      </c>
      <c r="AF34" s="14">
        <v>72.118239277777775</v>
      </c>
      <c r="AG34" s="14">
        <v>73.04112927777777</v>
      </c>
      <c r="AH34" s="14">
        <v>76.206399277777777</v>
      </c>
      <c r="AI34" s="15">
        <v>89.159929146720003</v>
      </c>
      <c r="AJ34" s="14">
        <v>71.323789289409433</v>
      </c>
      <c r="AK34" s="14">
        <v>71.323789289409433</v>
      </c>
      <c r="AL34" s="14">
        <v>71.323789289409433</v>
      </c>
      <c r="AM34" s="14">
        <v>71.323789289409433</v>
      </c>
      <c r="AN34" s="14">
        <v>84.489339166666667</v>
      </c>
      <c r="AO34" s="14">
        <v>82.112219222222222</v>
      </c>
      <c r="AP34" s="14">
        <v>76.995409222222222</v>
      </c>
      <c r="AQ34" s="14">
        <v>72.668969277777776</v>
      </c>
      <c r="AR34" s="14">
        <v>76.206399277777777</v>
      </c>
      <c r="AS34" s="14">
        <v>89.159929146720003</v>
      </c>
    </row>
    <row r="35" spans="1:45" x14ac:dyDescent="0.35">
      <c r="A35" s="15">
        <v>803.9801040000001</v>
      </c>
      <c r="B35" s="14">
        <v>4.1674148277777769</v>
      </c>
      <c r="C35" s="14">
        <v>4.1484518277777758</v>
      </c>
      <c r="D35" s="14">
        <v>12.705379761111111</v>
      </c>
      <c r="E35" s="14">
        <v>60.857389388888883</v>
      </c>
      <c r="F35" s="14">
        <v>84.165799166666659</v>
      </c>
      <c r="G35" s="14">
        <v>82.152189222222219</v>
      </c>
      <c r="H35" s="14">
        <v>77.077199222222205</v>
      </c>
      <c r="I35" s="14">
        <v>72.646709277777788</v>
      </c>
      <c r="J35" s="14">
        <v>69.565929277777798</v>
      </c>
      <c r="K35" s="14">
        <v>69.388369277777784</v>
      </c>
      <c r="L35" s="14">
        <v>69.903179277777781</v>
      </c>
      <c r="M35" s="14">
        <v>70.567879277777777</v>
      </c>
      <c r="N35" s="14">
        <v>71.56798927777777</v>
      </c>
      <c r="O35" s="14">
        <v>72.077659277777769</v>
      </c>
      <c r="P35" s="14">
        <v>72.995369277777783</v>
      </c>
      <c r="Q35" s="14">
        <v>76.167219277777775</v>
      </c>
      <c r="R35" s="15">
        <v>89.120149147038333</v>
      </c>
      <c r="S35" s="14">
        <v>57.865119397078892</v>
      </c>
      <c r="T35" s="14">
        <v>57.865119397078892</v>
      </c>
      <c r="U35" s="14">
        <v>57.865119397078892</v>
      </c>
      <c r="V35" s="14">
        <v>60.857389388888883</v>
      </c>
      <c r="W35" s="14">
        <v>84.165799166666659</v>
      </c>
      <c r="X35" s="14">
        <v>82.152189222222219</v>
      </c>
      <c r="Y35" s="14">
        <v>77.077199222222205</v>
      </c>
      <c r="Z35" s="14">
        <v>72.646709277777788</v>
      </c>
      <c r="AA35" s="14">
        <v>69.565929277777798</v>
      </c>
      <c r="AB35" s="14">
        <v>69.388369277777784</v>
      </c>
      <c r="AC35" s="14">
        <v>69.903179277777781</v>
      </c>
      <c r="AD35" s="14">
        <v>70.567879277777777</v>
      </c>
      <c r="AE35" s="14">
        <v>71.56798927777777</v>
      </c>
      <c r="AF35" s="14">
        <v>72.077659277777769</v>
      </c>
      <c r="AG35" s="14">
        <v>72.995369277777783</v>
      </c>
      <c r="AH35" s="14">
        <v>76.167219277777775</v>
      </c>
      <c r="AI35" s="15">
        <v>89.120149147038333</v>
      </c>
      <c r="AJ35" s="14">
        <v>71.291399289668334</v>
      </c>
      <c r="AK35" s="14">
        <v>71.291399289668334</v>
      </c>
      <c r="AL35" s="14">
        <v>71.291399289668334</v>
      </c>
      <c r="AM35" s="14">
        <v>71.291399289668334</v>
      </c>
      <c r="AN35" s="14">
        <v>84.165799166666659</v>
      </c>
      <c r="AO35" s="14">
        <v>82.152189222222219</v>
      </c>
      <c r="AP35" s="14">
        <v>77.077199222222205</v>
      </c>
      <c r="AQ35" s="14">
        <v>72.646709277777788</v>
      </c>
      <c r="AR35" s="14">
        <v>76.167219277777775</v>
      </c>
      <c r="AS35" s="14">
        <v>89.120149147038333</v>
      </c>
    </row>
    <row r="36" spans="1:45" x14ac:dyDescent="0.35">
      <c r="A36" s="15">
        <v>826.69151399999998</v>
      </c>
      <c r="B36" s="14">
        <v>4.1677408277777772</v>
      </c>
      <c r="C36" s="14">
        <v>4.1473778277777775</v>
      </c>
      <c r="D36" s="14">
        <v>12.009219766666668</v>
      </c>
      <c r="E36" s="14">
        <v>58.847419388888888</v>
      </c>
      <c r="F36" s="14">
        <v>83.813849166666671</v>
      </c>
      <c r="G36" s="14">
        <v>82.187329222222218</v>
      </c>
      <c r="H36" s="14">
        <v>77.154109222222218</v>
      </c>
      <c r="I36" s="14">
        <v>72.626089277777794</v>
      </c>
      <c r="J36" s="14">
        <v>69.557689277777783</v>
      </c>
      <c r="K36" s="14">
        <v>69.353039277777782</v>
      </c>
      <c r="L36" s="14">
        <v>69.862319277777786</v>
      </c>
      <c r="M36" s="14">
        <v>70.526239277777776</v>
      </c>
      <c r="N36" s="14">
        <v>71.520929277777768</v>
      </c>
      <c r="O36" s="14">
        <v>72.037229277777769</v>
      </c>
      <c r="P36" s="14">
        <v>72.949839277777784</v>
      </c>
      <c r="Q36" s="14">
        <v>76.128269277777775</v>
      </c>
      <c r="R36" s="15">
        <v>89.080789147353329</v>
      </c>
      <c r="S36" s="14">
        <v>57.839849397281114</v>
      </c>
      <c r="T36" s="14">
        <v>57.839849397281114</v>
      </c>
      <c r="U36" s="14">
        <v>57.839849397281114</v>
      </c>
      <c r="V36" s="14">
        <v>58.847419388888888</v>
      </c>
      <c r="W36" s="14">
        <v>83.813849166666671</v>
      </c>
      <c r="X36" s="14">
        <v>82.187329222222218</v>
      </c>
      <c r="Y36" s="14">
        <v>77.154109222222218</v>
      </c>
      <c r="Z36" s="14">
        <v>72.626089277777794</v>
      </c>
      <c r="AA36" s="14">
        <v>69.557689277777783</v>
      </c>
      <c r="AB36" s="14">
        <v>69.353039277777782</v>
      </c>
      <c r="AC36" s="14">
        <v>69.862319277777786</v>
      </c>
      <c r="AD36" s="14">
        <v>70.526239277777776</v>
      </c>
      <c r="AE36" s="14">
        <v>71.520929277777768</v>
      </c>
      <c r="AF36" s="14">
        <v>72.037229277777769</v>
      </c>
      <c r="AG36" s="14">
        <v>72.949839277777784</v>
      </c>
      <c r="AH36" s="14">
        <v>76.128269277777775</v>
      </c>
      <c r="AI36" s="15">
        <v>89.080789147353329</v>
      </c>
      <c r="AJ36" s="14">
        <v>71.259819289921097</v>
      </c>
      <c r="AK36" s="14">
        <v>71.259819289921097</v>
      </c>
      <c r="AL36" s="14">
        <v>71.259819289921097</v>
      </c>
      <c r="AM36" s="14">
        <v>71.259819289921097</v>
      </c>
      <c r="AN36" s="14">
        <v>83.813849166666671</v>
      </c>
      <c r="AO36" s="14">
        <v>82.187329222222218</v>
      </c>
      <c r="AP36" s="14">
        <v>77.154109222222218</v>
      </c>
      <c r="AQ36" s="14">
        <v>72.626089277777794</v>
      </c>
      <c r="AR36" s="14">
        <v>76.128269277777775</v>
      </c>
      <c r="AS36" s="14">
        <v>89.080789147353329</v>
      </c>
    </row>
    <row r="37" spans="1:45" x14ac:dyDescent="0.35">
      <c r="A37" s="15">
        <v>849.40063800000007</v>
      </c>
      <c r="B37" s="14">
        <v>4.1678928277777771</v>
      </c>
      <c r="C37" s="14">
        <v>4.1467508277777769</v>
      </c>
      <c r="D37" s="14">
        <v>11.371619766666667</v>
      </c>
      <c r="E37" s="14">
        <v>56.841259388888894</v>
      </c>
      <c r="F37" s="14">
        <v>83.430679166666664</v>
      </c>
      <c r="G37" s="14">
        <v>82.217189222222203</v>
      </c>
      <c r="H37" s="14">
        <v>77.226079222222225</v>
      </c>
      <c r="I37" s="14">
        <v>72.607149277777765</v>
      </c>
      <c r="J37" s="14">
        <v>69.550669277777772</v>
      </c>
      <c r="K37" s="14">
        <v>69.317729277777786</v>
      </c>
      <c r="L37" s="14">
        <v>69.821629277777774</v>
      </c>
      <c r="M37" s="14">
        <v>70.48456927777778</v>
      </c>
      <c r="N37" s="14">
        <v>71.474219277777777</v>
      </c>
      <c r="O37" s="14">
        <v>71.996919277777778</v>
      </c>
      <c r="P37" s="14">
        <v>72.90451927777778</v>
      </c>
      <c r="Q37" s="14">
        <v>76.089519277777782</v>
      </c>
      <c r="R37" s="15">
        <v>89.041769147665548</v>
      </c>
      <c r="S37" s="14">
        <v>57.81428939748556</v>
      </c>
      <c r="T37" s="14">
        <v>57.81428939748556</v>
      </c>
      <c r="U37" s="14">
        <v>57.81428939748556</v>
      </c>
      <c r="V37" s="14">
        <v>57.81428939748556</v>
      </c>
      <c r="W37" s="14">
        <v>83.430679166666664</v>
      </c>
      <c r="X37" s="14">
        <v>82.217189222222203</v>
      </c>
      <c r="Y37" s="14">
        <v>77.226079222222225</v>
      </c>
      <c r="Z37" s="14">
        <v>72.607149277777765</v>
      </c>
      <c r="AA37" s="14">
        <v>69.550669277777772</v>
      </c>
      <c r="AB37" s="14">
        <v>69.317729277777786</v>
      </c>
      <c r="AC37" s="14">
        <v>69.821629277777774</v>
      </c>
      <c r="AD37" s="14">
        <v>70.48456927777778</v>
      </c>
      <c r="AE37" s="14">
        <v>71.474219277777777</v>
      </c>
      <c r="AF37" s="14">
        <v>71.996919277777778</v>
      </c>
      <c r="AG37" s="14">
        <v>72.90451927777778</v>
      </c>
      <c r="AH37" s="14">
        <v>76.089519277777782</v>
      </c>
      <c r="AI37" s="15">
        <v>89.041769147665548</v>
      </c>
      <c r="AJ37" s="14">
        <v>71.228009290175564</v>
      </c>
      <c r="AK37" s="14">
        <v>71.228009290175564</v>
      </c>
      <c r="AL37" s="14">
        <v>71.228009290175564</v>
      </c>
      <c r="AM37" s="14">
        <v>71.228009290175564</v>
      </c>
      <c r="AN37" s="14">
        <v>83.430679166666664</v>
      </c>
      <c r="AO37" s="14">
        <v>82.217189222222203</v>
      </c>
      <c r="AP37" s="14">
        <v>77.226079222222225</v>
      </c>
      <c r="AQ37" s="14">
        <v>72.607149277777765</v>
      </c>
      <c r="AR37" s="14">
        <v>76.089519277777782</v>
      </c>
      <c r="AS37" s="14">
        <v>89.041769147665548</v>
      </c>
    </row>
    <row r="38" spans="1:45" x14ac:dyDescent="0.35">
      <c r="A38" s="15">
        <v>872.10976200000005</v>
      </c>
      <c r="B38" s="14">
        <v>4.1680758277777761</v>
      </c>
      <c r="C38" s="14">
        <v>4.1463398277777781</v>
      </c>
      <c r="D38" s="14">
        <v>10.784849772222222</v>
      </c>
      <c r="E38" s="14">
        <v>54.848829444444441</v>
      </c>
      <c r="F38" s="14">
        <v>83.015189222222219</v>
      </c>
      <c r="G38" s="14">
        <v>82.241099222222218</v>
      </c>
      <c r="H38" s="14">
        <v>77.292829222222224</v>
      </c>
      <c r="I38" s="14">
        <v>72.589709277777786</v>
      </c>
      <c r="J38" s="14">
        <v>69.544649277777779</v>
      </c>
      <c r="K38" s="14">
        <v>69.282209333333341</v>
      </c>
      <c r="L38" s="14">
        <v>69.780879277777785</v>
      </c>
      <c r="M38" s="14">
        <v>70.442649277777775</v>
      </c>
      <c r="N38" s="14">
        <v>71.427649277777775</v>
      </c>
      <c r="O38" s="14">
        <v>71.956519277777772</v>
      </c>
      <c r="P38" s="14">
        <v>72.85919927777779</v>
      </c>
      <c r="Q38" s="14">
        <v>76.050749277777783</v>
      </c>
      <c r="R38" s="15">
        <v>89.002809147977217</v>
      </c>
      <c r="S38" s="14">
        <v>57.78789939769667</v>
      </c>
      <c r="T38" s="14">
        <v>57.78789939769667</v>
      </c>
      <c r="U38" s="14">
        <v>57.78789939769667</v>
      </c>
      <c r="V38" s="14">
        <v>57.78789939769667</v>
      </c>
      <c r="W38" s="14">
        <v>83.015189222222219</v>
      </c>
      <c r="X38" s="14">
        <v>82.241099222222218</v>
      </c>
      <c r="Y38" s="14">
        <v>77.292829222222224</v>
      </c>
      <c r="Z38" s="14">
        <v>72.589709277777786</v>
      </c>
      <c r="AA38" s="14">
        <v>69.544649277777779</v>
      </c>
      <c r="AB38" s="14">
        <v>69.282209333333341</v>
      </c>
      <c r="AC38" s="14">
        <v>69.780879277777785</v>
      </c>
      <c r="AD38" s="14">
        <v>70.442649277777775</v>
      </c>
      <c r="AE38" s="14">
        <v>71.427649277777775</v>
      </c>
      <c r="AF38" s="14">
        <v>71.956519277777772</v>
      </c>
      <c r="AG38" s="14">
        <v>72.85919927777779</v>
      </c>
      <c r="AH38" s="14">
        <v>76.050749277777783</v>
      </c>
      <c r="AI38" s="15">
        <v>89.002809147977217</v>
      </c>
      <c r="AJ38" s="14">
        <v>71.195449290436116</v>
      </c>
      <c r="AK38" s="14">
        <v>71.195449290436116</v>
      </c>
      <c r="AL38" s="14">
        <v>71.195449290436116</v>
      </c>
      <c r="AM38" s="14">
        <v>71.195449290436116</v>
      </c>
      <c r="AN38" s="14">
        <v>83.015189222222219</v>
      </c>
      <c r="AO38" s="14">
        <v>82.241099222222218</v>
      </c>
      <c r="AP38" s="14">
        <v>77.292829222222224</v>
      </c>
      <c r="AQ38" s="14">
        <v>72.589709277777786</v>
      </c>
      <c r="AR38" s="14">
        <v>76.050749277777783</v>
      </c>
      <c r="AS38" s="14">
        <v>89.002809147977217</v>
      </c>
    </row>
    <row r="39" spans="1:45" x14ac:dyDescent="0.35">
      <c r="A39" s="15">
        <v>894.81888600000013</v>
      </c>
      <c r="B39" s="14">
        <v>4.1682998277777763</v>
      </c>
      <c r="C39" s="14">
        <v>4.1461118277777782</v>
      </c>
      <c r="D39" s="14">
        <v>10.245969777777779</v>
      </c>
      <c r="E39" s="14">
        <v>52.878419444444447</v>
      </c>
      <c r="F39" s="14">
        <v>82.566279222222221</v>
      </c>
      <c r="G39" s="14">
        <v>82.258649222222232</v>
      </c>
      <c r="H39" s="14">
        <v>77.354339222222222</v>
      </c>
      <c r="I39" s="14">
        <v>72.573829277777776</v>
      </c>
      <c r="J39" s="14">
        <v>69.539619277777788</v>
      </c>
      <c r="K39" s="14">
        <v>69.246469333333323</v>
      </c>
      <c r="L39" s="14">
        <v>69.740059277777789</v>
      </c>
      <c r="M39" s="14">
        <v>70.40048927777778</v>
      </c>
      <c r="N39" s="14">
        <v>71.381229277777777</v>
      </c>
      <c r="O39" s="14">
        <v>71.915999277777772</v>
      </c>
      <c r="P39" s="14">
        <v>72.81388927777779</v>
      </c>
      <c r="Q39" s="14">
        <v>76.011959277777777</v>
      </c>
      <c r="R39" s="15">
        <v>88.963869148288893</v>
      </c>
      <c r="S39" s="14">
        <v>57.759639397922783</v>
      </c>
      <c r="T39" s="14">
        <v>57.759639397922783</v>
      </c>
      <c r="U39" s="14">
        <v>57.759639397922783</v>
      </c>
      <c r="V39" s="14">
        <v>57.759639397922783</v>
      </c>
      <c r="W39" s="14">
        <v>82.566279222222221</v>
      </c>
      <c r="X39" s="14">
        <v>82.258649222222232</v>
      </c>
      <c r="Y39" s="14">
        <v>77.354339222222222</v>
      </c>
      <c r="Z39" s="14">
        <v>72.573829277777776</v>
      </c>
      <c r="AA39" s="14">
        <v>69.539619277777788</v>
      </c>
      <c r="AB39" s="14">
        <v>69.246469333333323</v>
      </c>
      <c r="AC39" s="14">
        <v>69.740059277777789</v>
      </c>
      <c r="AD39" s="14">
        <v>70.40048927777778</v>
      </c>
      <c r="AE39" s="14">
        <v>71.381229277777777</v>
      </c>
      <c r="AF39" s="14">
        <v>71.915999277777772</v>
      </c>
      <c r="AG39" s="14">
        <v>72.81388927777779</v>
      </c>
      <c r="AH39" s="14">
        <v>76.011959277777777</v>
      </c>
      <c r="AI39" s="15">
        <v>88.963869148288893</v>
      </c>
      <c r="AJ39" s="14">
        <v>71.160059290719445</v>
      </c>
      <c r="AK39" s="14">
        <v>71.160059290719445</v>
      </c>
      <c r="AL39" s="14">
        <v>71.160059290719445</v>
      </c>
      <c r="AM39" s="14">
        <v>71.160059290719445</v>
      </c>
      <c r="AN39" s="14">
        <v>82.566279222222221</v>
      </c>
      <c r="AO39" s="14">
        <v>82.258649222222232</v>
      </c>
      <c r="AP39" s="14">
        <v>77.354339222222222</v>
      </c>
      <c r="AQ39" s="14">
        <v>72.573829277777776</v>
      </c>
      <c r="AR39" s="14">
        <v>76.011959277777777</v>
      </c>
      <c r="AS39" s="14">
        <v>88.963869148288893</v>
      </c>
    </row>
    <row r="40" spans="1:45" x14ac:dyDescent="0.35">
      <c r="A40" s="15">
        <v>925.22344800000008</v>
      </c>
      <c r="B40" s="14">
        <v>4.1684888277777787</v>
      </c>
      <c r="C40" s="14">
        <v>4.1463438277777778</v>
      </c>
      <c r="D40" s="14">
        <v>9.4577977833333353</v>
      </c>
      <c r="E40" s="14">
        <v>49.667909444444447</v>
      </c>
      <c r="F40" s="14">
        <v>81.712459222222208</v>
      </c>
      <c r="G40" s="14">
        <v>82.268469222222222</v>
      </c>
      <c r="H40" s="14">
        <v>77.442809222222238</v>
      </c>
      <c r="I40" s="14">
        <v>72.551499277777779</v>
      </c>
      <c r="J40" s="14">
        <v>69.533509277777796</v>
      </c>
      <c r="K40" s="14">
        <v>69.185459333333341</v>
      </c>
      <c r="L40" s="14">
        <v>69.671029277777791</v>
      </c>
      <c r="M40" s="14">
        <v>70.328749277777789</v>
      </c>
      <c r="N40" s="14">
        <v>71.303499277777789</v>
      </c>
      <c r="O40" s="14">
        <v>71.847389277777793</v>
      </c>
      <c r="P40" s="14">
        <v>72.737579277777783</v>
      </c>
      <c r="Q40" s="14">
        <v>75.946529277777771</v>
      </c>
      <c r="R40" s="15">
        <v>88.898199148813887</v>
      </c>
      <c r="S40" s="14">
        <v>57.737079398103333</v>
      </c>
      <c r="T40" s="14">
        <v>57.737079398103333</v>
      </c>
      <c r="U40" s="14">
        <v>57.737079398103333</v>
      </c>
      <c r="V40" s="14">
        <v>57.737079398103333</v>
      </c>
      <c r="W40" s="14">
        <v>81.712459222222208</v>
      </c>
      <c r="X40" s="14">
        <v>82.268469222222222</v>
      </c>
      <c r="Y40" s="14">
        <v>77.442809222222238</v>
      </c>
      <c r="Z40" s="14">
        <v>72.551499277777779</v>
      </c>
      <c r="AA40" s="14">
        <v>69.533509277777796</v>
      </c>
      <c r="AB40" s="14">
        <v>69.185459333333341</v>
      </c>
      <c r="AC40" s="14">
        <v>69.671029277777791</v>
      </c>
      <c r="AD40" s="14">
        <v>70.328749277777789</v>
      </c>
      <c r="AE40" s="14">
        <v>71.303499277777789</v>
      </c>
      <c r="AF40" s="14">
        <v>71.847389277777793</v>
      </c>
      <c r="AG40" s="14">
        <v>72.737579277777783</v>
      </c>
      <c r="AH40" s="14">
        <v>75.946529277777771</v>
      </c>
      <c r="AI40" s="15">
        <v>88.898199148813887</v>
      </c>
      <c r="AJ40" s="14">
        <v>71.121429291028335</v>
      </c>
      <c r="AK40" s="14">
        <v>71.121429291028335</v>
      </c>
      <c r="AL40" s="14">
        <v>71.121429291028335</v>
      </c>
      <c r="AM40" s="14">
        <v>71.121429291028335</v>
      </c>
      <c r="AN40" s="14">
        <v>81.712459222222208</v>
      </c>
      <c r="AO40" s="14">
        <v>82.268469222222222</v>
      </c>
      <c r="AP40" s="14">
        <v>77.442809222222238</v>
      </c>
      <c r="AQ40" s="14">
        <v>72.551499277777779</v>
      </c>
      <c r="AR40" s="14">
        <v>75.946529277777771</v>
      </c>
      <c r="AS40" s="14">
        <v>88.898199148813887</v>
      </c>
    </row>
    <row r="41" spans="1:45" x14ac:dyDescent="0.35">
      <c r="A41" s="15">
        <v>963.3234480000001</v>
      </c>
      <c r="B41" s="14">
        <v>4.1683058277777798</v>
      </c>
      <c r="C41" s="14">
        <v>4.1469888277777791</v>
      </c>
      <c r="D41" s="14">
        <v>8.7678757888888885</v>
      </c>
      <c r="E41" s="14">
        <v>46.571119500000002</v>
      </c>
      <c r="F41" s="14">
        <v>80.749889222222222</v>
      </c>
      <c r="G41" s="14">
        <v>82.257679222222222</v>
      </c>
      <c r="H41" s="14">
        <v>77.517999222222215</v>
      </c>
      <c r="I41" s="14">
        <v>72.534709277777765</v>
      </c>
      <c r="J41" s="14">
        <v>69.53109927777777</v>
      </c>
      <c r="K41" s="14">
        <v>69.12484933333333</v>
      </c>
      <c r="L41" s="14">
        <v>69.602919277777772</v>
      </c>
      <c r="M41" s="14">
        <v>70.257499277777768</v>
      </c>
      <c r="N41" s="14">
        <v>71.227389277777775</v>
      </c>
      <c r="O41" s="14">
        <v>71.779529277777783</v>
      </c>
      <c r="P41" s="14">
        <v>72.662459277777771</v>
      </c>
      <c r="Q41" s="14">
        <v>75.882069277777774</v>
      </c>
      <c r="R41" s="15">
        <v>88.833289149333325</v>
      </c>
      <c r="S41" s="14">
        <v>57.680209398557786</v>
      </c>
      <c r="T41" s="14">
        <v>57.680209398557786</v>
      </c>
      <c r="U41" s="14">
        <v>57.680209398557786</v>
      </c>
      <c r="V41" s="14">
        <v>57.680209398557786</v>
      </c>
      <c r="W41" s="14">
        <v>80.749889222222222</v>
      </c>
      <c r="X41" s="14">
        <v>82.257679222222222</v>
      </c>
      <c r="Y41" s="14">
        <v>77.517999222222215</v>
      </c>
      <c r="Z41" s="14">
        <v>72.534709277777765</v>
      </c>
      <c r="AA41" s="14">
        <v>69.53109927777777</v>
      </c>
      <c r="AB41" s="14">
        <v>69.12484933333333</v>
      </c>
      <c r="AC41" s="14">
        <v>69.602919277777772</v>
      </c>
      <c r="AD41" s="14">
        <v>70.257499277777768</v>
      </c>
      <c r="AE41" s="14">
        <v>71.227389277777775</v>
      </c>
      <c r="AF41" s="14">
        <v>71.779529277777783</v>
      </c>
      <c r="AG41" s="14">
        <v>72.662459277777771</v>
      </c>
      <c r="AH41" s="14">
        <v>75.882069277777774</v>
      </c>
      <c r="AI41" s="15">
        <v>88.833289149333325</v>
      </c>
      <c r="AJ41" s="14">
        <v>71.060839291512764</v>
      </c>
      <c r="AK41" s="14">
        <v>71.060839291512764</v>
      </c>
      <c r="AL41" s="14">
        <v>71.060839291512764</v>
      </c>
      <c r="AM41" s="14">
        <v>71.060839291512764</v>
      </c>
      <c r="AN41" s="14">
        <v>80.749889222222222</v>
      </c>
      <c r="AO41" s="14">
        <v>82.257679222222222</v>
      </c>
      <c r="AP41" s="14">
        <v>77.517999222222215</v>
      </c>
      <c r="AQ41" s="14">
        <v>72.534709277777765</v>
      </c>
      <c r="AR41" s="14">
        <v>75.882069277777774</v>
      </c>
      <c r="AS41" s="14">
        <v>88.833289149333325</v>
      </c>
    </row>
    <row r="42" spans="1:45" x14ac:dyDescent="0.35">
      <c r="A42" s="15">
        <v>1001.4234480000001</v>
      </c>
      <c r="B42" s="14">
        <v>4.16810382777778</v>
      </c>
      <c r="C42" s="14">
        <v>4.1478848277777773</v>
      </c>
      <c r="D42" s="14">
        <v>8.1625567944444448</v>
      </c>
      <c r="E42" s="14">
        <v>43.6028795</v>
      </c>
      <c r="F42" s="14">
        <v>79.674959222222213</v>
      </c>
      <c r="G42" s="14">
        <v>82.224509222222224</v>
      </c>
      <c r="H42" s="14">
        <v>77.579879222222232</v>
      </c>
      <c r="I42" s="14">
        <v>72.522949277777769</v>
      </c>
      <c r="J42" s="14">
        <v>69.531519277777775</v>
      </c>
      <c r="K42" s="14">
        <v>69.063879333333333</v>
      </c>
      <c r="L42" s="14">
        <v>69.534969277777776</v>
      </c>
      <c r="M42" s="14">
        <v>70.186029277777777</v>
      </c>
      <c r="N42" s="14">
        <v>71.152189277777779</v>
      </c>
      <c r="O42" s="14">
        <v>71.711679277777776</v>
      </c>
      <c r="P42" s="14">
        <v>72.587829277777772</v>
      </c>
      <c r="Q42" s="14">
        <v>75.817899277777784</v>
      </c>
      <c r="R42" s="15">
        <v>88.768419149852221</v>
      </c>
      <c r="S42" s="14">
        <v>57.639089398887222</v>
      </c>
      <c r="T42" s="14">
        <v>57.639089398887222</v>
      </c>
      <c r="U42" s="14">
        <v>57.639089398887222</v>
      </c>
      <c r="V42" s="14">
        <v>57.639089398887222</v>
      </c>
      <c r="W42" s="14">
        <v>79.674959222222213</v>
      </c>
      <c r="X42" s="14">
        <v>82.224509222222224</v>
      </c>
      <c r="Y42" s="14">
        <v>77.579879222222232</v>
      </c>
      <c r="Z42" s="14">
        <v>72.522949277777769</v>
      </c>
      <c r="AA42" s="14">
        <v>69.531519277777775</v>
      </c>
      <c r="AB42" s="14">
        <v>69.063879333333333</v>
      </c>
      <c r="AC42" s="14">
        <v>69.534969277777776</v>
      </c>
      <c r="AD42" s="14">
        <v>70.186029277777777</v>
      </c>
      <c r="AE42" s="14">
        <v>71.152189277777779</v>
      </c>
      <c r="AF42" s="14">
        <v>71.711679277777776</v>
      </c>
      <c r="AG42" s="14">
        <v>72.587829277777772</v>
      </c>
      <c r="AH42" s="14">
        <v>75.817899277777784</v>
      </c>
      <c r="AI42" s="15">
        <v>88.768419149852221</v>
      </c>
      <c r="AJ42" s="14">
        <v>71.009259291925559</v>
      </c>
      <c r="AK42" s="14">
        <v>71.009259291925559</v>
      </c>
      <c r="AL42" s="14">
        <v>71.009259291925559</v>
      </c>
      <c r="AM42" s="14">
        <v>71.009259291925559</v>
      </c>
      <c r="AN42" s="14">
        <v>79.674959222222213</v>
      </c>
      <c r="AO42" s="14">
        <v>82.224509222222224</v>
      </c>
      <c r="AP42" s="14">
        <v>77.579879222222232</v>
      </c>
      <c r="AQ42" s="14">
        <v>72.522949277777769</v>
      </c>
      <c r="AR42" s="14">
        <v>75.817899277777784</v>
      </c>
      <c r="AS42" s="14">
        <v>88.768419149852221</v>
      </c>
    </row>
    <row r="43" spans="1:45" x14ac:dyDescent="0.35">
      <c r="A43" s="15">
        <v>1039.5234480000001</v>
      </c>
      <c r="B43" s="14">
        <v>4.1681668277777781</v>
      </c>
      <c r="C43" s="14">
        <v>4.148802827777776</v>
      </c>
      <c r="D43" s="14">
        <v>7.6332288000000013</v>
      </c>
      <c r="E43" s="14">
        <v>40.771289555555555</v>
      </c>
      <c r="F43" s="14">
        <v>78.48192922222222</v>
      </c>
      <c r="G43" s="14">
        <v>82.167649222222224</v>
      </c>
      <c r="H43" s="14">
        <v>77.629129222222232</v>
      </c>
      <c r="I43" s="14">
        <v>72.51629927777779</v>
      </c>
      <c r="J43" s="14">
        <v>69.534629277777782</v>
      </c>
      <c r="K43" s="14">
        <v>69.002539333333345</v>
      </c>
      <c r="L43" s="14">
        <v>69.467189277777777</v>
      </c>
      <c r="M43" s="14">
        <v>70.114379277777772</v>
      </c>
      <c r="N43" s="14">
        <v>71.077869277777779</v>
      </c>
      <c r="O43" s="14">
        <v>71.643839277777772</v>
      </c>
      <c r="P43" s="14">
        <v>72.513709277777764</v>
      </c>
      <c r="Q43" s="14">
        <v>75.754019277777772</v>
      </c>
      <c r="R43" s="15">
        <v>88.703539150371114</v>
      </c>
      <c r="S43" s="14">
        <v>57.607439399139999</v>
      </c>
      <c r="T43" s="14">
        <v>57.607439399139999</v>
      </c>
      <c r="U43" s="14">
        <v>57.607439399139999</v>
      </c>
      <c r="V43" s="14">
        <v>57.607439399139999</v>
      </c>
      <c r="W43" s="14">
        <v>78.48192922222222</v>
      </c>
      <c r="X43" s="14">
        <v>82.167649222222224</v>
      </c>
      <c r="Y43" s="14">
        <v>77.629129222222232</v>
      </c>
      <c r="Z43" s="14">
        <v>72.51629927777779</v>
      </c>
      <c r="AA43" s="14">
        <v>69.534629277777782</v>
      </c>
      <c r="AB43" s="14">
        <v>69.002539333333345</v>
      </c>
      <c r="AC43" s="14">
        <v>69.467189277777777</v>
      </c>
      <c r="AD43" s="14">
        <v>70.114379277777772</v>
      </c>
      <c r="AE43" s="14">
        <v>71.077869277777779</v>
      </c>
      <c r="AF43" s="14">
        <v>71.643839277777772</v>
      </c>
      <c r="AG43" s="14">
        <v>72.513709277777764</v>
      </c>
      <c r="AH43" s="14">
        <v>75.754019277777772</v>
      </c>
      <c r="AI43" s="15">
        <v>88.703539150371114</v>
      </c>
      <c r="AJ43" s="14">
        <v>70.963149292294432</v>
      </c>
      <c r="AK43" s="14">
        <v>70.963149292294432</v>
      </c>
      <c r="AL43" s="14">
        <v>70.963149292294432</v>
      </c>
      <c r="AM43" s="14">
        <v>70.963149292294432</v>
      </c>
      <c r="AN43" s="14">
        <v>78.48192922222222</v>
      </c>
      <c r="AO43" s="14">
        <v>82.167649222222224</v>
      </c>
      <c r="AP43" s="14">
        <v>77.629129222222232</v>
      </c>
      <c r="AQ43" s="14">
        <v>72.51629927777779</v>
      </c>
      <c r="AR43" s="14">
        <v>75.754019277777772</v>
      </c>
      <c r="AS43" s="14">
        <v>88.703539150371114</v>
      </c>
    </row>
    <row r="44" spans="1:45" x14ac:dyDescent="0.35">
      <c r="A44" s="15">
        <v>1077.6234480000001</v>
      </c>
      <c r="B44" s="14">
        <v>4.1671658277777759</v>
      </c>
      <c r="C44" s="14">
        <v>4.1497758277777779</v>
      </c>
      <c r="D44" s="14">
        <v>7.1697388000000002</v>
      </c>
      <c r="E44" s="14">
        <v>38.080629555555554</v>
      </c>
      <c r="F44" s="14">
        <v>77.169189222222215</v>
      </c>
      <c r="G44" s="14">
        <v>82.085859222222226</v>
      </c>
      <c r="H44" s="14">
        <v>77.666449222222226</v>
      </c>
      <c r="I44" s="14">
        <v>72.514709277777769</v>
      </c>
      <c r="J44" s="14">
        <v>69.540209277777777</v>
      </c>
      <c r="K44" s="14">
        <v>68.940799333333345</v>
      </c>
      <c r="L44" s="14">
        <v>69.399499277777778</v>
      </c>
      <c r="M44" s="14">
        <v>70.042349277777774</v>
      </c>
      <c r="N44" s="14">
        <v>71.004369277777784</v>
      </c>
      <c r="O44" s="14">
        <v>71.575949277777781</v>
      </c>
      <c r="P44" s="14">
        <v>72.440059277777777</v>
      </c>
      <c r="Q44" s="14">
        <v>75.690369277777776</v>
      </c>
      <c r="R44" s="15">
        <v>88.638549150891123</v>
      </c>
      <c r="S44" s="14">
        <v>57.556939399544454</v>
      </c>
      <c r="T44" s="14">
        <v>57.556939399544454</v>
      </c>
      <c r="U44" s="14">
        <v>57.556939399544454</v>
      </c>
      <c r="V44" s="14">
        <v>57.556939399544454</v>
      </c>
      <c r="W44" s="14">
        <v>77.169189222222215</v>
      </c>
      <c r="X44" s="14">
        <v>82.085859222222226</v>
      </c>
      <c r="Y44" s="14">
        <v>77.666449222222226</v>
      </c>
      <c r="Z44" s="14">
        <v>72.514709277777769</v>
      </c>
      <c r="AA44" s="14">
        <v>69.540209277777777</v>
      </c>
      <c r="AB44" s="14">
        <v>68.940799333333345</v>
      </c>
      <c r="AC44" s="14">
        <v>69.399499277777778</v>
      </c>
      <c r="AD44" s="14">
        <v>70.042349277777774</v>
      </c>
      <c r="AE44" s="14">
        <v>71.004369277777784</v>
      </c>
      <c r="AF44" s="14">
        <v>71.575949277777781</v>
      </c>
      <c r="AG44" s="14">
        <v>72.440059277777777</v>
      </c>
      <c r="AH44" s="14">
        <v>75.690369277777776</v>
      </c>
      <c r="AI44" s="15">
        <v>88.638549150891123</v>
      </c>
      <c r="AJ44" s="14">
        <v>70.906199292749989</v>
      </c>
      <c r="AK44" s="14">
        <v>70.906199292749989</v>
      </c>
      <c r="AL44" s="14">
        <v>70.906199292749989</v>
      </c>
      <c r="AM44" s="14">
        <v>70.906199292749989</v>
      </c>
      <c r="AN44" s="14">
        <v>77.169189222222215</v>
      </c>
      <c r="AO44" s="14">
        <v>82.085859222222226</v>
      </c>
      <c r="AP44" s="14">
        <v>77.666449222222226</v>
      </c>
      <c r="AQ44" s="14">
        <v>72.514709277777769</v>
      </c>
      <c r="AR44" s="14">
        <v>75.690369277777776</v>
      </c>
      <c r="AS44" s="14">
        <v>88.638549150891123</v>
      </c>
    </row>
    <row r="45" spans="1:45" x14ac:dyDescent="0.35">
      <c r="A45" s="15">
        <v>1115.7234480000002</v>
      </c>
      <c r="B45" s="14">
        <v>4.1673088277777772</v>
      </c>
      <c r="C45" s="14">
        <v>4.1508588277777783</v>
      </c>
      <c r="D45" s="14">
        <v>6.7632568055555549</v>
      </c>
      <c r="E45" s="14">
        <v>35.533059577777777</v>
      </c>
      <c r="F45" s="14">
        <v>75.734019277777776</v>
      </c>
      <c r="G45" s="14">
        <v>81.97798922222222</v>
      </c>
      <c r="H45" s="14">
        <v>77.692659222222218</v>
      </c>
      <c r="I45" s="14">
        <v>72.518159277777784</v>
      </c>
      <c r="J45" s="14">
        <v>69.548099277777794</v>
      </c>
      <c r="K45" s="14">
        <v>68.878669333333335</v>
      </c>
      <c r="L45" s="14">
        <v>69.331899277777779</v>
      </c>
      <c r="M45" s="14">
        <v>69.970119277777783</v>
      </c>
      <c r="N45" s="14">
        <v>70.931669277777772</v>
      </c>
      <c r="O45" s="14">
        <v>71.50799927777777</v>
      </c>
      <c r="P45" s="14">
        <v>72.366869277777766</v>
      </c>
      <c r="Q45" s="14">
        <v>75.626949277777783</v>
      </c>
      <c r="R45" s="15">
        <v>88.573469151411658</v>
      </c>
      <c r="S45" s="14">
        <v>57.53773939969777</v>
      </c>
      <c r="T45" s="14">
        <v>57.53773939969777</v>
      </c>
      <c r="U45" s="14">
        <v>57.53773939969777</v>
      </c>
      <c r="V45" s="14">
        <v>57.53773939969777</v>
      </c>
      <c r="W45" s="14">
        <v>75.734019277777776</v>
      </c>
      <c r="X45" s="14">
        <v>81.97798922222222</v>
      </c>
      <c r="Y45" s="14">
        <v>77.692659222222218</v>
      </c>
      <c r="Z45" s="14">
        <v>72.518159277777784</v>
      </c>
      <c r="AA45" s="14">
        <v>69.548099277777794</v>
      </c>
      <c r="AB45" s="14">
        <v>68.878669333333335</v>
      </c>
      <c r="AC45" s="14">
        <v>69.331899277777779</v>
      </c>
      <c r="AD45" s="14">
        <v>69.970119277777783</v>
      </c>
      <c r="AE45" s="14">
        <v>70.931669277777772</v>
      </c>
      <c r="AF45" s="14">
        <v>71.50799927777777</v>
      </c>
      <c r="AG45" s="14">
        <v>72.366869277777766</v>
      </c>
      <c r="AH45" s="14">
        <v>75.626949277777783</v>
      </c>
      <c r="AI45" s="15">
        <v>88.573469151411658</v>
      </c>
      <c r="AJ45" s="14">
        <v>70.869249293045556</v>
      </c>
      <c r="AK45" s="14">
        <v>70.869249293045556</v>
      </c>
      <c r="AL45" s="14">
        <v>70.869249293045556</v>
      </c>
      <c r="AM45" s="14">
        <v>70.869249293045556</v>
      </c>
      <c r="AN45" s="14">
        <v>75.734019277777776</v>
      </c>
      <c r="AO45" s="14">
        <v>81.97798922222222</v>
      </c>
      <c r="AP45" s="14">
        <v>77.692659222222218</v>
      </c>
      <c r="AQ45" s="14">
        <v>72.518159277777784</v>
      </c>
      <c r="AR45" s="14">
        <v>75.626949277777783</v>
      </c>
      <c r="AS45" s="14">
        <v>88.573469151411658</v>
      </c>
    </row>
    <row r="46" spans="1:45" x14ac:dyDescent="0.35">
      <c r="A46" s="15">
        <v>1153.8234480000001</v>
      </c>
      <c r="B46" s="14">
        <v>4.1653538277777793</v>
      </c>
      <c r="C46" s="14">
        <v>4.1520698277777788</v>
      </c>
      <c r="D46" s="14">
        <v>6.40590281111111</v>
      </c>
      <c r="E46" s="14">
        <v>33.128149594444444</v>
      </c>
      <c r="F46" s="14">
        <v>74.179089277777791</v>
      </c>
      <c r="G46" s="14">
        <v>81.843389222222228</v>
      </c>
      <c r="H46" s="14">
        <v>77.708989222222215</v>
      </c>
      <c r="I46" s="14">
        <v>72.526949277777774</v>
      </c>
      <c r="J46" s="14">
        <v>69.558479277777778</v>
      </c>
      <c r="K46" s="14">
        <v>68.816559333333331</v>
      </c>
      <c r="L46" s="14">
        <v>69.26475933333333</v>
      </c>
      <c r="M46" s="14">
        <v>69.898229277777787</v>
      </c>
      <c r="N46" s="14">
        <v>70.860099277777778</v>
      </c>
      <c r="O46" s="14">
        <v>71.440389277777783</v>
      </c>
      <c r="P46" s="14">
        <v>72.294309277777785</v>
      </c>
      <c r="Q46" s="14">
        <v>75.564159277777776</v>
      </c>
      <c r="R46" s="15">
        <v>88.508709151930006</v>
      </c>
      <c r="S46" s="14">
        <v>57.475159400198336</v>
      </c>
      <c r="T46" s="14">
        <v>57.475159400198336</v>
      </c>
      <c r="U46" s="14">
        <v>57.475159400198336</v>
      </c>
      <c r="V46" s="14">
        <v>57.475159400198336</v>
      </c>
      <c r="W46" s="14">
        <v>74.179089277777791</v>
      </c>
      <c r="X46" s="14">
        <v>81.843389222222228</v>
      </c>
      <c r="Y46" s="14">
        <v>77.708989222222215</v>
      </c>
      <c r="Z46" s="14">
        <v>72.526949277777774</v>
      </c>
      <c r="AA46" s="14">
        <v>69.558479277777778</v>
      </c>
      <c r="AB46" s="14">
        <v>68.816559333333331</v>
      </c>
      <c r="AC46" s="14">
        <v>69.26475933333333</v>
      </c>
      <c r="AD46" s="14">
        <v>69.898229277777787</v>
      </c>
      <c r="AE46" s="14">
        <v>70.860099277777778</v>
      </c>
      <c r="AF46" s="14">
        <v>71.440389277777783</v>
      </c>
      <c r="AG46" s="14">
        <v>72.294309277777785</v>
      </c>
      <c r="AH46" s="14">
        <v>75.564159277777776</v>
      </c>
      <c r="AI46" s="15">
        <v>88.508709151930006</v>
      </c>
      <c r="AJ46" s="14">
        <v>70.80399929356777</v>
      </c>
      <c r="AK46" s="14">
        <v>70.80399929356777</v>
      </c>
      <c r="AL46" s="14">
        <v>70.80399929356777</v>
      </c>
      <c r="AM46" s="14">
        <v>70.80399929356777</v>
      </c>
      <c r="AN46" s="14">
        <v>74.179089277777791</v>
      </c>
      <c r="AO46" s="14">
        <v>81.843389222222228</v>
      </c>
      <c r="AP46" s="14">
        <v>77.708989222222215</v>
      </c>
      <c r="AQ46" s="14">
        <v>72.526949277777774</v>
      </c>
      <c r="AR46" s="14">
        <v>75.564159277777776</v>
      </c>
      <c r="AS46" s="14">
        <v>88.508709151930006</v>
      </c>
    </row>
    <row r="47" spans="1:45" x14ac:dyDescent="0.35">
      <c r="A47" s="15">
        <v>1191.9234480000002</v>
      </c>
      <c r="B47" s="14">
        <v>4.1660818277777762</v>
      </c>
      <c r="C47" s="14">
        <v>4.1534238277777762</v>
      </c>
      <c r="D47" s="14">
        <v>6.0925748111111098</v>
      </c>
      <c r="E47" s="14">
        <v>30.864789611111114</v>
      </c>
      <c r="F47" s="14">
        <v>72.50681927777778</v>
      </c>
      <c r="G47" s="14">
        <v>81.68097922222222</v>
      </c>
      <c r="H47" s="14">
        <v>77.716309222222236</v>
      </c>
      <c r="I47" s="14">
        <v>72.54097927777778</v>
      </c>
      <c r="J47" s="14">
        <v>69.571119277777768</v>
      </c>
      <c r="K47" s="14">
        <v>68.754519333333334</v>
      </c>
      <c r="L47" s="14">
        <v>69.198069333333336</v>
      </c>
      <c r="M47" s="14">
        <v>69.82670927777778</v>
      </c>
      <c r="N47" s="14">
        <v>70.789649277777769</v>
      </c>
      <c r="O47" s="14">
        <v>71.373119277777789</v>
      </c>
      <c r="P47" s="14">
        <v>72.22262927777777</v>
      </c>
      <c r="Q47" s="14">
        <v>75.501989277777781</v>
      </c>
      <c r="R47" s="15">
        <v>88.444319152445004</v>
      </c>
      <c r="S47" s="14">
        <v>57.465299400277232</v>
      </c>
      <c r="T47" s="14">
        <v>57.465299400277232</v>
      </c>
      <c r="U47" s="14">
        <v>57.465299400277232</v>
      </c>
      <c r="V47" s="14">
        <v>57.465299400277232</v>
      </c>
      <c r="W47" s="14">
        <v>72.50681927777778</v>
      </c>
      <c r="X47" s="14">
        <v>81.68097922222222</v>
      </c>
      <c r="Y47" s="14">
        <v>77.716309222222236</v>
      </c>
      <c r="Z47" s="14">
        <v>72.54097927777778</v>
      </c>
      <c r="AA47" s="14">
        <v>69.571119277777768</v>
      </c>
      <c r="AB47" s="14">
        <v>68.754519333333334</v>
      </c>
      <c r="AC47" s="14">
        <v>69.198069333333336</v>
      </c>
      <c r="AD47" s="14">
        <v>69.82670927777778</v>
      </c>
      <c r="AE47" s="14">
        <v>70.789649277777769</v>
      </c>
      <c r="AF47" s="14">
        <v>71.373119277777789</v>
      </c>
      <c r="AG47" s="14">
        <v>72.22262927777777</v>
      </c>
      <c r="AH47" s="14">
        <v>75.501989277777781</v>
      </c>
      <c r="AI47" s="15">
        <v>88.444319152445004</v>
      </c>
      <c r="AJ47" s="14">
        <v>70.774439293804434</v>
      </c>
      <c r="AK47" s="14">
        <v>70.774439293804434</v>
      </c>
      <c r="AL47" s="14">
        <v>70.774439293804434</v>
      </c>
      <c r="AM47" s="14">
        <v>70.774439293804434</v>
      </c>
      <c r="AN47" s="14">
        <v>72.50681927777778</v>
      </c>
      <c r="AO47" s="14">
        <v>81.68097922222222</v>
      </c>
      <c r="AP47" s="14">
        <v>77.716309222222236</v>
      </c>
      <c r="AQ47" s="14">
        <v>72.54097927777778</v>
      </c>
      <c r="AR47" s="14">
        <v>75.501989277777781</v>
      </c>
      <c r="AS47" s="14">
        <v>88.444319152445004</v>
      </c>
    </row>
    <row r="48" spans="1:45" x14ac:dyDescent="0.35">
      <c r="A48" s="15">
        <v>1222.3272480000001</v>
      </c>
      <c r="B48" s="14">
        <v>4.1631498277777759</v>
      </c>
      <c r="C48" s="14">
        <v>4.1538838277777792</v>
      </c>
      <c r="D48" s="14">
        <v>5.92000281111111</v>
      </c>
      <c r="E48" s="14">
        <v>29.564389622222222</v>
      </c>
      <c r="F48" s="14">
        <v>71.46804927777778</v>
      </c>
      <c r="G48" s="14">
        <v>81.573999222222227</v>
      </c>
      <c r="H48" s="14">
        <v>77.717839222222224</v>
      </c>
      <c r="I48" s="14">
        <v>72.551369277777766</v>
      </c>
      <c r="J48" s="14">
        <v>69.579799277777781</v>
      </c>
      <c r="K48" s="14">
        <v>68.717969333333329</v>
      </c>
      <c r="L48" s="14">
        <v>69.158879333333331</v>
      </c>
      <c r="M48" s="14">
        <v>69.784629277777782</v>
      </c>
      <c r="N48" s="14">
        <v>70.748399277777779</v>
      </c>
      <c r="O48" s="14">
        <v>71.333489277777772</v>
      </c>
      <c r="P48" s="14">
        <v>72.180609277777791</v>
      </c>
      <c r="Q48" s="14">
        <v>75.465469277777785</v>
      </c>
      <c r="R48" s="15">
        <v>88.406309152748889</v>
      </c>
      <c r="S48" s="14">
        <v>57.432639400538882</v>
      </c>
      <c r="T48" s="14">
        <v>57.432639400538882</v>
      </c>
      <c r="U48" s="14">
        <v>57.432639400538882</v>
      </c>
      <c r="V48" s="14">
        <v>57.432639400538882</v>
      </c>
      <c r="W48" s="14">
        <v>71.46804927777778</v>
      </c>
      <c r="X48" s="14">
        <v>81.573999222222227</v>
      </c>
      <c r="Y48" s="14">
        <v>77.717839222222224</v>
      </c>
      <c r="Z48" s="14">
        <v>72.551369277777766</v>
      </c>
      <c r="AA48" s="14">
        <v>69.579799277777781</v>
      </c>
      <c r="AB48" s="14">
        <v>68.717969333333329</v>
      </c>
      <c r="AC48" s="14">
        <v>69.158879333333331</v>
      </c>
      <c r="AD48" s="14">
        <v>69.784629277777782</v>
      </c>
      <c r="AE48" s="14">
        <v>70.748399277777779</v>
      </c>
      <c r="AF48" s="14">
        <v>71.333489277777772</v>
      </c>
      <c r="AG48" s="14">
        <v>72.180609277777791</v>
      </c>
      <c r="AH48" s="14">
        <v>75.465469277777785</v>
      </c>
      <c r="AI48" s="15">
        <v>88.406309152748889</v>
      </c>
      <c r="AJ48" s="14">
        <v>70.73912929408668</v>
      </c>
      <c r="AK48" s="14">
        <v>70.73912929408668</v>
      </c>
      <c r="AL48" s="14">
        <v>70.73912929408668</v>
      </c>
      <c r="AM48" s="14">
        <v>70.73912929408668</v>
      </c>
      <c r="AN48" s="14">
        <v>71.46804927777778</v>
      </c>
      <c r="AO48" s="14">
        <v>81.573999222222227</v>
      </c>
      <c r="AP48" s="14">
        <v>77.717839222222224</v>
      </c>
      <c r="AQ48" s="14">
        <v>72.551369277777766</v>
      </c>
      <c r="AR48" s="14">
        <v>75.465469277777785</v>
      </c>
      <c r="AS48" s="14">
        <v>88.406309152748889</v>
      </c>
    </row>
    <row r="49" spans="1:45" x14ac:dyDescent="0.35">
      <c r="A49" s="15">
        <v>1245.0348480000002</v>
      </c>
      <c r="B49" s="14">
        <v>4.163017827777777</v>
      </c>
      <c r="C49" s="14">
        <v>4.1534558277777798</v>
      </c>
      <c r="D49" s="14">
        <v>5.7599428166666655</v>
      </c>
      <c r="E49" s="14">
        <v>28.309869633333328</v>
      </c>
      <c r="F49" s="14">
        <v>70.38984927777777</v>
      </c>
      <c r="G49" s="14">
        <v>81.45498922222221</v>
      </c>
      <c r="H49" s="14">
        <v>77.714649222222221</v>
      </c>
      <c r="I49" s="14">
        <v>72.561689277777774</v>
      </c>
      <c r="J49" s="14">
        <v>69.587189277777782</v>
      </c>
      <c r="K49" s="14">
        <v>68.67946933333333</v>
      </c>
      <c r="L49" s="14">
        <v>69.117839333333322</v>
      </c>
      <c r="M49" s="14">
        <v>69.740689277777776</v>
      </c>
      <c r="N49" s="14">
        <v>70.705499277777776</v>
      </c>
      <c r="O49" s="14">
        <v>71.291969277777781</v>
      </c>
      <c r="P49" s="14">
        <v>72.136859277777774</v>
      </c>
      <c r="Q49" s="14">
        <v>75.427149277777787</v>
      </c>
      <c r="R49" s="15">
        <v>88.36638915306834</v>
      </c>
      <c r="S49" s="14">
        <v>57.376619400986655</v>
      </c>
      <c r="T49" s="14">
        <v>57.376619400986655</v>
      </c>
      <c r="U49" s="14">
        <v>57.376619400986655</v>
      </c>
      <c r="V49" s="14">
        <v>57.376619400986655</v>
      </c>
      <c r="W49" s="14">
        <v>70.38984927777777</v>
      </c>
      <c r="X49" s="14">
        <v>81.45498922222221</v>
      </c>
      <c r="Y49" s="14">
        <v>77.714649222222221</v>
      </c>
      <c r="Z49" s="14">
        <v>72.561689277777774</v>
      </c>
      <c r="AA49" s="14">
        <v>69.587189277777782</v>
      </c>
      <c r="AB49" s="14">
        <v>68.67946933333333</v>
      </c>
      <c r="AC49" s="14">
        <v>69.117839333333322</v>
      </c>
      <c r="AD49" s="14">
        <v>69.740689277777776</v>
      </c>
      <c r="AE49" s="14">
        <v>70.705499277777776</v>
      </c>
      <c r="AF49" s="14">
        <v>71.291969277777781</v>
      </c>
      <c r="AG49" s="14">
        <v>72.136859277777774</v>
      </c>
      <c r="AH49" s="14">
        <v>75.427149277777787</v>
      </c>
      <c r="AI49" s="15">
        <v>88.36638915306834</v>
      </c>
      <c r="AJ49" s="14">
        <v>70.685329294517217</v>
      </c>
      <c r="AK49" s="14">
        <v>70.685329294517217</v>
      </c>
      <c r="AL49" s="14">
        <v>70.685329294517217</v>
      </c>
      <c r="AM49" s="14">
        <v>70.685329294517217</v>
      </c>
      <c r="AN49" s="14">
        <v>70.685329294517217</v>
      </c>
      <c r="AO49" s="14">
        <v>81.45498922222221</v>
      </c>
      <c r="AP49" s="14">
        <v>77.714649222222221</v>
      </c>
      <c r="AQ49" s="14">
        <v>72.561689277777774</v>
      </c>
      <c r="AR49" s="14">
        <v>75.427149277777787</v>
      </c>
      <c r="AS49" s="14">
        <v>88.36638915306834</v>
      </c>
    </row>
    <row r="50" spans="1:45" x14ac:dyDescent="0.35">
      <c r="A50" s="15">
        <v>1275.4386480000001</v>
      </c>
      <c r="B50" s="14">
        <v>4.1628468277777761</v>
      </c>
      <c r="C50" s="14">
        <v>4.1530858277777778</v>
      </c>
      <c r="D50" s="14">
        <v>5.5246838166666654</v>
      </c>
      <c r="E50" s="14">
        <v>26.349729649999997</v>
      </c>
      <c r="F50" s="14">
        <v>68.477519333333333</v>
      </c>
      <c r="G50" s="14">
        <v>81.224059222222223</v>
      </c>
      <c r="H50" s="14">
        <v>77.701589222222225</v>
      </c>
      <c r="I50" s="14">
        <v>72.583459277777763</v>
      </c>
      <c r="J50" s="14">
        <v>69.600739277777791</v>
      </c>
      <c r="K50" s="14">
        <v>68.614399333333324</v>
      </c>
      <c r="L50" s="14">
        <v>69.048729333333341</v>
      </c>
      <c r="M50" s="14">
        <v>69.666809277777773</v>
      </c>
      <c r="N50" s="14">
        <v>70.633859277777773</v>
      </c>
      <c r="O50" s="14">
        <v>71.222019277777761</v>
      </c>
      <c r="P50" s="14">
        <v>72.063759277777791</v>
      </c>
      <c r="Q50" s="14">
        <v>75.362899277777785</v>
      </c>
      <c r="R50" s="15">
        <v>88.299319153604998</v>
      </c>
      <c r="S50" s="14">
        <v>57.342959401256117</v>
      </c>
      <c r="T50" s="14">
        <v>57.342959401256117</v>
      </c>
      <c r="U50" s="14">
        <v>57.342959401256117</v>
      </c>
      <c r="V50" s="14">
        <v>57.342959401256117</v>
      </c>
      <c r="W50" s="14">
        <v>68.477519333333333</v>
      </c>
      <c r="X50" s="14">
        <v>81.224059222222223</v>
      </c>
      <c r="Y50" s="14">
        <v>77.701589222222225</v>
      </c>
      <c r="Z50" s="14">
        <v>72.583459277777763</v>
      </c>
      <c r="AA50" s="14">
        <v>69.600739277777791</v>
      </c>
      <c r="AB50" s="14">
        <v>68.614399333333324</v>
      </c>
      <c r="AC50" s="14">
        <v>69.048729333333341</v>
      </c>
      <c r="AD50" s="14">
        <v>69.666809277777773</v>
      </c>
      <c r="AE50" s="14">
        <v>70.633859277777773</v>
      </c>
      <c r="AF50" s="14">
        <v>71.222019277777761</v>
      </c>
      <c r="AG50" s="14">
        <v>72.063759277777791</v>
      </c>
      <c r="AH50" s="14">
        <v>75.362899277777785</v>
      </c>
      <c r="AI50" s="15">
        <v>88.299319153604998</v>
      </c>
      <c r="AJ50" s="14">
        <v>70.639909294880553</v>
      </c>
      <c r="AK50" s="14">
        <v>70.639909294880553</v>
      </c>
      <c r="AL50" s="14">
        <v>70.639909294880553</v>
      </c>
      <c r="AM50" s="14">
        <v>70.639909294880553</v>
      </c>
      <c r="AN50" s="14">
        <v>70.639909294880553</v>
      </c>
      <c r="AO50" s="14">
        <v>81.224059222222223</v>
      </c>
      <c r="AP50" s="14">
        <v>77.701589222222225</v>
      </c>
      <c r="AQ50" s="14">
        <v>72.583459277777763</v>
      </c>
      <c r="AR50" s="14">
        <v>75.362899277777785</v>
      </c>
      <c r="AS50" s="14">
        <v>88.299319153604998</v>
      </c>
    </row>
    <row r="51" spans="1:45" x14ac:dyDescent="0.35">
      <c r="A51" s="15">
        <v>1313.5386480000002</v>
      </c>
      <c r="B51" s="14">
        <v>4.1718668277777757</v>
      </c>
      <c r="C51" s="14">
        <v>4.1537248277777765</v>
      </c>
      <c r="D51" s="14">
        <v>5.3189438166666667</v>
      </c>
      <c r="E51" s="14">
        <v>24.571679661111109</v>
      </c>
      <c r="F51" s="14">
        <v>66.475309333333328</v>
      </c>
      <c r="G51" s="14">
        <v>80.961899222222229</v>
      </c>
      <c r="H51" s="14">
        <v>77.682719222222232</v>
      </c>
      <c r="I51" s="14">
        <v>72.610579277777788</v>
      </c>
      <c r="J51" s="14">
        <v>69.616749277777785</v>
      </c>
      <c r="K51" s="14">
        <v>68.550489333333331</v>
      </c>
      <c r="L51" s="14">
        <v>68.980969333333334</v>
      </c>
      <c r="M51" s="14">
        <v>69.594369277777773</v>
      </c>
      <c r="N51" s="14">
        <v>70.564059277777773</v>
      </c>
      <c r="O51" s="14">
        <v>71.153319277777769</v>
      </c>
      <c r="P51" s="14">
        <v>71.992499277777767</v>
      </c>
      <c r="Q51" s="14">
        <v>75.300119277777782</v>
      </c>
      <c r="R51" s="15">
        <v>88.233539154131108</v>
      </c>
      <c r="S51" s="14">
        <v>57.329069401367228</v>
      </c>
      <c r="T51" s="14">
        <v>57.329069401367228</v>
      </c>
      <c r="U51" s="14">
        <v>57.329069401367228</v>
      </c>
      <c r="V51" s="14">
        <v>57.329069401367228</v>
      </c>
      <c r="W51" s="14">
        <v>66.475309333333328</v>
      </c>
      <c r="X51" s="14">
        <v>80.961899222222229</v>
      </c>
      <c r="Y51" s="14">
        <v>77.682719222222232</v>
      </c>
      <c r="Z51" s="14">
        <v>72.610579277777788</v>
      </c>
      <c r="AA51" s="14">
        <v>69.616749277777785</v>
      </c>
      <c r="AB51" s="14">
        <v>68.550489333333331</v>
      </c>
      <c r="AC51" s="14">
        <v>68.980969333333334</v>
      </c>
      <c r="AD51" s="14">
        <v>69.594369277777773</v>
      </c>
      <c r="AE51" s="14">
        <v>70.564059277777773</v>
      </c>
      <c r="AF51" s="14">
        <v>71.153319277777769</v>
      </c>
      <c r="AG51" s="14">
        <v>71.992499277777767</v>
      </c>
      <c r="AH51" s="14">
        <v>75.300119277777782</v>
      </c>
      <c r="AI51" s="15">
        <v>88.233539154131108</v>
      </c>
      <c r="AJ51" s="14">
        <v>70.607679295138325</v>
      </c>
      <c r="AK51" s="14">
        <v>70.607679295138325</v>
      </c>
      <c r="AL51" s="14">
        <v>70.607679295138325</v>
      </c>
      <c r="AM51" s="14">
        <v>70.607679295138325</v>
      </c>
      <c r="AN51" s="14">
        <v>70.607679295138325</v>
      </c>
      <c r="AO51" s="14">
        <v>80.961899222222229</v>
      </c>
      <c r="AP51" s="14">
        <v>77.682719222222232</v>
      </c>
      <c r="AQ51" s="14">
        <v>72.610579277777788</v>
      </c>
      <c r="AR51" s="14">
        <v>75.300119277777782</v>
      </c>
      <c r="AS51" s="14">
        <v>88.233539154131108</v>
      </c>
    </row>
    <row r="52" spans="1:45" x14ac:dyDescent="0.35">
      <c r="A52" s="15">
        <v>1343.9454960000003</v>
      </c>
      <c r="B52" s="14">
        <v>4.1618308277777771</v>
      </c>
      <c r="C52" s="14">
        <v>4.1533898277777777</v>
      </c>
      <c r="D52" s="14">
        <v>5.2052188166666689</v>
      </c>
      <c r="E52" s="14">
        <v>23.55507967222222</v>
      </c>
      <c r="F52" s="14">
        <v>65.251829333333333</v>
      </c>
      <c r="G52" s="14">
        <v>80.793889222222219</v>
      </c>
      <c r="H52" s="14">
        <v>77.669329222222231</v>
      </c>
      <c r="I52" s="14">
        <v>72.628369277777765</v>
      </c>
      <c r="J52" s="14">
        <v>69.627019277777791</v>
      </c>
      <c r="K52" s="14">
        <v>68.512739333333329</v>
      </c>
      <c r="L52" s="14">
        <v>68.940969333333328</v>
      </c>
      <c r="M52" s="14">
        <v>69.551619277777775</v>
      </c>
      <c r="N52" s="14">
        <v>70.522989277777768</v>
      </c>
      <c r="O52" s="14">
        <v>71.112699277777764</v>
      </c>
      <c r="P52" s="14">
        <v>71.950559277777785</v>
      </c>
      <c r="Q52" s="14">
        <v>75.263069277777788</v>
      </c>
      <c r="R52" s="15">
        <v>88.194419154444461</v>
      </c>
      <c r="S52" s="14">
        <v>57.298799401609443</v>
      </c>
      <c r="T52" s="14">
        <v>57.298799401609443</v>
      </c>
      <c r="U52" s="14">
        <v>57.298799401609443</v>
      </c>
      <c r="V52" s="14">
        <v>57.298799401609443</v>
      </c>
      <c r="W52" s="14">
        <v>65.251829333333333</v>
      </c>
      <c r="X52" s="14">
        <v>80.793889222222219</v>
      </c>
      <c r="Y52" s="14">
        <v>77.669329222222231</v>
      </c>
      <c r="Z52" s="14">
        <v>72.628369277777765</v>
      </c>
      <c r="AA52" s="14">
        <v>69.627019277777791</v>
      </c>
      <c r="AB52" s="14">
        <v>68.512739333333329</v>
      </c>
      <c r="AC52" s="14">
        <v>68.940969333333328</v>
      </c>
      <c r="AD52" s="14">
        <v>69.551619277777775</v>
      </c>
      <c r="AE52" s="14">
        <v>70.522989277777768</v>
      </c>
      <c r="AF52" s="14">
        <v>71.112699277777764</v>
      </c>
      <c r="AG52" s="14">
        <v>71.950559277777785</v>
      </c>
      <c r="AH52" s="14">
        <v>75.263069277777788</v>
      </c>
      <c r="AI52" s="15">
        <v>88.194419154444461</v>
      </c>
      <c r="AJ52" s="14">
        <v>70.571829295425005</v>
      </c>
      <c r="AK52" s="14">
        <v>70.571829295425005</v>
      </c>
      <c r="AL52" s="14">
        <v>70.571829295425005</v>
      </c>
      <c r="AM52" s="14">
        <v>70.571829295425005</v>
      </c>
      <c r="AN52" s="14">
        <v>70.571829295425005</v>
      </c>
      <c r="AO52" s="14">
        <v>80.793889222222219</v>
      </c>
      <c r="AP52" s="14">
        <v>77.669329222222231</v>
      </c>
      <c r="AQ52" s="14">
        <v>72.628369277777765</v>
      </c>
      <c r="AR52" s="14">
        <v>75.263069277777788</v>
      </c>
      <c r="AS52" s="14">
        <v>88.194419154444461</v>
      </c>
    </row>
    <row r="53" spans="1:45" x14ac:dyDescent="0.35">
      <c r="A53" s="15">
        <v>1366.6591920000001</v>
      </c>
      <c r="B53" s="14">
        <v>4.1623778277777781</v>
      </c>
      <c r="C53" s="14">
        <v>4.1523658277777757</v>
      </c>
      <c r="D53" s="14">
        <v>5.0996398166666683</v>
      </c>
      <c r="E53" s="14">
        <v>22.581629677777773</v>
      </c>
      <c r="F53" s="14">
        <v>64.000059333333326</v>
      </c>
      <c r="G53" s="14">
        <v>80.612589222222226</v>
      </c>
      <c r="H53" s="14">
        <v>77.652189222222233</v>
      </c>
      <c r="I53" s="14">
        <v>72.645999277777776</v>
      </c>
      <c r="J53" s="14">
        <v>69.635909277777785</v>
      </c>
      <c r="K53" s="14">
        <v>68.473279333333338</v>
      </c>
      <c r="L53" s="14">
        <v>68.899269333333322</v>
      </c>
      <c r="M53" s="14">
        <v>69.507229277777782</v>
      </c>
      <c r="N53" s="14">
        <v>70.480369277777783</v>
      </c>
      <c r="O53" s="14">
        <v>71.07034927777778</v>
      </c>
      <c r="P53" s="14">
        <v>71.907079277777783</v>
      </c>
      <c r="Q53" s="14">
        <v>75.224389277777789</v>
      </c>
      <c r="R53" s="15">
        <v>88.153589154771126</v>
      </c>
      <c r="S53" s="14">
        <v>57.269919401840561</v>
      </c>
      <c r="T53" s="14">
        <v>57.269919401840561</v>
      </c>
      <c r="U53" s="14">
        <v>57.269919401840561</v>
      </c>
      <c r="V53" s="14">
        <v>57.269919401840561</v>
      </c>
      <c r="W53" s="14">
        <v>64.000059333333326</v>
      </c>
      <c r="X53" s="14">
        <v>80.612589222222226</v>
      </c>
      <c r="Y53" s="14">
        <v>77.652189222222233</v>
      </c>
      <c r="Z53" s="14">
        <v>72.645999277777776</v>
      </c>
      <c r="AA53" s="14">
        <v>69.635909277777785</v>
      </c>
      <c r="AB53" s="14">
        <v>68.473279333333338</v>
      </c>
      <c r="AC53" s="14">
        <v>68.899269333333322</v>
      </c>
      <c r="AD53" s="14">
        <v>69.507229277777782</v>
      </c>
      <c r="AE53" s="14">
        <v>70.480369277777783</v>
      </c>
      <c r="AF53" s="14">
        <v>71.07034927777778</v>
      </c>
      <c r="AG53" s="14">
        <v>71.907079277777783</v>
      </c>
      <c r="AH53" s="14">
        <v>75.224389277777789</v>
      </c>
      <c r="AI53" s="15">
        <v>88.153589154771126</v>
      </c>
      <c r="AJ53" s="14">
        <v>70.529929295760013</v>
      </c>
      <c r="AK53" s="14">
        <v>70.529929295760013</v>
      </c>
      <c r="AL53" s="14">
        <v>70.529929295760013</v>
      </c>
      <c r="AM53" s="14">
        <v>70.529929295760013</v>
      </c>
      <c r="AN53" s="14">
        <v>70.529929295760013</v>
      </c>
      <c r="AO53" s="14">
        <v>80.612589222222226</v>
      </c>
      <c r="AP53" s="14">
        <v>77.652189222222233</v>
      </c>
      <c r="AQ53" s="14">
        <v>72.645999277777776</v>
      </c>
      <c r="AR53" s="14">
        <v>75.224389277777789</v>
      </c>
      <c r="AS53" s="14">
        <v>88.153589154771126</v>
      </c>
    </row>
    <row r="54" spans="1:45" x14ac:dyDescent="0.35">
      <c r="A54" s="15">
        <v>1393.0274400000001</v>
      </c>
      <c r="B54" s="14">
        <v>4.1633578277777792</v>
      </c>
      <c r="C54" s="14">
        <v>4.1513828277777796</v>
      </c>
      <c r="D54" s="14">
        <v>4.9744308222222209</v>
      </c>
      <c r="E54" s="14">
        <v>21.365329688888885</v>
      </c>
      <c r="F54" s="14">
        <v>62.307669388888904</v>
      </c>
      <c r="G54" s="14">
        <v>80.351669222222228</v>
      </c>
      <c r="H54" s="14">
        <v>77.626049222222207</v>
      </c>
      <c r="I54" s="14">
        <v>72.671659277777778</v>
      </c>
      <c r="J54" s="14">
        <v>69.648079277777768</v>
      </c>
      <c r="K54" s="14">
        <v>68.421109333333334</v>
      </c>
      <c r="L54" s="14">
        <v>68.844119333333339</v>
      </c>
      <c r="M54" s="14">
        <v>69.448659277777779</v>
      </c>
      <c r="N54" s="14">
        <v>70.424279277777785</v>
      </c>
      <c r="O54" s="14">
        <v>71.014349277777768</v>
      </c>
      <c r="P54" s="14">
        <v>71.849909277777769</v>
      </c>
      <c r="Q54" s="14">
        <v>75.173409277777779</v>
      </c>
      <c r="R54" s="15">
        <v>88.099739155201675</v>
      </c>
      <c r="S54" s="14">
        <v>57.399529400803331</v>
      </c>
      <c r="T54" s="14">
        <v>57.399529400803331</v>
      </c>
      <c r="U54" s="14">
        <v>57.399529400803331</v>
      </c>
      <c r="V54" s="14">
        <v>57.399529400803331</v>
      </c>
      <c r="W54" s="14">
        <v>62.307669388888904</v>
      </c>
      <c r="X54" s="14">
        <v>80.351669222222228</v>
      </c>
      <c r="Y54" s="14">
        <v>77.626049222222207</v>
      </c>
      <c r="Z54" s="14">
        <v>72.671659277777778</v>
      </c>
      <c r="AA54" s="14">
        <v>69.648079277777768</v>
      </c>
      <c r="AB54" s="14">
        <v>68.421109333333334</v>
      </c>
      <c r="AC54" s="14">
        <v>68.844119333333339</v>
      </c>
      <c r="AD54" s="14">
        <v>69.448659277777779</v>
      </c>
      <c r="AE54" s="14">
        <v>70.424279277777785</v>
      </c>
      <c r="AF54" s="14">
        <v>71.014349277777768</v>
      </c>
      <c r="AG54" s="14">
        <v>71.849909277777769</v>
      </c>
      <c r="AH54" s="14">
        <v>75.173409277777779</v>
      </c>
      <c r="AI54" s="15">
        <v>88.099739155201675</v>
      </c>
      <c r="AJ54" s="14">
        <v>70.58888929528834</v>
      </c>
      <c r="AK54" s="14">
        <v>70.58888929528834</v>
      </c>
      <c r="AL54" s="14">
        <v>70.58888929528834</v>
      </c>
      <c r="AM54" s="14">
        <v>70.58888929528834</v>
      </c>
      <c r="AN54" s="14">
        <v>70.58888929528834</v>
      </c>
      <c r="AO54" s="14">
        <v>80.351669222222228</v>
      </c>
      <c r="AP54" s="14">
        <v>77.626049222222207</v>
      </c>
      <c r="AQ54" s="14">
        <v>72.671659277777778</v>
      </c>
      <c r="AR54" s="14">
        <v>75.173409277777779</v>
      </c>
      <c r="AS54" s="14">
        <v>88.099739155201675</v>
      </c>
    </row>
    <row r="55" spans="1:45" x14ac:dyDescent="0.35">
      <c r="A55" s="15">
        <v>1423.05024</v>
      </c>
      <c r="B55" s="14">
        <v>4.1623788277777782</v>
      </c>
      <c r="C55" s="14">
        <v>4.1505778277777789</v>
      </c>
      <c r="D55" s="14">
        <v>4.8622098222222236</v>
      </c>
      <c r="E55" s="14">
        <v>20.221019699999999</v>
      </c>
      <c r="F55" s="14">
        <v>60.585579388888895</v>
      </c>
      <c r="G55" s="14">
        <v>80.068939222222227</v>
      </c>
      <c r="H55" s="14">
        <v>77.597059222222228</v>
      </c>
      <c r="I55" s="14">
        <v>72.699909277777763</v>
      </c>
      <c r="J55" s="14">
        <v>69.661139277777764</v>
      </c>
      <c r="K55" s="14">
        <v>68.369549333333325</v>
      </c>
      <c r="L55" s="14">
        <v>68.789549333333326</v>
      </c>
      <c r="M55" s="14">
        <v>69.390809277777777</v>
      </c>
      <c r="N55" s="14">
        <v>70.369009277777778</v>
      </c>
      <c r="O55" s="14">
        <v>70.958919277777767</v>
      </c>
      <c r="P55" s="14">
        <v>71.793649277777774</v>
      </c>
      <c r="Q55" s="14">
        <v>75.123119277777789</v>
      </c>
      <c r="R55" s="15">
        <v>88.046519155627209</v>
      </c>
      <c r="S55" s="14">
        <v>57.186209402510002</v>
      </c>
      <c r="T55" s="14">
        <v>57.186209402510002</v>
      </c>
      <c r="U55" s="14">
        <v>57.186209402510002</v>
      </c>
      <c r="V55" s="14">
        <v>57.186209402510002</v>
      </c>
      <c r="W55" s="14">
        <v>60.585579388888895</v>
      </c>
      <c r="X55" s="14">
        <v>80.068939222222227</v>
      </c>
      <c r="Y55" s="14">
        <v>77.597059222222228</v>
      </c>
      <c r="Z55" s="14">
        <v>72.699909277777763</v>
      </c>
      <c r="AA55" s="14">
        <v>69.661139277777764</v>
      </c>
      <c r="AB55" s="14">
        <v>68.369549333333325</v>
      </c>
      <c r="AC55" s="14">
        <v>68.789549333333326</v>
      </c>
      <c r="AD55" s="14">
        <v>69.390809277777777</v>
      </c>
      <c r="AE55" s="14">
        <v>70.369009277777778</v>
      </c>
      <c r="AF55" s="14">
        <v>70.958919277777767</v>
      </c>
      <c r="AG55" s="14">
        <v>71.793649277777774</v>
      </c>
      <c r="AH55" s="14">
        <v>75.123119277777789</v>
      </c>
      <c r="AI55" s="15">
        <v>88.046519155627209</v>
      </c>
      <c r="AJ55" s="14">
        <v>70.445619296435012</v>
      </c>
      <c r="AK55" s="14">
        <v>70.445619296435012</v>
      </c>
      <c r="AL55" s="14">
        <v>70.445619296435012</v>
      </c>
      <c r="AM55" s="14">
        <v>70.445619296435012</v>
      </c>
      <c r="AN55" s="14">
        <v>70.445619296435012</v>
      </c>
      <c r="AO55" s="14">
        <v>80.068939222222227</v>
      </c>
      <c r="AP55" s="14">
        <v>77.597059222222228</v>
      </c>
      <c r="AQ55" s="14">
        <v>72.699909277777763</v>
      </c>
      <c r="AR55" s="14">
        <v>75.123119277777789</v>
      </c>
      <c r="AS55" s="14">
        <v>88.046519155627209</v>
      </c>
    </row>
    <row r="56" spans="1:45" x14ac:dyDescent="0.35">
      <c r="A56" s="15">
        <v>1449.4215360000001</v>
      </c>
      <c r="B56" s="14">
        <v>4.1627418277777766</v>
      </c>
      <c r="C56" s="14">
        <v>4.1497298277777777</v>
      </c>
      <c r="D56" s="14">
        <v>4.7838858222222234</v>
      </c>
      <c r="E56" s="14">
        <v>19.391929705555558</v>
      </c>
      <c r="F56" s="14">
        <v>59.268549388888886</v>
      </c>
      <c r="G56" s="14">
        <v>79.841669222222208</v>
      </c>
      <c r="H56" s="14">
        <v>77.573139222222224</v>
      </c>
      <c r="I56" s="14">
        <v>72.722279277777773</v>
      </c>
      <c r="J56" s="14">
        <v>69.671099277777785</v>
      </c>
      <c r="K56" s="14">
        <v>68.330529333333331</v>
      </c>
      <c r="L56" s="14">
        <v>68.748209333333335</v>
      </c>
      <c r="M56" s="14">
        <v>69.347069277777763</v>
      </c>
      <c r="N56" s="14">
        <v>70.327239277777778</v>
      </c>
      <c r="O56" s="14">
        <v>70.916889277777784</v>
      </c>
      <c r="P56" s="14">
        <v>71.751169277777777</v>
      </c>
      <c r="Q56" s="14">
        <v>75.085029277777778</v>
      </c>
      <c r="R56" s="15">
        <v>88.006129155950546</v>
      </c>
      <c r="S56" s="14">
        <v>57.160079402718893</v>
      </c>
      <c r="T56" s="14">
        <v>57.160079402718893</v>
      </c>
      <c r="U56" s="14">
        <v>57.160079402718893</v>
      </c>
      <c r="V56" s="14">
        <v>57.160079402718893</v>
      </c>
      <c r="W56" s="14">
        <v>59.268549388888886</v>
      </c>
      <c r="X56" s="14">
        <v>79.841669222222208</v>
      </c>
      <c r="Y56" s="14">
        <v>77.573139222222224</v>
      </c>
      <c r="Z56" s="14">
        <v>72.722279277777773</v>
      </c>
      <c r="AA56" s="14">
        <v>69.671099277777785</v>
      </c>
      <c r="AB56" s="14">
        <v>68.330529333333331</v>
      </c>
      <c r="AC56" s="14">
        <v>68.748209333333335</v>
      </c>
      <c r="AD56" s="14">
        <v>69.347069277777763</v>
      </c>
      <c r="AE56" s="14">
        <v>70.327239277777778</v>
      </c>
      <c r="AF56" s="14">
        <v>70.916889277777784</v>
      </c>
      <c r="AG56" s="14">
        <v>71.751169277777777</v>
      </c>
      <c r="AH56" s="14">
        <v>75.085029277777778</v>
      </c>
      <c r="AI56" s="15">
        <v>88.006129155950546</v>
      </c>
      <c r="AJ56" s="14">
        <v>70.413019296695552</v>
      </c>
      <c r="AK56" s="14">
        <v>70.413019296695552</v>
      </c>
      <c r="AL56" s="14">
        <v>70.413019296695552</v>
      </c>
      <c r="AM56" s="14">
        <v>70.413019296695552</v>
      </c>
      <c r="AN56" s="14">
        <v>70.413019296695552</v>
      </c>
      <c r="AO56" s="14">
        <v>79.841669222222208</v>
      </c>
      <c r="AP56" s="14">
        <v>77.573139222222224</v>
      </c>
      <c r="AQ56" s="14">
        <v>72.722279277777773</v>
      </c>
      <c r="AR56" s="14">
        <v>75.085029277777778</v>
      </c>
      <c r="AS56" s="14">
        <v>88.006129155950546</v>
      </c>
    </row>
    <row r="57" spans="1:45" x14ac:dyDescent="0.35">
      <c r="A57" s="15">
        <v>1472.1413279999999</v>
      </c>
      <c r="B57" s="14">
        <v>4.1634128277777789</v>
      </c>
      <c r="C57" s="14">
        <v>4.1486378277777787</v>
      </c>
      <c r="D57" s="14">
        <v>4.7117398222222207</v>
      </c>
      <c r="E57" s="14">
        <v>18.601929711111111</v>
      </c>
      <c r="F57" s="14">
        <v>57.94063938888889</v>
      </c>
      <c r="G57" s="14">
        <v>79.600329222222229</v>
      </c>
      <c r="H57" s="14">
        <v>77.546719222222208</v>
      </c>
      <c r="I57" s="14">
        <v>72.744939277777775</v>
      </c>
      <c r="J57" s="14">
        <v>69.680339277777776</v>
      </c>
      <c r="K57" s="14">
        <v>68.290769333333344</v>
      </c>
      <c r="L57" s="14">
        <v>68.70604933333334</v>
      </c>
      <c r="M57" s="14">
        <v>69.302609333333351</v>
      </c>
      <c r="N57" s="14">
        <v>70.284759277777781</v>
      </c>
      <c r="O57" s="14">
        <v>70.874039277777769</v>
      </c>
      <c r="P57" s="14">
        <v>71.708049277777775</v>
      </c>
      <c r="Q57" s="14">
        <v>75.046199277777788</v>
      </c>
      <c r="R57" s="15">
        <v>87.964959156280003</v>
      </c>
      <c r="S57" s="14">
        <v>57.133839402928892</v>
      </c>
      <c r="T57" s="14">
        <v>57.133839402928892</v>
      </c>
      <c r="U57" s="14">
        <v>57.133839402928892</v>
      </c>
      <c r="V57" s="14">
        <v>57.133839402928892</v>
      </c>
      <c r="W57" s="14">
        <v>57.94063938888889</v>
      </c>
      <c r="X57" s="14">
        <v>79.600329222222229</v>
      </c>
      <c r="Y57" s="14">
        <v>77.546719222222208</v>
      </c>
      <c r="Z57" s="14">
        <v>72.744939277777775</v>
      </c>
      <c r="AA57" s="14">
        <v>69.680339277777776</v>
      </c>
      <c r="AB57" s="14">
        <v>68.290769333333344</v>
      </c>
      <c r="AC57" s="14">
        <v>68.70604933333334</v>
      </c>
      <c r="AD57" s="14">
        <v>69.302609333333351</v>
      </c>
      <c r="AE57" s="14">
        <v>70.284759277777781</v>
      </c>
      <c r="AF57" s="14">
        <v>70.874039277777769</v>
      </c>
      <c r="AG57" s="14">
        <v>71.708049277777775</v>
      </c>
      <c r="AH57" s="14">
        <v>75.046199277777788</v>
      </c>
      <c r="AI57" s="15">
        <v>87.964959156280003</v>
      </c>
      <c r="AJ57" s="14">
        <v>70.380109296958892</v>
      </c>
      <c r="AK57" s="14">
        <v>70.380109296958892</v>
      </c>
      <c r="AL57" s="14">
        <v>70.380109296958892</v>
      </c>
      <c r="AM57" s="14">
        <v>70.380109296958892</v>
      </c>
      <c r="AN57" s="14">
        <v>70.380109296958892</v>
      </c>
      <c r="AO57" s="14">
        <v>79.600329222222229</v>
      </c>
      <c r="AP57" s="14">
        <v>77.546719222222208</v>
      </c>
      <c r="AQ57" s="14">
        <v>72.744939277777775</v>
      </c>
      <c r="AR57" s="14">
        <v>75.046199277777788</v>
      </c>
      <c r="AS57" s="14">
        <v>87.964959156280003</v>
      </c>
    </row>
    <row r="58" spans="1:45" x14ac:dyDescent="0.35">
      <c r="A58" s="15">
        <v>1494.8573100000001</v>
      </c>
      <c r="B58" s="14">
        <v>4.1640068277777766</v>
      </c>
      <c r="C58" s="14">
        <v>4.1477498277777789</v>
      </c>
      <c r="D58" s="14">
        <v>4.6458638222222213</v>
      </c>
      <c r="E58" s="14">
        <v>17.848829716666671</v>
      </c>
      <c r="F58" s="14">
        <v>56.607759388888894</v>
      </c>
      <c r="G58" s="14">
        <v>79.345389222222224</v>
      </c>
      <c r="H58" s="14">
        <v>77.518739222222223</v>
      </c>
      <c r="I58" s="14">
        <v>72.768699277777785</v>
      </c>
      <c r="J58" s="14">
        <v>69.689739277777761</v>
      </c>
      <c r="K58" s="14">
        <v>68.251209333333335</v>
      </c>
      <c r="L58" s="14">
        <v>68.66400933333334</v>
      </c>
      <c r="M58" s="14">
        <v>69.258369333333334</v>
      </c>
      <c r="N58" s="14">
        <v>70.242519277777788</v>
      </c>
      <c r="O58" s="14">
        <v>70.831329277777783</v>
      </c>
      <c r="P58" s="14">
        <v>71.665239277777772</v>
      </c>
      <c r="Q58" s="14">
        <v>75.00756927777779</v>
      </c>
      <c r="R58" s="15">
        <v>87.923989156607774</v>
      </c>
      <c r="S58" s="14">
        <v>57.108739403129988</v>
      </c>
      <c r="T58" s="14">
        <v>57.108739403129988</v>
      </c>
      <c r="U58" s="14">
        <v>57.108739403129988</v>
      </c>
      <c r="V58" s="14">
        <v>57.108739403129988</v>
      </c>
      <c r="W58" s="14">
        <v>57.108739403129988</v>
      </c>
      <c r="X58" s="14">
        <v>79.345389222222224</v>
      </c>
      <c r="Y58" s="14">
        <v>77.518739222222223</v>
      </c>
      <c r="Z58" s="14">
        <v>72.768699277777785</v>
      </c>
      <c r="AA58" s="14">
        <v>69.689739277777761</v>
      </c>
      <c r="AB58" s="14">
        <v>68.251209333333335</v>
      </c>
      <c r="AC58" s="14">
        <v>68.66400933333334</v>
      </c>
      <c r="AD58" s="14">
        <v>69.258369333333334</v>
      </c>
      <c r="AE58" s="14">
        <v>70.242519277777788</v>
      </c>
      <c r="AF58" s="14">
        <v>70.831329277777783</v>
      </c>
      <c r="AG58" s="14">
        <v>71.665239277777772</v>
      </c>
      <c r="AH58" s="14">
        <v>75.00756927777779</v>
      </c>
      <c r="AI58" s="15">
        <v>87.923989156607774</v>
      </c>
      <c r="AJ58" s="14">
        <v>70.348639297210553</v>
      </c>
      <c r="AK58" s="14">
        <v>70.348639297210553</v>
      </c>
      <c r="AL58" s="14">
        <v>70.348639297210553</v>
      </c>
      <c r="AM58" s="14">
        <v>70.348639297210553</v>
      </c>
      <c r="AN58" s="14">
        <v>70.348639297210553</v>
      </c>
      <c r="AO58" s="14">
        <v>79.345389222222224</v>
      </c>
      <c r="AP58" s="14">
        <v>77.518739222222223</v>
      </c>
      <c r="AQ58" s="14">
        <v>72.768699277777785</v>
      </c>
      <c r="AR58" s="14">
        <v>75.00756927777779</v>
      </c>
      <c r="AS58" s="14">
        <v>87.923989156607774</v>
      </c>
    </row>
    <row r="59" spans="1:45" x14ac:dyDescent="0.35">
      <c r="A59" s="15">
        <v>1517.5694820000001</v>
      </c>
      <c r="B59" s="14">
        <v>4.1644458277777794</v>
      </c>
      <c r="C59" s="14">
        <v>4.1470528277777774</v>
      </c>
      <c r="D59" s="14">
        <v>4.5858728222222211</v>
      </c>
      <c r="E59" s="14">
        <v>17.129669722222221</v>
      </c>
      <c r="F59" s="14">
        <v>55.271139444444458</v>
      </c>
      <c r="G59" s="14">
        <v>79.075959222222224</v>
      </c>
      <c r="H59" s="14">
        <v>77.489229222222221</v>
      </c>
      <c r="I59" s="14">
        <v>72.793449277777782</v>
      </c>
      <c r="J59" s="14">
        <v>69.699269277777773</v>
      </c>
      <c r="K59" s="14">
        <v>68.21186933333334</v>
      </c>
      <c r="L59" s="14">
        <v>68.622079333333332</v>
      </c>
      <c r="M59" s="14">
        <v>69.214359333333334</v>
      </c>
      <c r="N59" s="14">
        <v>70.200489277777777</v>
      </c>
      <c r="O59" s="14">
        <v>70.788749277777782</v>
      </c>
      <c r="P59" s="14">
        <v>71.622719277777776</v>
      </c>
      <c r="Q59" s="14">
        <v>74.969139277777785</v>
      </c>
      <c r="R59" s="15">
        <v>87.883199156933898</v>
      </c>
      <c r="S59" s="14">
        <v>57.083269403333333</v>
      </c>
      <c r="T59" s="14">
        <v>57.083269403333333</v>
      </c>
      <c r="U59" s="14">
        <v>57.083269403333333</v>
      </c>
      <c r="V59" s="14">
        <v>57.083269403333333</v>
      </c>
      <c r="W59" s="14">
        <v>57.083269403333333</v>
      </c>
      <c r="X59" s="14">
        <v>79.075959222222224</v>
      </c>
      <c r="Y59" s="14">
        <v>77.489229222222221</v>
      </c>
      <c r="Z59" s="14">
        <v>72.793449277777782</v>
      </c>
      <c r="AA59" s="14">
        <v>69.699269277777773</v>
      </c>
      <c r="AB59" s="14">
        <v>68.21186933333334</v>
      </c>
      <c r="AC59" s="14">
        <v>68.622079333333332</v>
      </c>
      <c r="AD59" s="14">
        <v>69.214359333333334</v>
      </c>
      <c r="AE59" s="14">
        <v>70.200489277777777</v>
      </c>
      <c r="AF59" s="14">
        <v>70.788749277777782</v>
      </c>
      <c r="AG59" s="14">
        <v>71.622719277777776</v>
      </c>
      <c r="AH59" s="14">
        <v>74.969139277777785</v>
      </c>
      <c r="AI59" s="15">
        <v>87.883199156933898</v>
      </c>
      <c r="AJ59" s="14">
        <v>70.316769297465555</v>
      </c>
      <c r="AK59" s="14">
        <v>70.316769297465555</v>
      </c>
      <c r="AL59" s="14">
        <v>70.316769297465555</v>
      </c>
      <c r="AM59" s="14">
        <v>70.316769297465555</v>
      </c>
      <c r="AN59" s="14">
        <v>70.316769297465555</v>
      </c>
      <c r="AO59" s="14">
        <v>79.075959222222224</v>
      </c>
      <c r="AP59" s="14">
        <v>77.489229222222221</v>
      </c>
      <c r="AQ59" s="14">
        <v>72.793449277777782</v>
      </c>
      <c r="AR59" s="14">
        <v>74.969139277777785</v>
      </c>
      <c r="AS59" s="14">
        <v>87.883199156933898</v>
      </c>
    </row>
    <row r="60" spans="1:45" x14ac:dyDescent="0.35">
      <c r="A60" s="15">
        <v>1540.280892</v>
      </c>
      <c r="B60" s="14">
        <v>4.1648308277777781</v>
      </c>
      <c r="C60" s="14">
        <v>4.1464728277777771</v>
      </c>
      <c r="D60" s="14">
        <v>4.5313658222222211</v>
      </c>
      <c r="E60" s="14">
        <v>16.445559727777777</v>
      </c>
      <c r="F60" s="14">
        <v>53.936379444444448</v>
      </c>
      <c r="G60" s="14">
        <v>78.79133922222222</v>
      </c>
      <c r="H60" s="14">
        <v>77.458139222222215</v>
      </c>
      <c r="I60" s="14">
        <v>72.819019277777784</v>
      </c>
      <c r="J60" s="14">
        <v>69.708769277777776</v>
      </c>
      <c r="K60" s="14">
        <v>68.172669333333332</v>
      </c>
      <c r="L60" s="14">
        <v>68.580169333333345</v>
      </c>
      <c r="M60" s="14">
        <v>69.17046933333333</v>
      </c>
      <c r="N60" s="14">
        <v>70.158579277777775</v>
      </c>
      <c r="O60" s="14">
        <v>70.746219277777783</v>
      </c>
      <c r="P60" s="14">
        <v>71.580399277777758</v>
      </c>
      <c r="Q60" s="14">
        <v>74.930809277777769</v>
      </c>
      <c r="R60" s="15">
        <v>87.842499157259454</v>
      </c>
      <c r="S60" s="14">
        <v>57.057859403536668</v>
      </c>
      <c r="T60" s="14">
        <v>57.057859403536668</v>
      </c>
      <c r="U60" s="14">
        <v>57.057859403536668</v>
      </c>
      <c r="V60" s="14">
        <v>57.057859403536668</v>
      </c>
      <c r="W60" s="14">
        <v>57.057859403536668</v>
      </c>
      <c r="X60" s="14">
        <v>78.79133922222222</v>
      </c>
      <c r="Y60" s="14">
        <v>77.458139222222215</v>
      </c>
      <c r="Z60" s="14">
        <v>72.819019277777784</v>
      </c>
      <c r="AA60" s="14">
        <v>69.708769277777776</v>
      </c>
      <c r="AB60" s="14">
        <v>68.172669333333332</v>
      </c>
      <c r="AC60" s="14">
        <v>68.580169333333345</v>
      </c>
      <c r="AD60" s="14">
        <v>69.17046933333333</v>
      </c>
      <c r="AE60" s="14">
        <v>70.158579277777775</v>
      </c>
      <c r="AF60" s="14">
        <v>70.746219277777783</v>
      </c>
      <c r="AG60" s="14">
        <v>71.580399277777758</v>
      </c>
      <c r="AH60" s="14">
        <v>74.930809277777769</v>
      </c>
      <c r="AI60" s="15">
        <v>87.842499157259454</v>
      </c>
      <c r="AJ60" s="14">
        <v>70.285029297719447</v>
      </c>
      <c r="AK60" s="14">
        <v>70.285029297719447</v>
      </c>
      <c r="AL60" s="14">
        <v>70.285029297719447</v>
      </c>
      <c r="AM60" s="14">
        <v>70.285029297719447</v>
      </c>
      <c r="AN60" s="14">
        <v>70.285029297719447</v>
      </c>
      <c r="AO60" s="14">
        <v>78.79133922222222</v>
      </c>
      <c r="AP60" s="14">
        <v>77.458139222222215</v>
      </c>
      <c r="AQ60" s="14">
        <v>72.819019277777784</v>
      </c>
      <c r="AR60" s="14">
        <v>74.930809277777769</v>
      </c>
      <c r="AS60" s="14">
        <v>87.842499157259454</v>
      </c>
    </row>
    <row r="61" spans="1:45" x14ac:dyDescent="0.35">
      <c r="A61" s="15">
        <v>1562.9915400000002</v>
      </c>
      <c r="B61" s="14">
        <v>4.1651488277777799</v>
      </c>
      <c r="C61" s="14">
        <v>4.146000827777776</v>
      </c>
      <c r="D61" s="14">
        <v>4.4820218222222232</v>
      </c>
      <c r="E61" s="14">
        <v>15.794469733333333</v>
      </c>
      <c r="F61" s="14">
        <v>52.605039444444444</v>
      </c>
      <c r="G61" s="14">
        <v>78.491909222222219</v>
      </c>
      <c r="H61" s="14">
        <v>77.425479222222236</v>
      </c>
      <c r="I61" s="14">
        <v>72.845319277777776</v>
      </c>
      <c r="J61" s="14">
        <v>69.71822927777778</v>
      </c>
      <c r="K61" s="14">
        <v>68.133639333333335</v>
      </c>
      <c r="L61" s="14">
        <v>68.538279333333335</v>
      </c>
      <c r="M61" s="14">
        <v>69.126729333333344</v>
      </c>
      <c r="N61" s="14">
        <v>70.116759277777774</v>
      </c>
      <c r="O61" s="14">
        <v>70.703719277777779</v>
      </c>
      <c r="P61" s="14">
        <v>71.538279277777789</v>
      </c>
      <c r="Q61" s="14">
        <v>74.892589277777788</v>
      </c>
      <c r="R61" s="15">
        <v>87.801889157584441</v>
      </c>
      <c r="S61" s="14">
        <v>57.032299403741114</v>
      </c>
      <c r="T61" s="14">
        <v>57.032299403741114</v>
      </c>
      <c r="U61" s="14">
        <v>57.032299403741114</v>
      </c>
      <c r="V61" s="14">
        <v>57.032299403741114</v>
      </c>
      <c r="W61" s="14">
        <v>57.032299403741114</v>
      </c>
      <c r="X61" s="14">
        <v>78.491909222222219</v>
      </c>
      <c r="Y61" s="14">
        <v>77.425479222222236</v>
      </c>
      <c r="Z61" s="14">
        <v>72.845319277777776</v>
      </c>
      <c r="AA61" s="14">
        <v>69.71822927777778</v>
      </c>
      <c r="AB61" s="14">
        <v>68.133639333333335</v>
      </c>
      <c r="AC61" s="14">
        <v>68.538279333333335</v>
      </c>
      <c r="AD61" s="14">
        <v>69.126729333333344</v>
      </c>
      <c r="AE61" s="14">
        <v>70.116759277777774</v>
      </c>
      <c r="AF61" s="14">
        <v>70.703719277777779</v>
      </c>
      <c r="AG61" s="14">
        <v>71.538279277777789</v>
      </c>
      <c r="AH61" s="14">
        <v>74.892589277777788</v>
      </c>
      <c r="AI61" s="15">
        <v>87.801889157584441</v>
      </c>
      <c r="AJ61" s="14">
        <v>70.25318929797443</v>
      </c>
      <c r="AK61" s="14">
        <v>70.25318929797443</v>
      </c>
      <c r="AL61" s="14">
        <v>70.25318929797443</v>
      </c>
      <c r="AM61" s="14">
        <v>70.25318929797443</v>
      </c>
      <c r="AN61" s="14">
        <v>70.25318929797443</v>
      </c>
      <c r="AO61" s="14">
        <v>78.491909222222219</v>
      </c>
      <c r="AP61" s="14">
        <v>77.425479222222236</v>
      </c>
      <c r="AQ61" s="14">
        <v>72.845319277777776</v>
      </c>
      <c r="AR61" s="14">
        <v>74.892589277777788</v>
      </c>
      <c r="AS61" s="14">
        <v>87.801889157584441</v>
      </c>
    </row>
    <row r="62" spans="1:45" x14ac:dyDescent="0.35">
      <c r="A62" s="15">
        <v>1585.7044740000001</v>
      </c>
      <c r="B62" s="14">
        <v>4.1655968277777768</v>
      </c>
      <c r="C62" s="14">
        <v>4.1454658277777767</v>
      </c>
      <c r="D62" s="14">
        <v>4.4373568222222204</v>
      </c>
      <c r="E62" s="14">
        <v>15.172539738888888</v>
      </c>
      <c r="F62" s="14">
        <v>51.280169444444446</v>
      </c>
      <c r="G62" s="14">
        <v>78.176969222222226</v>
      </c>
      <c r="H62" s="14">
        <v>77.391009222222223</v>
      </c>
      <c r="I62" s="14">
        <v>72.872019277777767</v>
      </c>
      <c r="J62" s="14">
        <v>69.727379277777771</v>
      </c>
      <c r="K62" s="14">
        <v>68.094549333333333</v>
      </c>
      <c r="L62" s="14">
        <v>68.49617933333333</v>
      </c>
      <c r="M62" s="14">
        <v>69.082879333333324</v>
      </c>
      <c r="N62" s="14">
        <v>70.074729277777763</v>
      </c>
      <c r="O62" s="14">
        <v>70.661029277777772</v>
      </c>
      <c r="P62" s="14">
        <v>71.496109277777776</v>
      </c>
      <c r="Q62" s="14">
        <v>74.854209277777784</v>
      </c>
      <c r="R62" s="15">
        <v>87.761099157911104</v>
      </c>
      <c r="S62" s="14">
        <v>57.005959403952225</v>
      </c>
      <c r="T62" s="14">
        <v>57.005959403952225</v>
      </c>
      <c r="U62" s="14">
        <v>57.005959403952225</v>
      </c>
      <c r="V62" s="14">
        <v>57.005959403952225</v>
      </c>
      <c r="W62" s="14">
        <v>57.005959403952225</v>
      </c>
      <c r="X62" s="14">
        <v>78.176969222222226</v>
      </c>
      <c r="Y62" s="14">
        <v>77.391009222222223</v>
      </c>
      <c r="Z62" s="14">
        <v>72.872019277777767</v>
      </c>
      <c r="AA62" s="14">
        <v>69.727379277777771</v>
      </c>
      <c r="AB62" s="14">
        <v>68.094549333333333</v>
      </c>
      <c r="AC62" s="14">
        <v>68.49617933333333</v>
      </c>
      <c r="AD62" s="14">
        <v>69.082879333333324</v>
      </c>
      <c r="AE62" s="14">
        <v>70.074729277777763</v>
      </c>
      <c r="AF62" s="14">
        <v>70.661029277777772</v>
      </c>
      <c r="AG62" s="14">
        <v>71.496109277777776</v>
      </c>
      <c r="AH62" s="14">
        <v>74.854209277777784</v>
      </c>
      <c r="AI62" s="15">
        <v>87.761099157911104</v>
      </c>
      <c r="AJ62" s="14">
        <v>70.220449298236119</v>
      </c>
      <c r="AK62" s="14">
        <v>70.220449298236119</v>
      </c>
      <c r="AL62" s="14">
        <v>70.220449298236119</v>
      </c>
      <c r="AM62" s="14">
        <v>70.220449298236119</v>
      </c>
      <c r="AN62" s="14">
        <v>70.220449298236119</v>
      </c>
      <c r="AO62" s="14">
        <v>78.176969222222226</v>
      </c>
      <c r="AP62" s="14">
        <v>77.391009222222223</v>
      </c>
      <c r="AQ62" s="14">
        <v>72.872019277777767</v>
      </c>
      <c r="AR62" s="14">
        <v>74.854209277777784</v>
      </c>
      <c r="AS62" s="14">
        <v>87.761099157911104</v>
      </c>
    </row>
    <row r="63" spans="1:45" x14ac:dyDescent="0.35">
      <c r="A63" s="15">
        <v>1608.4196939999999</v>
      </c>
      <c r="B63" s="14">
        <v>4.1661838277777798</v>
      </c>
      <c r="C63" s="14">
        <v>4.144877827777778</v>
      </c>
      <c r="D63" s="14">
        <v>4.3970918222222206</v>
      </c>
      <c r="E63" s="14">
        <v>14.580569744444444</v>
      </c>
      <c r="F63" s="14">
        <v>49.965129444444443</v>
      </c>
      <c r="G63" s="14">
        <v>77.846149222222223</v>
      </c>
      <c r="H63" s="14">
        <v>77.354729222222232</v>
      </c>
      <c r="I63" s="14">
        <v>72.899039277777774</v>
      </c>
      <c r="J63" s="14">
        <v>69.736159277777773</v>
      </c>
      <c r="K63" s="14">
        <v>68.055439333333339</v>
      </c>
      <c r="L63" s="14">
        <v>68.453859333333327</v>
      </c>
      <c r="M63" s="14">
        <v>69.038939333333317</v>
      </c>
      <c r="N63" s="14">
        <v>70.032439277777769</v>
      </c>
      <c r="O63" s="14">
        <v>70.618149277777775</v>
      </c>
      <c r="P63" s="14">
        <v>71.45388927777779</v>
      </c>
      <c r="Q63" s="14">
        <v>74.815699277777782</v>
      </c>
      <c r="R63" s="15">
        <v>87.720129158238322</v>
      </c>
      <c r="S63" s="14">
        <v>56.980119404158891</v>
      </c>
      <c r="T63" s="14">
        <v>56.980119404158891</v>
      </c>
      <c r="U63" s="14">
        <v>56.980119404158891</v>
      </c>
      <c r="V63" s="14">
        <v>56.980119404158891</v>
      </c>
      <c r="W63" s="14">
        <v>56.980119404158891</v>
      </c>
      <c r="X63" s="14">
        <v>77.846149222222223</v>
      </c>
      <c r="Y63" s="14">
        <v>77.354729222222232</v>
      </c>
      <c r="Z63" s="14">
        <v>72.899039277777774</v>
      </c>
      <c r="AA63" s="14">
        <v>69.736159277777773</v>
      </c>
      <c r="AB63" s="14">
        <v>68.055439333333339</v>
      </c>
      <c r="AC63" s="14">
        <v>68.453859333333327</v>
      </c>
      <c r="AD63" s="14">
        <v>69.038939333333317</v>
      </c>
      <c r="AE63" s="14">
        <v>70.032439277777769</v>
      </c>
      <c r="AF63" s="14">
        <v>70.618149277777775</v>
      </c>
      <c r="AG63" s="14">
        <v>71.45388927777779</v>
      </c>
      <c r="AH63" s="14">
        <v>74.815699277777782</v>
      </c>
      <c r="AI63" s="15">
        <v>87.720129158238322</v>
      </c>
      <c r="AJ63" s="14">
        <v>70.188129298494445</v>
      </c>
      <c r="AK63" s="14">
        <v>70.188129298494445</v>
      </c>
      <c r="AL63" s="14">
        <v>70.188129298494445</v>
      </c>
      <c r="AM63" s="14">
        <v>70.188129298494445</v>
      </c>
      <c r="AN63" s="14">
        <v>70.188129298494445</v>
      </c>
      <c r="AO63" s="14">
        <v>77.846149222222223</v>
      </c>
      <c r="AP63" s="14">
        <v>77.354729222222232</v>
      </c>
      <c r="AQ63" s="14">
        <v>72.899039277777774</v>
      </c>
      <c r="AR63" s="14">
        <v>74.815699277777782</v>
      </c>
      <c r="AS63" s="14">
        <v>87.720129158238322</v>
      </c>
    </row>
    <row r="64" spans="1:45" x14ac:dyDescent="0.35">
      <c r="A64" s="15">
        <v>1631.1364380000002</v>
      </c>
      <c r="B64" s="14">
        <v>4.1668278277777775</v>
      </c>
      <c r="C64" s="14">
        <v>4.1443248277777771</v>
      </c>
      <c r="D64" s="14">
        <v>4.3609978277777763</v>
      </c>
      <c r="E64" s="14">
        <v>14.01783975</v>
      </c>
      <c r="F64" s="14">
        <v>48.660919444444438</v>
      </c>
      <c r="G64" s="14">
        <v>77.499069222222204</v>
      </c>
      <c r="H64" s="14">
        <v>77.316709222222215</v>
      </c>
      <c r="I64" s="14">
        <v>72.926369277777781</v>
      </c>
      <c r="J64" s="14">
        <v>69.744669277777774</v>
      </c>
      <c r="K64" s="14">
        <v>68.016409333333343</v>
      </c>
      <c r="L64" s="14">
        <v>68.411419333333328</v>
      </c>
      <c r="M64" s="14">
        <v>68.995009333333329</v>
      </c>
      <c r="N64" s="14">
        <v>69.990089277777784</v>
      </c>
      <c r="O64" s="14">
        <v>70.575189277777781</v>
      </c>
      <c r="P64" s="14">
        <v>71.411719277777777</v>
      </c>
      <c r="Q64" s="14">
        <v>74.777149277777781</v>
      </c>
      <c r="R64" s="15">
        <v>87.679099158566657</v>
      </c>
      <c r="S64" s="14">
        <v>56.954239404366113</v>
      </c>
      <c r="T64" s="14">
        <v>56.954239404366113</v>
      </c>
      <c r="U64" s="14">
        <v>56.954239404366113</v>
      </c>
      <c r="V64" s="14">
        <v>56.954239404366113</v>
      </c>
      <c r="W64" s="14">
        <v>56.954239404366113</v>
      </c>
      <c r="X64" s="14">
        <v>77.499069222222204</v>
      </c>
      <c r="Y64" s="14">
        <v>77.316709222222215</v>
      </c>
      <c r="Z64" s="14">
        <v>72.926369277777781</v>
      </c>
      <c r="AA64" s="14">
        <v>69.744669277777774</v>
      </c>
      <c r="AB64" s="14">
        <v>68.016409333333343</v>
      </c>
      <c r="AC64" s="14">
        <v>68.411419333333328</v>
      </c>
      <c r="AD64" s="14">
        <v>68.995009333333329</v>
      </c>
      <c r="AE64" s="14">
        <v>69.990089277777784</v>
      </c>
      <c r="AF64" s="14">
        <v>70.575189277777781</v>
      </c>
      <c r="AG64" s="14">
        <v>71.411719277777777</v>
      </c>
      <c r="AH64" s="14">
        <v>74.777149277777781</v>
      </c>
      <c r="AI64" s="15">
        <v>87.679099158566657</v>
      </c>
      <c r="AJ64" s="14">
        <v>70.155799298753323</v>
      </c>
      <c r="AK64" s="14">
        <v>70.155799298753323</v>
      </c>
      <c r="AL64" s="14">
        <v>70.155799298753323</v>
      </c>
      <c r="AM64" s="14">
        <v>70.155799298753323</v>
      </c>
      <c r="AN64" s="14">
        <v>70.155799298753323</v>
      </c>
      <c r="AO64" s="14">
        <v>77.499069222222204</v>
      </c>
      <c r="AP64" s="14">
        <v>77.316709222222215</v>
      </c>
      <c r="AQ64" s="14">
        <v>72.926369277777781</v>
      </c>
      <c r="AR64" s="14">
        <v>74.777149277777781</v>
      </c>
      <c r="AS64" s="14">
        <v>87.679099158566657</v>
      </c>
    </row>
    <row r="65" spans="1:45" x14ac:dyDescent="0.35">
      <c r="A65" s="15">
        <v>1653.8547060000001</v>
      </c>
      <c r="B65" s="14">
        <v>4.1675208277777758</v>
      </c>
      <c r="C65" s="14">
        <v>4.1438198277777776</v>
      </c>
      <c r="D65" s="14">
        <v>4.3287448277777765</v>
      </c>
      <c r="E65" s="14">
        <v>13.48254975</v>
      </c>
      <c r="F65" s="14">
        <v>47.372119500000004</v>
      </c>
      <c r="G65" s="14">
        <v>77.135299222222216</v>
      </c>
      <c r="H65" s="14">
        <v>77.276929222222236</v>
      </c>
      <c r="I65" s="14">
        <v>72.953919277777771</v>
      </c>
      <c r="J65" s="14">
        <v>69.752849277777784</v>
      </c>
      <c r="K65" s="14">
        <v>67.977499333333341</v>
      </c>
      <c r="L65" s="14">
        <v>68.368869333333336</v>
      </c>
      <c r="M65" s="14">
        <v>68.951089333333329</v>
      </c>
      <c r="N65" s="14">
        <v>69.947689277777783</v>
      </c>
      <c r="O65" s="14">
        <v>70.532149277777791</v>
      </c>
      <c r="P65" s="14">
        <v>71.369609277777784</v>
      </c>
      <c r="Q65" s="14">
        <v>74.738569277777771</v>
      </c>
      <c r="R65" s="15">
        <v>87.63801915889556</v>
      </c>
      <c r="S65" s="14">
        <v>56.928359404572774</v>
      </c>
      <c r="T65" s="14">
        <v>56.928359404572774</v>
      </c>
      <c r="U65" s="14">
        <v>56.928359404572774</v>
      </c>
      <c r="V65" s="14">
        <v>56.928359404572774</v>
      </c>
      <c r="W65" s="14">
        <v>56.928359404572774</v>
      </c>
      <c r="X65" s="14">
        <v>77.135299222222216</v>
      </c>
      <c r="Y65" s="14">
        <v>77.276929222222236</v>
      </c>
      <c r="Z65" s="14">
        <v>72.953919277777771</v>
      </c>
      <c r="AA65" s="14">
        <v>69.752849277777784</v>
      </c>
      <c r="AB65" s="14">
        <v>67.977499333333341</v>
      </c>
      <c r="AC65" s="14">
        <v>68.368869333333336</v>
      </c>
      <c r="AD65" s="14">
        <v>68.951089333333329</v>
      </c>
      <c r="AE65" s="14">
        <v>69.947689277777783</v>
      </c>
      <c r="AF65" s="14">
        <v>70.532149277777791</v>
      </c>
      <c r="AG65" s="14">
        <v>71.369609277777784</v>
      </c>
      <c r="AH65" s="14">
        <v>74.738569277777771</v>
      </c>
      <c r="AI65" s="15">
        <v>87.63801915889556</v>
      </c>
      <c r="AJ65" s="14">
        <v>70.123439299012219</v>
      </c>
      <c r="AK65" s="14">
        <v>70.123439299012219</v>
      </c>
      <c r="AL65" s="14">
        <v>70.123439299012219</v>
      </c>
      <c r="AM65" s="14">
        <v>70.123439299012219</v>
      </c>
      <c r="AN65" s="14">
        <v>70.123439299012219</v>
      </c>
      <c r="AO65" s="14">
        <v>77.135299222222216</v>
      </c>
      <c r="AP65" s="14">
        <v>77.276929222222236</v>
      </c>
      <c r="AQ65" s="14">
        <v>72.953919277777771</v>
      </c>
      <c r="AR65" s="14">
        <v>74.738569277777771</v>
      </c>
      <c r="AS65" s="14">
        <v>87.63801915889556</v>
      </c>
    </row>
    <row r="66" spans="1:45" x14ac:dyDescent="0.35">
      <c r="A66" s="15">
        <v>1676.5767840000001</v>
      </c>
      <c r="B66" s="14">
        <v>4.1683348277777794</v>
      </c>
      <c r="C66" s="14">
        <v>4.1433148277777772</v>
      </c>
      <c r="D66" s="14">
        <v>4.3000448277777776</v>
      </c>
      <c r="E66" s="14">
        <v>12.971329755555555</v>
      </c>
      <c r="F66" s="14">
        <v>46.097709500000001</v>
      </c>
      <c r="G66" s="14">
        <v>76.75350922222222</v>
      </c>
      <c r="H66" s="14">
        <v>77.23522922222223</v>
      </c>
      <c r="I66" s="14">
        <v>72.981499277777786</v>
      </c>
      <c r="J66" s="14">
        <v>69.760609277777775</v>
      </c>
      <c r="K66" s="14">
        <v>67.938609333333332</v>
      </c>
      <c r="L66" s="14">
        <v>68.326109333333335</v>
      </c>
      <c r="M66" s="14">
        <v>68.907089333333332</v>
      </c>
      <c r="N66" s="14">
        <v>69.905129277777789</v>
      </c>
      <c r="O66" s="14">
        <v>70.488939277777774</v>
      </c>
      <c r="P66" s="14">
        <v>71.327449277777774</v>
      </c>
      <c r="Q66" s="14">
        <v>74.699849277777787</v>
      </c>
      <c r="R66" s="15">
        <v>87.596759159225556</v>
      </c>
      <c r="S66" s="14">
        <v>56.902299404781111</v>
      </c>
      <c r="T66" s="14">
        <v>56.902299404781111</v>
      </c>
      <c r="U66" s="14">
        <v>56.902299404781111</v>
      </c>
      <c r="V66" s="14">
        <v>56.902299404781111</v>
      </c>
      <c r="W66" s="14">
        <v>56.902299404781111</v>
      </c>
      <c r="X66" s="14">
        <v>76.75350922222222</v>
      </c>
      <c r="Y66" s="14">
        <v>77.23522922222223</v>
      </c>
      <c r="Z66" s="14">
        <v>72.981499277777786</v>
      </c>
      <c r="AA66" s="14">
        <v>69.760609277777775</v>
      </c>
      <c r="AB66" s="14">
        <v>67.938609333333332</v>
      </c>
      <c r="AC66" s="14">
        <v>68.326109333333335</v>
      </c>
      <c r="AD66" s="14">
        <v>68.907089333333332</v>
      </c>
      <c r="AE66" s="14">
        <v>69.905129277777789</v>
      </c>
      <c r="AF66" s="14">
        <v>70.488939277777774</v>
      </c>
      <c r="AG66" s="14">
        <v>71.327449277777774</v>
      </c>
      <c r="AH66" s="14">
        <v>74.699849277777787</v>
      </c>
      <c r="AI66" s="15">
        <v>87.596759159225556</v>
      </c>
      <c r="AJ66" s="14">
        <v>70.090829299272784</v>
      </c>
      <c r="AK66" s="14">
        <v>70.090829299272784</v>
      </c>
      <c r="AL66" s="14">
        <v>70.090829299272784</v>
      </c>
      <c r="AM66" s="14">
        <v>70.090829299272784</v>
      </c>
      <c r="AN66" s="14">
        <v>70.090829299272784</v>
      </c>
      <c r="AO66" s="14">
        <v>76.75350922222222</v>
      </c>
      <c r="AP66" s="14">
        <v>77.23522922222223</v>
      </c>
      <c r="AQ66" s="14">
        <v>72.981499277777786</v>
      </c>
      <c r="AR66" s="14">
        <v>74.699849277777787</v>
      </c>
      <c r="AS66" s="14">
        <v>87.596759159225556</v>
      </c>
    </row>
    <row r="67" spans="1:45" x14ac:dyDescent="0.35">
      <c r="A67" s="15">
        <v>1699.3026720000003</v>
      </c>
      <c r="B67" s="14">
        <v>4.1692718277777789</v>
      </c>
      <c r="C67" s="14">
        <v>4.1428268277777782</v>
      </c>
      <c r="D67" s="14">
        <v>4.2747898277777772</v>
      </c>
      <c r="E67" s="14">
        <v>12.485729761111109</v>
      </c>
      <c r="F67" s="14">
        <v>44.841299500000005</v>
      </c>
      <c r="G67" s="14">
        <v>76.353359222222224</v>
      </c>
      <c r="H67" s="14">
        <v>77.191569222222213</v>
      </c>
      <c r="I67" s="14">
        <v>73.009009277777778</v>
      </c>
      <c r="J67" s="14">
        <v>69.76790927777779</v>
      </c>
      <c r="K67" s="14">
        <v>67.899779333333328</v>
      </c>
      <c r="L67" s="14">
        <v>68.283149333333327</v>
      </c>
      <c r="M67" s="14">
        <v>68.863019333333327</v>
      </c>
      <c r="N67" s="14">
        <v>69.862409277777772</v>
      </c>
      <c r="O67" s="14">
        <v>70.445579277777767</v>
      </c>
      <c r="P67" s="14">
        <v>71.28524927777778</v>
      </c>
      <c r="Q67" s="14">
        <v>74.661009277777779</v>
      </c>
      <c r="R67" s="15">
        <v>87.555359159556659</v>
      </c>
      <c r="S67" s="14">
        <v>56.87632940498888</v>
      </c>
      <c r="T67" s="14">
        <v>56.87632940498888</v>
      </c>
      <c r="U67" s="14">
        <v>56.87632940498888</v>
      </c>
      <c r="V67" s="14">
        <v>56.87632940498888</v>
      </c>
      <c r="W67" s="14">
        <v>56.87632940498888</v>
      </c>
      <c r="X67" s="14">
        <v>76.353359222222224</v>
      </c>
      <c r="Y67" s="14">
        <v>77.191569222222213</v>
      </c>
      <c r="Z67" s="14">
        <v>73.009009277777778</v>
      </c>
      <c r="AA67" s="14">
        <v>69.76790927777779</v>
      </c>
      <c r="AB67" s="14">
        <v>67.899779333333328</v>
      </c>
      <c r="AC67" s="14">
        <v>68.283149333333327</v>
      </c>
      <c r="AD67" s="14">
        <v>68.863019333333327</v>
      </c>
      <c r="AE67" s="14">
        <v>69.862409277777772</v>
      </c>
      <c r="AF67" s="14">
        <v>70.445579277777767</v>
      </c>
      <c r="AG67" s="14">
        <v>71.28524927777778</v>
      </c>
      <c r="AH67" s="14">
        <v>74.661009277777779</v>
      </c>
      <c r="AI67" s="15">
        <v>87.555359159556659</v>
      </c>
      <c r="AJ67" s="14">
        <v>70.05826929953335</v>
      </c>
      <c r="AK67" s="14">
        <v>70.05826929953335</v>
      </c>
      <c r="AL67" s="14">
        <v>70.05826929953335</v>
      </c>
      <c r="AM67" s="14">
        <v>70.05826929953335</v>
      </c>
      <c r="AN67" s="14">
        <v>70.05826929953335</v>
      </c>
      <c r="AO67" s="14">
        <v>76.353359222222224</v>
      </c>
      <c r="AP67" s="14">
        <v>77.191569222222213</v>
      </c>
      <c r="AQ67" s="14">
        <v>73.009009277777778</v>
      </c>
      <c r="AR67" s="14">
        <v>74.661009277777779</v>
      </c>
      <c r="AS67" s="14">
        <v>87.555359159556659</v>
      </c>
    </row>
    <row r="68" spans="1:45" x14ac:dyDescent="0.35">
      <c r="A68" s="15">
        <v>1722.0293220000001</v>
      </c>
      <c r="B68" s="14">
        <v>4.1702198277777764</v>
      </c>
      <c r="C68" s="14">
        <v>4.1424648277777756</v>
      </c>
      <c r="D68" s="14">
        <v>4.2527998277777792</v>
      </c>
      <c r="E68" s="14">
        <v>12.024749761111114</v>
      </c>
      <c r="F68" s="14">
        <v>43.602659500000001</v>
      </c>
      <c r="G68" s="14">
        <v>75.935479277777773</v>
      </c>
      <c r="H68" s="14">
        <v>77.145999222222216</v>
      </c>
      <c r="I68" s="14">
        <v>73.036489277777775</v>
      </c>
      <c r="J68" s="14">
        <v>69.774859277777779</v>
      </c>
      <c r="K68" s="14">
        <v>67.861159333333333</v>
      </c>
      <c r="L68" s="14">
        <v>68.240129333333343</v>
      </c>
      <c r="M68" s="14">
        <v>68.818999333333323</v>
      </c>
      <c r="N68" s="14">
        <v>69.819659277777774</v>
      </c>
      <c r="O68" s="14">
        <v>70.402189277777779</v>
      </c>
      <c r="P68" s="14">
        <v>71.243139277777772</v>
      </c>
      <c r="Q68" s="14">
        <v>74.622159277777783</v>
      </c>
      <c r="R68" s="15">
        <v>87.513939159888324</v>
      </c>
      <c r="S68" s="14">
        <v>56.850409405196665</v>
      </c>
      <c r="T68" s="14">
        <v>56.850409405196665</v>
      </c>
      <c r="U68" s="14">
        <v>56.850409405196665</v>
      </c>
      <c r="V68" s="14">
        <v>56.850409405196665</v>
      </c>
      <c r="W68" s="14">
        <v>56.850409405196665</v>
      </c>
      <c r="X68" s="14">
        <v>75.935479277777773</v>
      </c>
      <c r="Y68" s="14">
        <v>77.145999222222216</v>
      </c>
      <c r="Z68" s="14">
        <v>73.036489277777775</v>
      </c>
      <c r="AA68" s="14">
        <v>69.774859277777779</v>
      </c>
      <c r="AB68" s="14">
        <v>67.861159333333333</v>
      </c>
      <c r="AC68" s="14">
        <v>68.240129333333343</v>
      </c>
      <c r="AD68" s="14">
        <v>68.818999333333323</v>
      </c>
      <c r="AE68" s="14">
        <v>69.819659277777774</v>
      </c>
      <c r="AF68" s="14">
        <v>70.402189277777779</v>
      </c>
      <c r="AG68" s="14">
        <v>71.243139277777772</v>
      </c>
      <c r="AH68" s="14">
        <v>74.622159277777783</v>
      </c>
      <c r="AI68" s="15">
        <v>87.513939159888324</v>
      </c>
      <c r="AJ68" s="14">
        <v>70.025769299793339</v>
      </c>
      <c r="AK68" s="14">
        <v>70.025769299793339</v>
      </c>
      <c r="AL68" s="14">
        <v>70.025769299793339</v>
      </c>
      <c r="AM68" s="14">
        <v>70.025769299793339</v>
      </c>
      <c r="AN68" s="14">
        <v>70.025769299793339</v>
      </c>
      <c r="AO68" s="14">
        <v>75.935479277777773</v>
      </c>
      <c r="AP68" s="14">
        <v>77.145999222222216</v>
      </c>
      <c r="AQ68" s="14">
        <v>73.036489277777775</v>
      </c>
      <c r="AR68" s="14">
        <v>74.622159277777783</v>
      </c>
      <c r="AS68" s="14">
        <v>87.513939159888324</v>
      </c>
    </row>
    <row r="69" spans="1:45" x14ac:dyDescent="0.35">
      <c r="A69" s="15">
        <v>1744.7567340000001</v>
      </c>
      <c r="B69" s="14">
        <v>4.1711738277777775</v>
      </c>
      <c r="C69" s="14">
        <v>4.1422258277777777</v>
      </c>
      <c r="D69" s="14">
        <v>4.2337918277777771</v>
      </c>
      <c r="E69" s="14">
        <v>11.587169766666669</v>
      </c>
      <c r="F69" s="14">
        <v>42.384809499999996</v>
      </c>
      <c r="G69" s="14">
        <v>75.499449277777771</v>
      </c>
      <c r="H69" s="14">
        <v>77.098439222222225</v>
      </c>
      <c r="I69" s="14">
        <v>73.063819277777782</v>
      </c>
      <c r="J69" s="14">
        <v>69.781439277777778</v>
      </c>
      <c r="K69" s="14">
        <v>67.822759333333323</v>
      </c>
      <c r="L69" s="14">
        <v>68.197029333333333</v>
      </c>
      <c r="M69" s="14">
        <v>68.775049333333342</v>
      </c>
      <c r="N69" s="14">
        <v>69.776889277777784</v>
      </c>
      <c r="O69" s="14">
        <v>70.358799277777791</v>
      </c>
      <c r="P69" s="14">
        <v>71.201119277777764</v>
      </c>
      <c r="Q69" s="14">
        <v>74.583189277777763</v>
      </c>
      <c r="R69" s="15">
        <v>87.472509160219445</v>
      </c>
      <c r="S69" s="14">
        <v>56.824489405403888</v>
      </c>
      <c r="T69" s="14">
        <v>56.824489405403888</v>
      </c>
      <c r="U69" s="14">
        <v>56.824489405403888</v>
      </c>
      <c r="V69" s="14">
        <v>56.824489405403888</v>
      </c>
      <c r="W69" s="14">
        <v>56.824489405403888</v>
      </c>
      <c r="X69" s="14">
        <v>75.499449277777771</v>
      </c>
      <c r="Y69" s="14">
        <v>77.098439222222225</v>
      </c>
      <c r="Z69" s="14">
        <v>73.063819277777782</v>
      </c>
      <c r="AA69" s="14">
        <v>69.781439277777778</v>
      </c>
      <c r="AB69" s="14">
        <v>67.822759333333323</v>
      </c>
      <c r="AC69" s="14">
        <v>68.197029333333333</v>
      </c>
      <c r="AD69" s="14">
        <v>68.775049333333342</v>
      </c>
      <c r="AE69" s="14">
        <v>69.776889277777784</v>
      </c>
      <c r="AF69" s="14">
        <v>70.358799277777791</v>
      </c>
      <c r="AG69" s="14">
        <v>71.201119277777764</v>
      </c>
      <c r="AH69" s="14">
        <v>74.583189277777763</v>
      </c>
      <c r="AI69" s="15">
        <v>87.472509160219445</v>
      </c>
      <c r="AJ69" s="14">
        <v>69.99324930005389</v>
      </c>
      <c r="AK69" s="14">
        <v>69.99324930005389</v>
      </c>
      <c r="AL69" s="14">
        <v>69.99324930005389</v>
      </c>
      <c r="AM69" s="14">
        <v>69.99324930005389</v>
      </c>
      <c r="AN69" s="14">
        <v>69.99324930005389</v>
      </c>
      <c r="AO69" s="14">
        <v>75.499449277777771</v>
      </c>
      <c r="AP69" s="14">
        <v>77.098439222222225</v>
      </c>
      <c r="AQ69" s="14">
        <v>73.063819277777782</v>
      </c>
      <c r="AR69" s="14">
        <v>74.583189277777763</v>
      </c>
      <c r="AS69" s="14">
        <v>87.472509160219445</v>
      </c>
    </row>
    <row r="70" spans="1:45" x14ac:dyDescent="0.35">
      <c r="A70" s="15">
        <v>1767.4780500000002</v>
      </c>
      <c r="B70" s="14">
        <v>4.171952827777778</v>
      </c>
      <c r="C70" s="14">
        <v>4.1422608277777764</v>
      </c>
      <c r="D70" s="14">
        <v>4.2176548277777766</v>
      </c>
      <c r="E70" s="14">
        <v>11.171909772222222</v>
      </c>
      <c r="F70" s="14">
        <v>41.189629555555562</v>
      </c>
      <c r="G70" s="14">
        <v>75.045309277777775</v>
      </c>
      <c r="H70" s="14">
        <v>77.049039222222234</v>
      </c>
      <c r="I70" s="14">
        <v>73.091109277777775</v>
      </c>
      <c r="J70" s="14">
        <v>69.787839277777778</v>
      </c>
      <c r="K70" s="14">
        <v>67.784669333333341</v>
      </c>
      <c r="L70" s="14">
        <v>68.154109333333338</v>
      </c>
      <c r="M70" s="14">
        <v>68.731389333333325</v>
      </c>
      <c r="N70" s="14">
        <v>69.734329277777775</v>
      </c>
      <c r="O70" s="14">
        <v>70.315639277777763</v>
      </c>
      <c r="P70" s="14">
        <v>71.159439277777778</v>
      </c>
      <c r="Q70" s="14">
        <v>74.544479277777782</v>
      </c>
      <c r="R70" s="15">
        <v>87.431329160548884</v>
      </c>
      <c r="S70" s="14">
        <v>56.798879405608886</v>
      </c>
      <c r="T70" s="14">
        <v>56.798879405608886</v>
      </c>
      <c r="U70" s="14">
        <v>56.798879405608886</v>
      </c>
      <c r="V70" s="14">
        <v>56.798879405608886</v>
      </c>
      <c r="W70" s="14">
        <v>56.798879405608886</v>
      </c>
      <c r="X70" s="14">
        <v>75.045309277777775</v>
      </c>
      <c r="Y70" s="14">
        <v>77.049039222222234</v>
      </c>
      <c r="Z70" s="14">
        <v>73.091109277777775</v>
      </c>
      <c r="AA70" s="14">
        <v>69.787839277777778</v>
      </c>
      <c r="AB70" s="14">
        <v>67.784669333333341</v>
      </c>
      <c r="AC70" s="14">
        <v>68.154109333333338</v>
      </c>
      <c r="AD70" s="14">
        <v>68.731389333333325</v>
      </c>
      <c r="AE70" s="14">
        <v>69.734329277777775</v>
      </c>
      <c r="AF70" s="14">
        <v>70.315639277777763</v>
      </c>
      <c r="AG70" s="14">
        <v>71.159439277777778</v>
      </c>
      <c r="AH70" s="14">
        <v>74.544479277777782</v>
      </c>
      <c r="AI70" s="15">
        <v>87.431329160548884</v>
      </c>
      <c r="AJ70" s="14">
        <v>69.961149300310552</v>
      </c>
      <c r="AK70" s="14">
        <v>69.961149300310552</v>
      </c>
      <c r="AL70" s="14">
        <v>69.961149300310552</v>
      </c>
      <c r="AM70" s="14">
        <v>69.961149300310552</v>
      </c>
      <c r="AN70" s="14">
        <v>69.961149300310552</v>
      </c>
      <c r="AO70" s="14">
        <v>75.045309277777775</v>
      </c>
      <c r="AP70" s="14">
        <v>77.049039222222234</v>
      </c>
      <c r="AQ70" s="14">
        <v>73.091109277777775</v>
      </c>
      <c r="AR70" s="14">
        <v>74.544479277777782</v>
      </c>
      <c r="AS70" s="14">
        <v>87.431329160548884</v>
      </c>
    </row>
    <row r="71" spans="1:45" x14ac:dyDescent="0.35">
      <c r="A71" s="15">
        <v>1790.19327</v>
      </c>
      <c r="B71" s="14">
        <v>4.1725438277777762</v>
      </c>
      <c r="C71" s="14">
        <v>4.1425448277777797</v>
      </c>
      <c r="D71" s="14">
        <v>4.2040948277777765</v>
      </c>
      <c r="E71" s="14">
        <v>10.776609772222223</v>
      </c>
      <c r="F71" s="14">
        <v>40.016409555555555</v>
      </c>
      <c r="G71" s="14">
        <v>74.571919277777781</v>
      </c>
      <c r="H71" s="14">
        <v>76.997669222222228</v>
      </c>
      <c r="I71" s="14">
        <v>73.11826927777777</v>
      </c>
      <c r="J71" s="14">
        <v>69.794039277777784</v>
      </c>
      <c r="K71" s="14">
        <v>67.747059333333326</v>
      </c>
      <c r="L71" s="14">
        <v>68.111339333333319</v>
      </c>
      <c r="M71" s="14">
        <v>68.688009333333326</v>
      </c>
      <c r="N71" s="14">
        <v>69.691959277777769</v>
      </c>
      <c r="O71" s="14">
        <v>70.272699277777775</v>
      </c>
      <c r="P71" s="14">
        <v>71.118079277777781</v>
      </c>
      <c r="Q71" s="14">
        <v>74.506029277777785</v>
      </c>
      <c r="R71" s="15">
        <v>87.390389160876666</v>
      </c>
      <c r="S71" s="14">
        <v>56.773259405813896</v>
      </c>
      <c r="T71" s="14">
        <v>56.773259405813896</v>
      </c>
      <c r="U71" s="14">
        <v>56.773259405813896</v>
      </c>
      <c r="V71" s="14">
        <v>56.773259405813896</v>
      </c>
      <c r="W71" s="14">
        <v>56.773259405813896</v>
      </c>
      <c r="X71" s="14">
        <v>74.571919277777781</v>
      </c>
      <c r="Y71" s="14">
        <v>76.997669222222228</v>
      </c>
      <c r="Z71" s="14">
        <v>73.11826927777777</v>
      </c>
      <c r="AA71" s="14">
        <v>69.794039277777784</v>
      </c>
      <c r="AB71" s="14">
        <v>67.747059333333326</v>
      </c>
      <c r="AC71" s="14">
        <v>68.111339333333319</v>
      </c>
      <c r="AD71" s="14">
        <v>68.688009333333326</v>
      </c>
      <c r="AE71" s="14">
        <v>69.691959277777769</v>
      </c>
      <c r="AF71" s="14">
        <v>70.272699277777775</v>
      </c>
      <c r="AG71" s="14">
        <v>71.118079277777781</v>
      </c>
      <c r="AH71" s="14">
        <v>74.506029277777785</v>
      </c>
      <c r="AI71" s="15">
        <v>87.390389160876666</v>
      </c>
      <c r="AJ71" s="14">
        <v>69.929089300567227</v>
      </c>
      <c r="AK71" s="14">
        <v>69.929089300567227</v>
      </c>
      <c r="AL71" s="14">
        <v>69.929089300567227</v>
      </c>
      <c r="AM71" s="14">
        <v>69.929089300567227</v>
      </c>
      <c r="AN71" s="14">
        <v>69.929089300567227</v>
      </c>
      <c r="AO71" s="14">
        <v>74.571919277777781</v>
      </c>
      <c r="AP71" s="14">
        <v>76.997669222222228</v>
      </c>
      <c r="AQ71" s="14">
        <v>73.11826927777777</v>
      </c>
      <c r="AR71" s="14">
        <v>74.506029277777785</v>
      </c>
      <c r="AS71" s="14">
        <v>87.390389160876666</v>
      </c>
    </row>
    <row r="72" spans="1:45" x14ac:dyDescent="0.35">
      <c r="A72" s="15">
        <v>1812.9062039999999</v>
      </c>
      <c r="B72" s="14">
        <v>4.1730248277777768</v>
      </c>
      <c r="C72" s="14">
        <v>4.1430018277777787</v>
      </c>
      <c r="D72" s="14">
        <v>4.1927838277777791</v>
      </c>
      <c r="E72" s="14">
        <v>10.402019777777777</v>
      </c>
      <c r="F72" s="14">
        <v>38.867009555555555</v>
      </c>
      <c r="G72" s="14">
        <v>74.078049277777779</v>
      </c>
      <c r="H72" s="14">
        <v>76.944149222222222</v>
      </c>
      <c r="I72" s="14">
        <v>73.145129277777784</v>
      </c>
      <c r="J72" s="14">
        <v>69.799969277777777</v>
      </c>
      <c r="K72" s="14">
        <v>67.709879333333333</v>
      </c>
      <c r="L72" s="14">
        <v>68.068659333333329</v>
      </c>
      <c r="M72" s="14">
        <v>68.644839333333337</v>
      </c>
      <c r="N72" s="14">
        <v>69.649709277777774</v>
      </c>
      <c r="O72" s="14">
        <v>70.229909277777779</v>
      </c>
      <c r="P72" s="14">
        <v>71.076959277777789</v>
      </c>
      <c r="Q72" s="14">
        <v>74.467759277777773</v>
      </c>
      <c r="R72" s="15">
        <v>87.349599161202775</v>
      </c>
      <c r="S72" s="14">
        <v>56.747699406018327</v>
      </c>
      <c r="T72" s="14">
        <v>56.747699406018327</v>
      </c>
      <c r="U72" s="14">
        <v>56.747699406018327</v>
      </c>
      <c r="V72" s="14">
        <v>56.747699406018327</v>
      </c>
      <c r="W72" s="14">
        <v>56.747699406018327</v>
      </c>
      <c r="X72" s="14">
        <v>74.078049277777779</v>
      </c>
      <c r="Y72" s="14">
        <v>76.944149222222222</v>
      </c>
      <c r="Z72" s="14">
        <v>73.145129277777784</v>
      </c>
      <c r="AA72" s="14">
        <v>69.799969277777777</v>
      </c>
      <c r="AB72" s="14">
        <v>67.709879333333333</v>
      </c>
      <c r="AC72" s="14">
        <v>68.068659333333329</v>
      </c>
      <c r="AD72" s="14">
        <v>68.644839333333337</v>
      </c>
      <c r="AE72" s="14">
        <v>69.649709277777774</v>
      </c>
      <c r="AF72" s="14">
        <v>70.229909277777779</v>
      </c>
      <c r="AG72" s="14">
        <v>71.076959277777789</v>
      </c>
      <c r="AH72" s="14">
        <v>74.467759277777773</v>
      </c>
      <c r="AI72" s="15">
        <v>87.349599161202775</v>
      </c>
      <c r="AJ72" s="14">
        <v>69.897149300822235</v>
      </c>
      <c r="AK72" s="14">
        <v>69.897149300822235</v>
      </c>
      <c r="AL72" s="14">
        <v>69.897149300822235</v>
      </c>
      <c r="AM72" s="14">
        <v>69.897149300822235</v>
      </c>
      <c r="AN72" s="14">
        <v>69.897149300822235</v>
      </c>
      <c r="AO72" s="14">
        <v>74.078049277777779</v>
      </c>
      <c r="AP72" s="14">
        <v>76.944149222222222</v>
      </c>
      <c r="AQ72" s="14">
        <v>73.145129277777784</v>
      </c>
      <c r="AR72" s="14">
        <v>74.467759277777773</v>
      </c>
      <c r="AS72" s="14">
        <v>87.349599161202775</v>
      </c>
    </row>
    <row r="73" spans="1:45" x14ac:dyDescent="0.35">
      <c r="A73" s="15">
        <v>1835.6168520000001</v>
      </c>
      <c r="B73" s="14">
        <v>4.1733788277777766</v>
      </c>
      <c r="C73" s="14">
        <v>4.1436118277777787</v>
      </c>
      <c r="D73" s="14">
        <v>4.1834608277777798</v>
      </c>
      <c r="E73" s="14">
        <v>10.047059777777779</v>
      </c>
      <c r="F73" s="14">
        <v>37.740859555555559</v>
      </c>
      <c r="G73" s="14">
        <v>73.56497927777778</v>
      </c>
      <c r="H73" s="14">
        <v>76.888339222222214</v>
      </c>
      <c r="I73" s="14">
        <v>73.171579277777766</v>
      </c>
      <c r="J73" s="14">
        <v>69.805609277777776</v>
      </c>
      <c r="K73" s="14">
        <v>67.673119333333332</v>
      </c>
      <c r="L73" s="14">
        <v>68.02603933333333</v>
      </c>
      <c r="M73" s="14">
        <v>68.601859333333323</v>
      </c>
      <c r="N73" s="14">
        <v>69.607569277777785</v>
      </c>
      <c r="O73" s="14">
        <v>70.187259277777784</v>
      </c>
      <c r="P73" s="14">
        <v>71.036059277777781</v>
      </c>
      <c r="Q73" s="14">
        <v>74.429669277777776</v>
      </c>
      <c r="R73" s="15">
        <v>87.308959161527781</v>
      </c>
      <c r="S73" s="14">
        <v>56.722119406222774</v>
      </c>
      <c r="T73" s="14">
        <v>56.722119406222774</v>
      </c>
      <c r="U73" s="14">
        <v>56.722119406222774</v>
      </c>
      <c r="V73" s="14">
        <v>56.722119406222774</v>
      </c>
      <c r="W73" s="14">
        <v>56.722119406222774</v>
      </c>
      <c r="X73" s="14">
        <v>73.56497927777778</v>
      </c>
      <c r="Y73" s="14">
        <v>76.888339222222214</v>
      </c>
      <c r="Z73" s="14">
        <v>73.171579277777766</v>
      </c>
      <c r="AA73" s="14">
        <v>69.805609277777776</v>
      </c>
      <c r="AB73" s="14">
        <v>67.673119333333332</v>
      </c>
      <c r="AC73" s="14">
        <v>68.02603933333333</v>
      </c>
      <c r="AD73" s="14">
        <v>68.601859333333323</v>
      </c>
      <c r="AE73" s="14">
        <v>69.607569277777785</v>
      </c>
      <c r="AF73" s="14">
        <v>70.187259277777784</v>
      </c>
      <c r="AG73" s="14">
        <v>71.036059277777781</v>
      </c>
      <c r="AH73" s="14">
        <v>74.429669277777776</v>
      </c>
      <c r="AI73" s="15">
        <v>87.308959161527781</v>
      </c>
      <c r="AJ73" s="14">
        <v>69.865239301077779</v>
      </c>
      <c r="AK73" s="14">
        <v>69.865239301077779</v>
      </c>
      <c r="AL73" s="14">
        <v>69.865239301077779</v>
      </c>
      <c r="AM73" s="14">
        <v>69.865239301077779</v>
      </c>
      <c r="AN73" s="14">
        <v>69.865239301077779</v>
      </c>
      <c r="AO73" s="14">
        <v>73.56497927777778</v>
      </c>
      <c r="AP73" s="14">
        <v>76.888339222222214</v>
      </c>
      <c r="AQ73" s="14">
        <v>73.171579277777766</v>
      </c>
      <c r="AR73" s="14">
        <v>74.429669277777776</v>
      </c>
      <c r="AS73" s="14">
        <v>87.308959161527781</v>
      </c>
    </row>
    <row r="74" spans="1:45" x14ac:dyDescent="0.35">
      <c r="A74" s="15">
        <v>1858.3290240000001</v>
      </c>
      <c r="B74" s="14">
        <v>4.1738068277777769</v>
      </c>
      <c r="C74" s="14">
        <v>4.1441958277777777</v>
      </c>
      <c r="D74" s="14">
        <v>4.1757078277777797</v>
      </c>
      <c r="E74" s="14">
        <v>9.7105327833333313</v>
      </c>
      <c r="F74" s="14">
        <v>36.638989566666666</v>
      </c>
      <c r="G74" s="14">
        <v>73.032049277777787</v>
      </c>
      <c r="H74" s="14">
        <v>76.829659222222219</v>
      </c>
      <c r="I74" s="14">
        <v>73.197299277777773</v>
      </c>
      <c r="J74" s="14">
        <v>69.810719277777778</v>
      </c>
      <c r="K74" s="14">
        <v>67.63657933333333</v>
      </c>
      <c r="L74" s="14">
        <v>67.983279333333329</v>
      </c>
      <c r="M74" s="14">
        <v>68.558839333333324</v>
      </c>
      <c r="N74" s="14">
        <v>69.565299277777783</v>
      </c>
      <c r="O74" s="14">
        <v>70.144519277777775</v>
      </c>
      <c r="P74" s="14">
        <v>70.995159277777773</v>
      </c>
      <c r="Q74" s="14">
        <v>74.391509277777772</v>
      </c>
      <c r="R74" s="15">
        <v>87.268189161853897</v>
      </c>
      <c r="S74" s="14">
        <v>56.696109406431106</v>
      </c>
      <c r="T74" s="14">
        <v>56.696109406431106</v>
      </c>
      <c r="U74" s="14">
        <v>56.696109406431106</v>
      </c>
      <c r="V74" s="14">
        <v>56.696109406431106</v>
      </c>
      <c r="W74" s="14">
        <v>56.696109406431106</v>
      </c>
      <c r="X74" s="14">
        <v>73.032049277777787</v>
      </c>
      <c r="Y74" s="14">
        <v>76.829659222222219</v>
      </c>
      <c r="Z74" s="14">
        <v>73.197299277777773</v>
      </c>
      <c r="AA74" s="14">
        <v>69.810719277777778</v>
      </c>
      <c r="AB74" s="14">
        <v>67.63657933333333</v>
      </c>
      <c r="AC74" s="14">
        <v>67.983279333333329</v>
      </c>
      <c r="AD74" s="14">
        <v>68.558839333333324</v>
      </c>
      <c r="AE74" s="14">
        <v>69.565299277777783</v>
      </c>
      <c r="AF74" s="14">
        <v>70.144519277777775</v>
      </c>
      <c r="AG74" s="14">
        <v>70.995159277777773</v>
      </c>
      <c r="AH74" s="14">
        <v>74.391509277777772</v>
      </c>
      <c r="AI74" s="15">
        <v>87.268189161853897</v>
      </c>
      <c r="AJ74" s="14">
        <v>69.832829301337213</v>
      </c>
      <c r="AK74" s="14">
        <v>69.832829301337213</v>
      </c>
      <c r="AL74" s="14">
        <v>69.832829301337213</v>
      </c>
      <c r="AM74" s="14">
        <v>69.832829301337213</v>
      </c>
      <c r="AN74" s="14">
        <v>69.832829301337213</v>
      </c>
      <c r="AO74" s="14">
        <v>73.032049277777787</v>
      </c>
      <c r="AP74" s="14">
        <v>76.829659222222219</v>
      </c>
      <c r="AQ74" s="14">
        <v>73.197299277777773</v>
      </c>
      <c r="AR74" s="14">
        <v>74.391509277777772</v>
      </c>
      <c r="AS74" s="14">
        <v>87.268189161853897</v>
      </c>
    </row>
    <row r="75" spans="1:45" x14ac:dyDescent="0.35">
      <c r="A75" s="15">
        <v>1881.0427199999999</v>
      </c>
      <c r="B75" s="14">
        <v>4.1743138277777767</v>
      </c>
      <c r="C75" s="14">
        <v>4.1447538277777776</v>
      </c>
      <c r="D75" s="14">
        <v>4.1693068277777776</v>
      </c>
      <c r="E75" s="14">
        <v>9.3915437833333364</v>
      </c>
      <c r="F75" s="14">
        <v>35.558399577777777</v>
      </c>
      <c r="G75" s="14">
        <v>72.478879277777779</v>
      </c>
      <c r="H75" s="14">
        <v>76.768159222222224</v>
      </c>
      <c r="I75" s="14">
        <v>73.222189277777773</v>
      </c>
      <c r="J75" s="14">
        <v>69.815299277777783</v>
      </c>
      <c r="K75" s="14">
        <v>67.600269333333316</v>
      </c>
      <c r="L75" s="14">
        <v>67.940369333333336</v>
      </c>
      <c r="M75" s="14">
        <v>68.515779333333342</v>
      </c>
      <c r="N75" s="14">
        <v>69.522889277777779</v>
      </c>
      <c r="O75" s="14">
        <v>70.10168927777778</v>
      </c>
      <c r="P75" s="14">
        <v>70.954239277777774</v>
      </c>
      <c r="Q75" s="14">
        <v>74.353279277777773</v>
      </c>
      <c r="R75" s="15">
        <v>87.227309162181115</v>
      </c>
      <c r="S75" s="14">
        <v>56.670259406637783</v>
      </c>
      <c r="T75" s="14">
        <v>56.670259406637783</v>
      </c>
      <c r="U75" s="14">
        <v>56.670259406637783</v>
      </c>
      <c r="V75" s="14">
        <v>56.670259406637783</v>
      </c>
      <c r="W75" s="14">
        <v>56.670259406637783</v>
      </c>
      <c r="X75" s="14">
        <v>72.478879277777779</v>
      </c>
      <c r="Y75" s="14">
        <v>76.768159222222224</v>
      </c>
      <c r="Z75" s="14">
        <v>73.222189277777773</v>
      </c>
      <c r="AA75" s="14">
        <v>69.815299277777783</v>
      </c>
      <c r="AB75" s="14">
        <v>67.600269333333316</v>
      </c>
      <c r="AC75" s="14">
        <v>67.940369333333336</v>
      </c>
      <c r="AD75" s="14">
        <v>68.515779333333342</v>
      </c>
      <c r="AE75" s="14">
        <v>69.522889277777779</v>
      </c>
      <c r="AF75" s="14">
        <v>70.10168927777778</v>
      </c>
      <c r="AG75" s="14">
        <v>70.954239277777774</v>
      </c>
      <c r="AH75" s="14">
        <v>74.353279277777773</v>
      </c>
      <c r="AI75" s="15">
        <v>87.227309162181115</v>
      </c>
      <c r="AJ75" s="14">
        <v>69.800559301595001</v>
      </c>
      <c r="AK75" s="14">
        <v>69.800559301595001</v>
      </c>
      <c r="AL75" s="14">
        <v>69.800559301595001</v>
      </c>
      <c r="AM75" s="14">
        <v>69.800559301595001</v>
      </c>
      <c r="AN75" s="14">
        <v>69.800559301595001</v>
      </c>
      <c r="AO75" s="14">
        <v>72.478879277777779</v>
      </c>
      <c r="AP75" s="14">
        <v>76.768159222222224</v>
      </c>
      <c r="AQ75" s="14">
        <v>73.222189277777773</v>
      </c>
      <c r="AR75" s="14">
        <v>74.353279277777773</v>
      </c>
      <c r="AS75" s="14">
        <v>87.227309162181115</v>
      </c>
    </row>
    <row r="76" spans="1:45" x14ac:dyDescent="0.35">
      <c r="A76" s="15">
        <v>1903.7579400000002</v>
      </c>
      <c r="B76" s="14">
        <v>4.1748938277777761</v>
      </c>
      <c r="C76" s="14">
        <v>4.1452918277777764</v>
      </c>
      <c r="D76" s="14">
        <v>4.1640588277777759</v>
      </c>
      <c r="E76" s="14">
        <v>9.0891437888888866</v>
      </c>
      <c r="F76" s="14">
        <v>34.500129583333333</v>
      </c>
      <c r="G76" s="14">
        <v>71.903469277777788</v>
      </c>
      <c r="H76" s="14">
        <v>76.703689222222224</v>
      </c>
      <c r="I76" s="14">
        <v>73.246159277777764</v>
      </c>
      <c r="J76" s="14">
        <v>69.819339277777772</v>
      </c>
      <c r="K76" s="14">
        <v>67.564199333333335</v>
      </c>
      <c r="L76" s="14">
        <v>67.897309333333325</v>
      </c>
      <c r="M76" s="14">
        <v>68.472689333333335</v>
      </c>
      <c r="N76" s="14">
        <v>69.480349277777762</v>
      </c>
      <c r="O76" s="14">
        <v>70.058629277777783</v>
      </c>
      <c r="P76" s="14">
        <v>70.913319277777774</v>
      </c>
      <c r="Q76" s="14">
        <v>74.314989277777784</v>
      </c>
      <c r="R76" s="15">
        <v>87.18631916250888</v>
      </c>
      <c r="S76" s="14">
        <v>56.644339406845006</v>
      </c>
      <c r="T76" s="14">
        <v>56.644339406845006</v>
      </c>
      <c r="U76" s="14">
        <v>56.644339406845006</v>
      </c>
      <c r="V76" s="14">
        <v>56.644339406845006</v>
      </c>
      <c r="W76" s="14">
        <v>56.644339406845006</v>
      </c>
      <c r="X76" s="14">
        <v>71.903469277777788</v>
      </c>
      <c r="Y76" s="14">
        <v>76.703689222222224</v>
      </c>
      <c r="Z76" s="14">
        <v>73.246159277777764</v>
      </c>
      <c r="AA76" s="14">
        <v>69.819339277777772</v>
      </c>
      <c r="AB76" s="14">
        <v>67.564199333333335</v>
      </c>
      <c r="AC76" s="14">
        <v>67.897309333333325</v>
      </c>
      <c r="AD76" s="14">
        <v>68.472689333333335</v>
      </c>
      <c r="AE76" s="14">
        <v>69.480349277777762</v>
      </c>
      <c r="AF76" s="14">
        <v>70.058629277777783</v>
      </c>
      <c r="AG76" s="14">
        <v>70.913319277777774</v>
      </c>
      <c r="AH76" s="14">
        <v>74.314989277777784</v>
      </c>
      <c r="AI76" s="15">
        <v>87.18631916250888</v>
      </c>
      <c r="AJ76" s="14">
        <v>69.768189301854449</v>
      </c>
      <c r="AK76" s="14">
        <v>69.768189301854449</v>
      </c>
      <c r="AL76" s="14">
        <v>69.768189301854449</v>
      </c>
      <c r="AM76" s="14">
        <v>69.768189301854449</v>
      </c>
      <c r="AN76" s="14">
        <v>69.768189301854449</v>
      </c>
      <c r="AO76" s="14">
        <v>71.903469277777788</v>
      </c>
      <c r="AP76" s="14">
        <v>76.703689222222224</v>
      </c>
      <c r="AQ76" s="14">
        <v>73.246159277777764</v>
      </c>
      <c r="AR76" s="14">
        <v>74.314989277777784</v>
      </c>
      <c r="AS76" s="14">
        <v>87.18631916250888</v>
      </c>
    </row>
    <row r="77" spans="1:45" x14ac:dyDescent="0.35">
      <c r="A77" s="15">
        <v>1926.474684</v>
      </c>
      <c r="B77" s="14">
        <v>4.175542827777778</v>
      </c>
      <c r="C77" s="14">
        <v>4.1458108277777779</v>
      </c>
      <c r="D77" s="14">
        <v>4.1597848277777771</v>
      </c>
      <c r="E77" s="14">
        <v>8.801879788888888</v>
      </c>
      <c r="F77" s="14">
        <v>33.467329594444443</v>
      </c>
      <c r="G77" s="14">
        <v>71.307619277777775</v>
      </c>
      <c r="H77" s="14">
        <v>76.636069222222233</v>
      </c>
      <c r="I77" s="14">
        <v>73.269099277777798</v>
      </c>
      <c r="J77" s="14">
        <v>69.822849277777777</v>
      </c>
      <c r="K77" s="14">
        <v>67.52839933333334</v>
      </c>
      <c r="L77" s="14">
        <v>67.854099333333323</v>
      </c>
      <c r="M77" s="14">
        <v>68.429569333333347</v>
      </c>
      <c r="N77" s="14">
        <v>69.437689277777778</v>
      </c>
      <c r="O77" s="14">
        <v>70.01544927777779</v>
      </c>
      <c r="P77" s="14">
        <v>70.872379277777782</v>
      </c>
      <c r="Q77" s="14">
        <v>74.276649277777778</v>
      </c>
      <c r="R77" s="15">
        <v>87.145209162837773</v>
      </c>
      <c r="S77" s="14">
        <v>56.618409407052212</v>
      </c>
      <c r="T77" s="14">
        <v>56.618409407052212</v>
      </c>
      <c r="U77" s="14">
        <v>56.618409407052212</v>
      </c>
      <c r="V77" s="14">
        <v>56.618409407052212</v>
      </c>
      <c r="W77" s="14">
        <v>56.618409407052212</v>
      </c>
      <c r="X77" s="14">
        <v>71.307619277777775</v>
      </c>
      <c r="Y77" s="14">
        <v>76.636069222222233</v>
      </c>
      <c r="Z77" s="14">
        <v>73.269099277777798</v>
      </c>
      <c r="AA77" s="14">
        <v>69.822849277777777</v>
      </c>
      <c r="AB77" s="14">
        <v>67.52839933333334</v>
      </c>
      <c r="AC77" s="14">
        <v>67.854099333333323</v>
      </c>
      <c r="AD77" s="14">
        <v>68.429569333333347</v>
      </c>
      <c r="AE77" s="14">
        <v>69.437689277777778</v>
      </c>
      <c r="AF77" s="14">
        <v>70.01544927777779</v>
      </c>
      <c r="AG77" s="14">
        <v>70.872379277777782</v>
      </c>
      <c r="AH77" s="14">
        <v>74.276649277777778</v>
      </c>
      <c r="AI77" s="15">
        <v>87.145209162837773</v>
      </c>
      <c r="AJ77" s="14">
        <v>69.735789302113346</v>
      </c>
      <c r="AK77" s="14">
        <v>69.735789302113346</v>
      </c>
      <c r="AL77" s="14">
        <v>69.735789302113346</v>
      </c>
      <c r="AM77" s="14">
        <v>69.735789302113346</v>
      </c>
      <c r="AN77" s="14">
        <v>69.735789302113346</v>
      </c>
      <c r="AO77" s="14">
        <v>71.307619277777775</v>
      </c>
      <c r="AP77" s="14">
        <v>76.636069222222233</v>
      </c>
      <c r="AQ77" s="14">
        <v>73.269099277777798</v>
      </c>
      <c r="AR77" s="14">
        <v>74.276649277777778</v>
      </c>
      <c r="AS77" s="14">
        <v>87.145209162837773</v>
      </c>
    </row>
    <row r="78" spans="1:45" x14ac:dyDescent="0.35">
      <c r="A78" s="15">
        <v>1949.1899040000001</v>
      </c>
      <c r="B78" s="14">
        <v>4.176126827777777</v>
      </c>
      <c r="C78" s="14">
        <v>4.1464298277777765</v>
      </c>
      <c r="D78" s="14">
        <v>4.1564408277777787</v>
      </c>
      <c r="E78" s="14">
        <v>8.5290887944444425</v>
      </c>
      <c r="F78" s="14">
        <v>32.460299599999999</v>
      </c>
      <c r="G78" s="14">
        <v>70.691789277777787</v>
      </c>
      <c r="H78" s="14">
        <v>76.565289222222219</v>
      </c>
      <c r="I78" s="14">
        <v>73.291079277777783</v>
      </c>
      <c r="J78" s="14">
        <v>69.825979277777776</v>
      </c>
      <c r="K78" s="14">
        <v>67.493039333333343</v>
      </c>
      <c r="L78" s="14">
        <v>67.810859333333326</v>
      </c>
      <c r="M78" s="14">
        <v>68.386569333333327</v>
      </c>
      <c r="N78" s="14">
        <v>69.395079277777782</v>
      </c>
      <c r="O78" s="14">
        <v>69.972379277777776</v>
      </c>
      <c r="P78" s="14">
        <v>70.831609277777773</v>
      </c>
      <c r="Q78" s="14">
        <v>74.238419277777766</v>
      </c>
      <c r="R78" s="15">
        <v>87.104179163166108</v>
      </c>
      <c r="S78" s="14">
        <v>56.592539407259451</v>
      </c>
      <c r="T78" s="14">
        <v>56.592539407259451</v>
      </c>
      <c r="U78" s="14">
        <v>56.592539407259451</v>
      </c>
      <c r="V78" s="14">
        <v>56.592539407259451</v>
      </c>
      <c r="W78" s="14">
        <v>56.592539407259451</v>
      </c>
      <c r="X78" s="14">
        <v>70.691789277777787</v>
      </c>
      <c r="Y78" s="14">
        <v>76.565289222222219</v>
      </c>
      <c r="Z78" s="14">
        <v>73.291079277777783</v>
      </c>
      <c r="AA78" s="14">
        <v>69.825979277777776</v>
      </c>
      <c r="AB78" s="14">
        <v>67.493039333333343</v>
      </c>
      <c r="AC78" s="14">
        <v>67.810859333333326</v>
      </c>
      <c r="AD78" s="14">
        <v>68.386569333333327</v>
      </c>
      <c r="AE78" s="14">
        <v>69.395079277777782</v>
      </c>
      <c r="AF78" s="14">
        <v>69.972379277777776</v>
      </c>
      <c r="AG78" s="14">
        <v>70.831609277777773</v>
      </c>
      <c r="AH78" s="14">
        <v>74.238419277777766</v>
      </c>
      <c r="AI78" s="15">
        <v>87.104179163166108</v>
      </c>
      <c r="AJ78" s="14">
        <v>69.703529302371663</v>
      </c>
      <c r="AK78" s="14">
        <v>69.703529302371663</v>
      </c>
      <c r="AL78" s="14">
        <v>69.703529302371663</v>
      </c>
      <c r="AM78" s="14">
        <v>69.703529302371663</v>
      </c>
      <c r="AN78" s="14">
        <v>69.703529302371663</v>
      </c>
      <c r="AO78" s="14">
        <v>70.691789277777787</v>
      </c>
      <c r="AP78" s="14">
        <v>76.565289222222219</v>
      </c>
      <c r="AQ78" s="14">
        <v>73.291079277777783</v>
      </c>
      <c r="AR78" s="14">
        <v>74.238419277777766</v>
      </c>
      <c r="AS78" s="14">
        <v>87.104179163166108</v>
      </c>
    </row>
    <row r="79" spans="1:45" x14ac:dyDescent="0.35">
      <c r="A79" s="15">
        <v>1971.9036000000001</v>
      </c>
      <c r="B79" s="14">
        <v>4.1766388277777757</v>
      </c>
      <c r="C79" s="14">
        <v>4.1471338277777763</v>
      </c>
      <c r="D79" s="14">
        <v>4.1538778277777766</v>
      </c>
      <c r="E79" s="14">
        <v>8.2710787944444455</v>
      </c>
      <c r="F79" s="14">
        <v>31.478499605555555</v>
      </c>
      <c r="G79" s="14">
        <v>70.055209277777777</v>
      </c>
      <c r="H79" s="14">
        <v>76.491179222222229</v>
      </c>
      <c r="I79" s="14">
        <v>73.312019277777779</v>
      </c>
      <c r="J79" s="14">
        <v>69.828729277777782</v>
      </c>
      <c r="K79" s="14">
        <v>67.458129333333346</v>
      </c>
      <c r="L79" s="14">
        <v>67.767509333333336</v>
      </c>
      <c r="M79" s="14">
        <v>68.343689333333316</v>
      </c>
      <c r="N79" s="14">
        <v>69.35250927777777</v>
      </c>
      <c r="O79" s="14">
        <v>69.92939927777779</v>
      </c>
      <c r="P79" s="14">
        <v>70.790989277777783</v>
      </c>
      <c r="Q79" s="14">
        <v>74.200309277777777</v>
      </c>
      <c r="R79" s="15">
        <v>87.063229163493872</v>
      </c>
      <c r="S79" s="14">
        <v>56.566249407470004</v>
      </c>
      <c r="T79" s="14">
        <v>56.566249407470004</v>
      </c>
      <c r="U79" s="14">
        <v>56.566249407470004</v>
      </c>
      <c r="V79" s="14">
        <v>56.566249407470004</v>
      </c>
      <c r="W79" s="14">
        <v>56.566249407470004</v>
      </c>
      <c r="X79" s="14">
        <v>70.055209277777777</v>
      </c>
      <c r="Y79" s="14">
        <v>76.491179222222229</v>
      </c>
      <c r="Z79" s="14">
        <v>73.312019277777779</v>
      </c>
      <c r="AA79" s="14">
        <v>69.828729277777782</v>
      </c>
      <c r="AB79" s="14">
        <v>67.458129333333346</v>
      </c>
      <c r="AC79" s="14">
        <v>67.767509333333336</v>
      </c>
      <c r="AD79" s="14">
        <v>68.343689333333316</v>
      </c>
      <c r="AE79" s="14">
        <v>69.35250927777777</v>
      </c>
      <c r="AF79" s="14">
        <v>69.92939927777779</v>
      </c>
      <c r="AG79" s="14">
        <v>70.790989277777783</v>
      </c>
      <c r="AH79" s="14">
        <v>74.200309277777777</v>
      </c>
      <c r="AI79" s="15">
        <v>87.063229163493872</v>
      </c>
      <c r="AJ79" s="14">
        <v>69.670919302632228</v>
      </c>
      <c r="AK79" s="14">
        <v>69.670919302632228</v>
      </c>
      <c r="AL79" s="14">
        <v>69.670919302632228</v>
      </c>
      <c r="AM79" s="14">
        <v>69.670919302632228</v>
      </c>
      <c r="AN79" s="14">
        <v>69.670919302632228</v>
      </c>
      <c r="AO79" s="14">
        <v>70.055209277777777</v>
      </c>
      <c r="AP79" s="14">
        <v>76.491179222222229</v>
      </c>
      <c r="AQ79" s="14">
        <v>73.312019277777779</v>
      </c>
      <c r="AR79" s="14">
        <v>74.200309277777777</v>
      </c>
      <c r="AS79" s="14">
        <v>87.063229163493872</v>
      </c>
    </row>
    <row r="80" spans="1:45" x14ac:dyDescent="0.35">
      <c r="A80" s="16">
        <v>1994.61501</v>
      </c>
      <c r="B80" s="14">
        <v>4.177151827777779</v>
      </c>
      <c r="C80" s="14">
        <v>4.1479658277777771</v>
      </c>
      <c r="D80" s="14">
        <v>4.1520228277777784</v>
      </c>
      <c r="E80" s="14">
        <v>8.0272127944444449</v>
      </c>
      <c r="F80" s="14">
        <v>30.520149616666668</v>
      </c>
      <c r="G80" s="14">
        <v>69.396809277777777</v>
      </c>
      <c r="H80" s="14">
        <v>76.41360922222222</v>
      </c>
      <c r="I80" s="14">
        <v>73.331889277777762</v>
      </c>
      <c r="J80" s="14">
        <v>69.831189277777781</v>
      </c>
      <c r="K80" s="14">
        <v>67.423739333333344</v>
      </c>
      <c r="L80" s="14">
        <v>67.724259333333336</v>
      </c>
      <c r="M80" s="14">
        <v>68.301009333333326</v>
      </c>
      <c r="N80" s="14">
        <v>69.310059277777782</v>
      </c>
      <c r="O80" s="14">
        <v>69.886609277777765</v>
      </c>
      <c r="P80" s="14">
        <v>70.75060927777777</v>
      </c>
      <c r="Q80" s="14">
        <v>74.162399277777766</v>
      </c>
      <c r="R80" s="15">
        <v>87.022429163820007</v>
      </c>
      <c r="S80" s="14">
        <v>56.53932940768501</v>
      </c>
      <c r="T80" s="14">
        <v>56.53932940768501</v>
      </c>
      <c r="U80" s="14">
        <v>56.53932940768501</v>
      </c>
      <c r="V80" s="14">
        <v>56.53932940768501</v>
      </c>
      <c r="W80" s="14">
        <v>56.53932940768501</v>
      </c>
      <c r="X80" s="14">
        <v>69.396809277777777</v>
      </c>
      <c r="Y80" s="14">
        <v>76.41360922222222</v>
      </c>
      <c r="Z80" s="14">
        <v>73.331889277777762</v>
      </c>
      <c r="AA80" s="14">
        <v>69.831189277777781</v>
      </c>
      <c r="AB80" s="14">
        <v>67.423739333333344</v>
      </c>
      <c r="AC80" s="14">
        <v>67.724259333333336</v>
      </c>
      <c r="AD80" s="14">
        <v>68.301009333333326</v>
      </c>
      <c r="AE80" s="14">
        <v>69.310059277777782</v>
      </c>
      <c r="AF80" s="14">
        <v>69.886609277777765</v>
      </c>
      <c r="AG80" s="14">
        <v>70.75060927777777</v>
      </c>
      <c r="AH80" s="14">
        <v>74.162399277777766</v>
      </c>
      <c r="AI80" s="15">
        <v>87.022429163820007</v>
      </c>
      <c r="AJ80" s="14">
        <v>69.637479302900005</v>
      </c>
      <c r="AK80" s="14">
        <v>69.637479302900005</v>
      </c>
      <c r="AL80" s="14">
        <v>69.637479302900005</v>
      </c>
      <c r="AM80" s="14">
        <v>69.637479302900005</v>
      </c>
      <c r="AN80" s="14">
        <v>69.637479302900005</v>
      </c>
      <c r="AO80" s="14">
        <v>69.637479302900005</v>
      </c>
      <c r="AP80" s="14">
        <v>76.41360922222222</v>
      </c>
      <c r="AQ80" s="14">
        <v>73.331889277777762</v>
      </c>
      <c r="AR80" s="14">
        <v>74.162399277777766</v>
      </c>
      <c r="AS80" s="14">
        <v>87.022429163820007</v>
      </c>
    </row>
    <row r="81" spans="1:45" x14ac:dyDescent="0.35">
      <c r="A81" s="16">
        <v>2017.3241340000002</v>
      </c>
      <c r="B81" s="14">
        <v>4.1777758277777757</v>
      </c>
      <c r="C81" s="14">
        <v>4.1489158277777785</v>
      </c>
      <c r="D81" s="14">
        <v>4.1507648277777776</v>
      </c>
      <c r="E81" s="14">
        <v>7.7967228000000013</v>
      </c>
      <c r="F81" s="14">
        <v>29.588039622222222</v>
      </c>
      <c r="G81" s="14">
        <v>68.718859333333342</v>
      </c>
      <c r="H81" s="14">
        <v>76.332399222222236</v>
      </c>
      <c r="I81" s="14">
        <v>73.350609277777778</v>
      </c>
      <c r="J81" s="14">
        <v>69.833349277777771</v>
      </c>
      <c r="K81" s="14">
        <v>67.389899333333332</v>
      </c>
      <c r="L81" s="14">
        <v>67.681109333333339</v>
      </c>
      <c r="M81" s="14">
        <v>68.258519333333339</v>
      </c>
      <c r="N81" s="14">
        <v>69.267729333333321</v>
      </c>
      <c r="O81" s="14">
        <v>69.84398927777778</v>
      </c>
      <c r="P81" s="14">
        <v>70.710439277777766</v>
      </c>
      <c r="Q81" s="14">
        <v>74.124689277777776</v>
      </c>
      <c r="R81" s="15">
        <v>86.98177916414555</v>
      </c>
      <c r="S81" s="14">
        <v>56.51252940789945</v>
      </c>
      <c r="T81" s="14">
        <v>56.51252940789945</v>
      </c>
      <c r="U81" s="14">
        <v>56.51252940789945</v>
      </c>
      <c r="V81" s="14">
        <v>56.51252940789945</v>
      </c>
      <c r="W81" s="14">
        <v>56.51252940789945</v>
      </c>
      <c r="X81" s="14">
        <v>68.718859333333342</v>
      </c>
      <c r="Y81" s="14">
        <v>76.332399222222236</v>
      </c>
      <c r="Z81" s="14">
        <v>73.350609277777778</v>
      </c>
      <c r="AA81" s="14">
        <v>69.833349277777771</v>
      </c>
      <c r="AB81" s="14">
        <v>67.389899333333332</v>
      </c>
      <c r="AC81" s="14">
        <v>67.681109333333339</v>
      </c>
      <c r="AD81" s="14">
        <v>68.258519333333339</v>
      </c>
      <c r="AE81" s="14">
        <v>69.267729333333321</v>
      </c>
      <c r="AF81" s="14">
        <v>69.84398927777778</v>
      </c>
      <c r="AG81" s="14">
        <v>70.710439277777766</v>
      </c>
      <c r="AH81" s="14">
        <v>74.124689277777776</v>
      </c>
      <c r="AI81" s="15">
        <v>86.98177916414555</v>
      </c>
      <c r="AJ81" s="14">
        <v>69.600979303191664</v>
      </c>
      <c r="AK81" s="14">
        <v>69.600979303191664</v>
      </c>
      <c r="AL81" s="14">
        <v>69.600979303191664</v>
      </c>
      <c r="AM81" s="14">
        <v>69.600979303191664</v>
      </c>
      <c r="AN81" s="14">
        <v>69.600979303191664</v>
      </c>
      <c r="AO81" s="14">
        <v>69.600979303191664</v>
      </c>
      <c r="AP81" s="14">
        <v>76.332399222222236</v>
      </c>
      <c r="AQ81" s="14">
        <v>73.350609277777778</v>
      </c>
      <c r="AR81" s="14">
        <v>74.124689277777776</v>
      </c>
      <c r="AS81" s="14">
        <v>86.98177916414555</v>
      </c>
    </row>
    <row r="82" spans="1:45" x14ac:dyDescent="0.35">
      <c r="A82" s="16">
        <v>2047.7286960000001</v>
      </c>
      <c r="B82" s="14">
        <v>4.1781938277777781</v>
      </c>
      <c r="C82" s="14">
        <v>4.150639827777777</v>
      </c>
      <c r="D82" s="14">
        <v>4.1498268277777779</v>
      </c>
      <c r="E82" s="14">
        <v>7.4443428000000011</v>
      </c>
      <c r="F82" s="14">
        <v>28.088259633333337</v>
      </c>
      <c r="G82" s="14">
        <v>67.525279333333344</v>
      </c>
      <c r="H82" s="14">
        <v>76.184229277777774</v>
      </c>
      <c r="I82" s="14">
        <v>73.377699277777765</v>
      </c>
      <c r="J82" s="14">
        <v>69.835329277777774</v>
      </c>
      <c r="K82" s="14">
        <v>67.333799333333346</v>
      </c>
      <c r="L82" s="14">
        <v>67.608139333333327</v>
      </c>
      <c r="M82" s="14">
        <v>68.186869333333334</v>
      </c>
      <c r="N82" s="14">
        <v>69.19619933333334</v>
      </c>
      <c r="O82" s="14">
        <v>69.772139277777768</v>
      </c>
      <c r="P82" s="14">
        <v>70.642829277777778</v>
      </c>
      <c r="Q82" s="14">
        <v>74.061129277777766</v>
      </c>
      <c r="R82" s="15">
        <v>86.913259164693329</v>
      </c>
      <c r="S82" s="14">
        <v>56.50256940797945</v>
      </c>
      <c r="T82" s="14">
        <v>56.50256940797945</v>
      </c>
      <c r="U82" s="14">
        <v>56.50256940797945</v>
      </c>
      <c r="V82" s="14">
        <v>56.50256940797945</v>
      </c>
      <c r="W82" s="14">
        <v>56.50256940797945</v>
      </c>
      <c r="X82" s="14">
        <v>67.525279333333344</v>
      </c>
      <c r="Y82" s="14">
        <v>76.184229277777774</v>
      </c>
      <c r="Z82" s="14">
        <v>73.377699277777765</v>
      </c>
      <c r="AA82" s="14">
        <v>69.835329277777774</v>
      </c>
      <c r="AB82" s="14">
        <v>67.333799333333346</v>
      </c>
      <c r="AC82" s="14">
        <v>67.608139333333327</v>
      </c>
      <c r="AD82" s="14">
        <v>68.186869333333334</v>
      </c>
      <c r="AE82" s="14">
        <v>69.19619933333334</v>
      </c>
      <c r="AF82" s="14">
        <v>69.772139277777768</v>
      </c>
      <c r="AG82" s="14">
        <v>70.642829277777778</v>
      </c>
      <c r="AH82" s="14">
        <v>74.061129277777766</v>
      </c>
      <c r="AI82" s="15">
        <v>86.913259164693329</v>
      </c>
      <c r="AJ82" s="14">
        <v>69.571159303430548</v>
      </c>
      <c r="AK82" s="14">
        <v>69.571159303430548</v>
      </c>
      <c r="AL82" s="14">
        <v>69.571159303430548</v>
      </c>
      <c r="AM82" s="14">
        <v>69.571159303430548</v>
      </c>
      <c r="AN82" s="14">
        <v>69.571159303430548</v>
      </c>
      <c r="AO82" s="14">
        <v>69.571159303430548</v>
      </c>
      <c r="AP82" s="14">
        <v>76.184229277777774</v>
      </c>
      <c r="AQ82" s="14">
        <v>73.377699277777765</v>
      </c>
      <c r="AR82" s="14">
        <v>74.061129277777766</v>
      </c>
      <c r="AS82" s="14">
        <v>86.913259164693329</v>
      </c>
    </row>
    <row r="83" spans="1:45" x14ac:dyDescent="0.35">
      <c r="A83" s="16">
        <v>2085.828696</v>
      </c>
      <c r="B83" s="14">
        <v>4.1778868277777788</v>
      </c>
      <c r="C83" s="14">
        <v>4.152375827777778</v>
      </c>
      <c r="D83" s="14">
        <v>4.149700827777778</v>
      </c>
      <c r="E83" s="14">
        <v>7.1237338055555561</v>
      </c>
      <c r="F83" s="14">
        <v>26.659739644444446</v>
      </c>
      <c r="G83" s="14">
        <v>66.277449333333337</v>
      </c>
      <c r="H83" s="14">
        <v>76.024199277777768</v>
      </c>
      <c r="I83" s="14">
        <v>73.401149277777776</v>
      </c>
      <c r="J83" s="14">
        <v>69.837149277777769</v>
      </c>
      <c r="K83" s="14">
        <v>67.279879333333326</v>
      </c>
      <c r="L83" s="14">
        <v>67.53606933333333</v>
      </c>
      <c r="M83" s="14">
        <v>68.116309333333334</v>
      </c>
      <c r="N83" s="14">
        <v>69.125579333333334</v>
      </c>
      <c r="O83" s="14">
        <v>69.701359277777769</v>
      </c>
      <c r="P83" s="14">
        <v>70.576399277777767</v>
      </c>
      <c r="Q83" s="14">
        <v>73.998659277777776</v>
      </c>
      <c r="R83" s="15">
        <v>86.845669165234455</v>
      </c>
      <c r="S83" s="14">
        <v>56.438899408488332</v>
      </c>
      <c r="T83" s="14">
        <v>56.438899408488332</v>
      </c>
      <c r="U83" s="14">
        <v>56.438899408488332</v>
      </c>
      <c r="V83" s="14">
        <v>56.438899408488332</v>
      </c>
      <c r="W83" s="14">
        <v>56.438899408488332</v>
      </c>
      <c r="X83" s="14">
        <v>66.277449333333337</v>
      </c>
      <c r="Y83" s="14">
        <v>76.024199277777768</v>
      </c>
      <c r="Z83" s="14">
        <v>73.401149277777776</v>
      </c>
      <c r="AA83" s="14">
        <v>69.837149277777769</v>
      </c>
      <c r="AB83" s="14">
        <v>67.279879333333326</v>
      </c>
      <c r="AC83" s="14">
        <v>67.53606933333333</v>
      </c>
      <c r="AD83" s="14">
        <v>68.116309333333334</v>
      </c>
      <c r="AE83" s="14">
        <v>69.125579333333334</v>
      </c>
      <c r="AF83" s="14">
        <v>69.701359277777769</v>
      </c>
      <c r="AG83" s="14">
        <v>70.576399277777767</v>
      </c>
      <c r="AH83" s="14">
        <v>73.998659277777776</v>
      </c>
      <c r="AI83" s="15">
        <v>86.845669165234455</v>
      </c>
      <c r="AJ83" s="14">
        <v>69.510039303919427</v>
      </c>
      <c r="AK83" s="14">
        <v>69.510039303919427</v>
      </c>
      <c r="AL83" s="14">
        <v>69.510039303919427</v>
      </c>
      <c r="AM83" s="14">
        <v>69.510039303919427</v>
      </c>
      <c r="AN83" s="14">
        <v>69.510039303919427</v>
      </c>
      <c r="AO83" s="14">
        <v>69.510039303919427</v>
      </c>
      <c r="AP83" s="14">
        <v>76.024199277777768</v>
      </c>
      <c r="AQ83" s="14">
        <v>73.401149277777776</v>
      </c>
      <c r="AR83" s="14">
        <v>73.998659277777776</v>
      </c>
      <c r="AS83" s="14">
        <v>86.845669165234455</v>
      </c>
    </row>
    <row r="84" spans="1:45" x14ac:dyDescent="0.35">
      <c r="A84" s="16">
        <v>2116.243164</v>
      </c>
      <c r="B84" s="14">
        <v>4.1788718277777788</v>
      </c>
      <c r="C84" s="14">
        <v>4.1530138277777775</v>
      </c>
      <c r="D84" s="14">
        <v>4.1494298277777766</v>
      </c>
      <c r="E84" s="14">
        <v>6.942846805555555</v>
      </c>
      <c r="F84" s="14">
        <v>25.830999655555551</v>
      </c>
      <c r="G84" s="14">
        <v>65.51421933333333</v>
      </c>
      <c r="H84" s="14">
        <v>75.92403927777778</v>
      </c>
      <c r="I84" s="14">
        <v>73.413509277777777</v>
      </c>
      <c r="J84" s="14">
        <v>69.83804927777777</v>
      </c>
      <c r="K84" s="14">
        <v>67.248399333333339</v>
      </c>
      <c r="L84" s="14">
        <v>67.493289333333337</v>
      </c>
      <c r="M84" s="14">
        <v>68.074479333333329</v>
      </c>
      <c r="N84" s="14">
        <v>69.083639333333338</v>
      </c>
      <c r="O84" s="14">
        <v>69.659359277777781</v>
      </c>
      <c r="P84" s="14">
        <v>70.537039277777779</v>
      </c>
      <c r="Q84" s="14">
        <v>73.961579277777773</v>
      </c>
      <c r="R84" s="15">
        <v>86.805419165556117</v>
      </c>
      <c r="S84" s="14">
        <v>56.402049408783327</v>
      </c>
      <c r="T84" s="14">
        <v>56.402049408783327</v>
      </c>
      <c r="U84" s="14">
        <v>56.402049408783327</v>
      </c>
      <c r="V84" s="14">
        <v>56.402049408783327</v>
      </c>
      <c r="W84" s="14">
        <v>56.402049408783327</v>
      </c>
      <c r="X84" s="14">
        <v>65.51421933333333</v>
      </c>
      <c r="Y84" s="14">
        <v>75.92403927777778</v>
      </c>
      <c r="Z84" s="14">
        <v>73.413509277777777</v>
      </c>
      <c r="AA84" s="14">
        <v>69.83804927777777</v>
      </c>
      <c r="AB84" s="14">
        <v>67.248399333333339</v>
      </c>
      <c r="AC84" s="14">
        <v>67.493289333333337</v>
      </c>
      <c r="AD84" s="14">
        <v>68.074479333333329</v>
      </c>
      <c r="AE84" s="14">
        <v>69.083639333333338</v>
      </c>
      <c r="AF84" s="14">
        <v>69.659359277777781</v>
      </c>
      <c r="AG84" s="14">
        <v>70.537039277777779</v>
      </c>
      <c r="AH84" s="14">
        <v>73.961579277777773</v>
      </c>
      <c r="AI84" s="15">
        <v>86.805419165556117</v>
      </c>
      <c r="AJ84" s="14">
        <v>69.466789304265546</v>
      </c>
      <c r="AK84" s="14">
        <v>69.466789304265546</v>
      </c>
      <c r="AL84" s="14">
        <v>69.466789304265546</v>
      </c>
      <c r="AM84" s="14">
        <v>69.466789304265546</v>
      </c>
      <c r="AN84" s="14">
        <v>69.466789304265546</v>
      </c>
      <c r="AO84" s="14">
        <v>69.466789304265546</v>
      </c>
      <c r="AP84" s="14">
        <v>75.92403927777778</v>
      </c>
      <c r="AQ84" s="14">
        <v>73.413509277777777</v>
      </c>
      <c r="AR84" s="14">
        <v>73.961579277777773</v>
      </c>
      <c r="AS84" s="14">
        <v>86.805419165556117</v>
      </c>
    </row>
    <row r="85" spans="1:45" x14ac:dyDescent="0.35">
      <c r="A85" s="16">
        <v>2138.9721</v>
      </c>
      <c r="B85" s="14">
        <v>4.1808718277777777</v>
      </c>
      <c r="C85" s="14">
        <v>4.1531538277777793</v>
      </c>
      <c r="D85" s="14">
        <v>4.1488018277777767</v>
      </c>
      <c r="E85" s="14">
        <v>6.771294805555554</v>
      </c>
      <c r="F85" s="14">
        <v>25.026159661111112</v>
      </c>
      <c r="G85" s="14">
        <v>64.730079333333322</v>
      </c>
      <c r="H85" s="14">
        <v>75.817639277777786</v>
      </c>
      <c r="I85" s="14">
        <v>73.422819277777776</v>
      </c>
      <c r="J85" s="14">
        <v>69.837109277777785</v>
      </c>
      <c r="K85" s="14">
        <v>67.215879333333334</v>
      </c>
      <c r="L85" s="14">
        <v>67.449009333333322</v>
      </c>
      <c r="M85" s="14">
        <v>68.03121933333334</v>
      </c>
      <c r="N85" s="14">
        <v>69.040199333333334</v>
      </c>
      <c r="O85" s="14">
        <v>69.615929277777767</v>
      </c>
      <c r="P85" s="14">
        <v>70.496269277777785</v>
      </c>
      <c r="Q85" s="14">
        <v>73.923089277777777</v>
      </c>
      <c r="R85" s="15">
        <v>86.763679165889997</v>
      </c>
      <c r="S85" s="14">
        <v>56.370879409032767</v>
      </c>
      <c r="T85" s="14">
        <v>56.370879409032767</v>
      </c>
      <c r="U85" s="14">
        <v>56.370879409032767</v>
      </c>
      <c r="V85" s="14">
        <v>56.370879409032767</v>
      </c>
      <c r="W85" s="14">
        <v>56.370879409032767</v>
      </c>
      <c r="X85" s="14">
        <v>64.730079333333322</v>
      </c>
      <c r="Y85" s="14">
        <v>75.817639277777786</v>
      </c>
      <c r="Z85" s="14">
        <v>73.422819277777776</v>
      </c>
      <c r="AA85" s="14">
        <v>69.837109277777785</v>
      </c>
      <c r="AB85" s="14">
        <v>67.215879333333334</v>
      </c>
      <c r="AC85" s="14">
        <v>67.449009333333322</v>
      </c>
      <c r="AD85" s="14">
        <v>68.03121933333334</v>
      </c>
      <c r="AE85" s="14">
        <v>69.040199333333334</v>
      </c>
      <c r="AF85" s="14">
        <v>69.615929277777767</v>
      </c>
      <c r="AG85" s="14">
        <v>70.496269277777785</v>
      </c>
      <c r="AH85" s="14">
        <v>73.923089277777777</v>
      </c>
      <c r="AI85" s="15">
        <v>86.763679165889997</v>
      </c>
      <c r="AJ85" s="14">
        <v>69.428199304573894</v>
      </c>
      <c r="AK85" s="14">
        <v>69.428199304573894</v>
      </c>
      <c r="AL85" s="14">
        <v>69.428199304573894</v>
      </c>
      <c r="AM85" s="14">
        <v>69.428199304573894</v>
      </c>
      <c r="AN85" s="14">
        <v>69.428199304573894</v>
      </c>
      <c r="AO85" s="14">
        <v>69.428199304573894</v>
      </c>
      <c r="AP85" s="14">
        <v>75.817639277777786</v>
      </c>
      <c r="AQ85" s="14">
        <v>73.422819277777776</v>
      </c>
      <c r="AR85" s="14">
        <v>73.923089277777777</v>
      </c>
      <c r="AS85" s="14">
        <v>86.763679165889997</v>
      </c>
    </row>
    <row r="86" spans="1:45" x14ac:dyDescent="0.35">
      <c r="A86" s="16">
        <v>2169.3865679999999</v>
      </c>
      <c r="B86" s="14">
        <v>4.1795368277777776</v>
      </c>
      <c r="C86" s="14">
        <v>4.1551748277777794</v>
      </c>
      <c r="D86" s="14">
        <v>4.150005827777778</v>
      </c>
      <c r="E86" s="14">
        <v>6.5107538055555541</v>
      </c>
      <c r="F86" s="14">
        <v>23.745559672222221</v>
      </c>
      <c r="G86" s="14">
        <v>63.372929333333332</v>
      </c>
      <c r="H86" s="14">
        <v>75.626459277777784</v>
      </c>
      <c r="I86" s="14">
        <v>73.43537927777777</v>
      </c>
      <c r="J86" s="14">
        <v>69.836449277777774</v>
      </c>
      <c r="K86" s="14">
        <v>67.164509333333328</v>
      </c>
      <c r="L86" s="14">
        <v>67.376609333333334</v>
      </c>
      <c r="M86" s="14">
        <v>67.960659333333339</v>
      </c>
      <c r="N86" s="14">
        <v>68.969349333333341</v>
      </c>
      <c r="O86" s="14">
        <v>69.545249277777785</v>
      </c>
      <c r="P86" s="14">
        <v>70.430119277777777</v>
      </c>
      <c r="Q86" s="14">
        <v>73.860829277777782</v>
      </c>
      <c r="R86" s="15">
        <v>86.69623916642945</v>
      </c>
      <c r="S86" s="14">
        <v>56.339529409283337</v>
      </c>
      <c r="T86" s="14">
        <v>56.339529409283337</v>
      </c>
      <c r="U86" s="14">
        <v>56.339529409283337</v>
      </c>
      <c r="V86" s="14">
        <v>56.339529409283337</v>
      </c>
      <c r="W86" s="14">
        <v>56.339529409283337</v>
      </c>
      <c r="X86" s="14">
        <v>63.372929333333332</v>
      </c>
      <c r="Y86" s="14">
        <v>75.626459277777784</v>
      </c>
      <c r="Z86" s="14">
        <v>73.43537927777777</v>
      </c>
      <c r="AA86" s="14">
        <v>69.836449277777774</v>
      </c>
      <c r="AB86" s="14">
        <v>67.164509333333328</v>
      </c>
      <c r="AC86" s="14">
        <v>67.376609333333334</v>
      </c>
      <c r="AD86" s="14">
        <v>67.960659333333339</v>
      </c>
      <c r="AE86" s="14">
        <v>68.969349333333341</v>
      </c>
      <c r="AF86" s="14">
        <v>69.545249277777785</v>
      </c>
      <c r="AG86" s="14">
        <v>70.430119277777777</v>
      </c>
      <c r="AH86" s="14">
        <v>73.860829277777782</v>
      </c>
      <c r="AI86" s="15">
        <v>86.69623916642945</v>
      </c>
      <c r="AJ86" s="14">
        <v>69.38454930492334</v>
      </c>
      <c r="AK86" s="14">
        <v>69.38454930492334</v>
      </c>
      <c r="AL86" s="14">
        <v>69.38454930492334</v>
      </c>
      <c r="AM86" s="14">
        <v>69.38454930492334</v>
      </c>
      <c r="AN86" s="14">
        <v>69.38454930492334</v>
      </c>
      <c r="AO86" s="14">
        <v>69.38454930492334</v>
      </c>
      <c r="AP86" s="14">
        <v>75.626459277777784</v>
      </c>
      <c r="AQ86" s="14">
        <v>73.43537927777777</v>
      </c>
      <c r="AR86" s="14">
        <v>73.860829277777782</v>
      </c>
      <c r="AS86" s="14">
        <v>86.69623916642945</v>
      </c>
    </row>
    <row r="87" spans="1:45" x14ac:dyDescent="0.35">
      <c r="A87" s="16">
        <v>2207.4865680000003</v>
      </c>
      <c r="B87" s="14">
        <v>4.1772778277777789</v>
      </c>
      <c r="C87" s="14">
        <v>4.1583238277777763</v>
      </c>
      <c r="D87" s="14">
        <v>4.152660827777777</v>
      </c>
      <c r="E87" s="14">
        <v>6.275407811111112</v>
      </c>
      <c r="F87" s="14">
        <v>22.530359677777774</v>
      </c>
      <c r="G87" s="14">
        <v>61.973989388888896</v>
      </c>
      <c r="H87" s="14">
        <v>75.421839277777778</v>
      </c>
      <c r="I87" s="14">
        <v>73.445019277777789</v>
      </c>
      <c r="J87" s="14">
        <v>69.837629277777779</v>
      </c>
      <c r="K87" s="14">
        <v>67.117209333333321</v>
      </c>
      <c r="L87" s="14">
        <v>67.306939333333332</v>
      </c>
      <c r="M87" s="14">
        <v>67.892939333333345</v>
      </c>
      <c r="N87" s="14">
        <v>68.901299333333327</v>
      </c>
      <c r="O87" s="14">
        <v>69.477499277777781</v>
      </c>
      <c r="P87" s="14">
        <v>70.366999277777779</v>
      </c>
      <c r="Q87" s="14">
        <v>73.801549277777781</v>
      </c>
      <c r="R87" s="15">
        <v>86.631909166944453</v>
      </c>
      <c r="S87" s="14">
        <v>56.323739409410003</v>
      </c>
      <c r="T87" s="14">
        <v>56.323739409410003</v>
      </c>
      <c r="U87" s="14">
        <v>56.323739409410003</v>
      </c>
      <c r="V87" s="14">
        <v>56.323739409410003</v>
      </c>
      <c r="W87" s="14">
        <v>56.323739409410003</v>
      </c>
      <c r="X87" s="14">
        <v>61.973989388888896</v>
      </c>
      <c r="Y87" s="14">
        <v>75.421839277777778</v>
      </c>
      <c r="Z87" s="14">
        <v>73.445019277777789</v>
      </c>
      <c r="AA87" s="14">
        <v>69.837629277777779</v>
      </c>
      <c r="AB87" s="14">
        <v>67.117209333333321</v>
      </c>
      <c r="AC87" s="14">
        <v>67.306939333333332</v>
      </c>
      <c r="AD87" s="14">
        <v>67.892939333333345</v>
      </c>
      <c r="AE87" s="14">
        <v>68.901299333333327</v>
      </c>
      <c r="AF87" s="14">
        <v>69.477499277777781</v>
      </c>
      <c r="AG87" s="14">
        <v>70.366999277777779</v>
      </c>
      <c r="AH87" s="14">
        <v>73.801549277777781</v>
      </c>
      <c r="AI87" s="15">
        <v>86.631909166944453</v>
      </c>
      <c r="AJ87" s="14">
        <v>69.352679305178341</v>
      </c>
      <c r="AK87" s="14">
        <v>69.352679305178341</v>
      </c>
      <c r="AL87" s="14">
        <v>69.352679305178341</v>
      </c>
      <c r="AM87" s="14">
        <v>69.352679305178341</v>
      </c>
      <c r="AN87" s="14">
        <v>69.352679305178341</v>
      </c>
      <c r="AO87" s="14">
        <v>69.352679305178341</v>
      </c>
      <c r="AP87" s="14">
        <v>75.421839277777778</v>
      </c>
      <c r="AQ87" s="14">
        <v>73.445019277777789</v>
      </c>
      <c r="AR87" s="14">
        <v>73.801549277777781</v>
      </c>
      <c r="AS87" s="14">
        <v>86.631909166944453</v>
      </c>
    </row>
    <row r="88" spans="1:45" x14ac:dyDescent="0.35">
      <c r="A88" s="16">
        <v>2237.905608</v>
      </c>
      <c r="B88" s="14">
        <v>4.1748218277777758</v>
      </c>
      <c r="C88" s="14">
        <v>4.1592968277777782</v>
      </c>
      <c r="D88" s="14">
        <v>4.1534788277777794</v>
      </c>
      <c r="E88" s="14">
        <v>6.1426678111111128</v>
      </c>
      <c r="F88" s="14">
        <v>21.822419683333333</v>
      </c>
      <c r="G88" s="14">
        <v>61.124989388888885</v>
      </c>
      <c r="H88" s="14">
        <v>75.293359277777782</v>
      </c>
      <c r="I88" s="14">
        <v>73.448329277777773</v>
      </c>
      <c r="J88" s="14">
        <v>69.837819277777783</v>
      </c>
      <c r="K88" s="14">
        <v>67.089279333333323</v>
      </c>
      <c r="L88" s="14">
        <v>67.265179333333336</v>
      </c>
      <c r="M88" s="14">
        <v>67.852359333333339</v>
      </c>
      <c r="N88" s="14">
        <v>68.860469333333327</v>
      </c>
      <c r="O88" s="14">
        <v>69.436869277777774</v>
      </c>
      <c r="P88" s="14">
        <v>70.329179277777769</v>
      </c>
      <c r="Q88" s="14">
        <v>73.765939277777775</v>
      </c>
      <c r="R88" s="15">
        <v>86.593119167254443</v>
      </c>
      <c r="S88" s="14">
        <v>56.288859409688889</v>
      </c>
      <c r="T88" s="14">
        <v>56.288859409688889</v>
      </c>
      <c r="U88" s="14">
        <v>56.288859409688889</v>
      </c>
      <c r="V88" s="14">
        <v>56.288859409688889</v>
      </c>
      <c r="W88" s="14">
        <v>56.288859409688889</v>
      </c>
      <c r="X88" s="14">
        <v>61.124989388888885</v>
      </c>
      <c r="Y88" s="14">
        <v>75.293359277777782</v>
      </c>
      <c r="Z88" s="14">
        <v>73.448329277777773</v>
      </c>
      <c r="AA88" s="14">
        <v>69.837819277777783</v>
      </c>
      <c r="AB88" s="14">
        <v>67.089279333333323</v>
      </c>
      <c r="AC88" s="14">
        <v>67.265179333333336</v>
      </c>
      <c r="AD88" s="14">
        <v>67.852359333333339</v>
      </c>
      <c r="AE88" s="14">
        <v>68.860469333333327</v>
      </c>
      <c r="AF88" s="14">
        <v>69.436869277777774</v>
      </c>
      <c r="AG88" s="14">
        <v>70.329179277777769</v>
      </c>
      <c r="AH88" s="14">
        <v>73.765939277777775</v>
      </c>
      <c r="AI88" s="15">
        <v>86.593119167254443</v>
      </c>
      <c r="AJ88" s="14">
        <v>69.314239305485543</v>
      </c>
      <c r="AK88" s="14">
        <v>69.314239305485543</v>
      </c>
      <c r="AL88" s="14">
        <v>69.314239305485543</v>
      </c>
      <c r="AM88" s="14">
        <v>69.314239305485543</v>
      </c>
      <c r="AN88" s="14">
        <v>69.314239305485543</v>
      </c>
      <c r="AO88" s="14">
        <v>69.314239305485543</v>
      </c>
      <c r="AP88" s="14">
        <v>75.293359277777782</v>
      </c>
      <c r="AQ88" s="14">
        <v>73.448329277777773</v>
      </c>
      <c r="AR88" s="14">
        <v>73.765939277777775</v>
      </c>
      <c r="AS88" s="14">
        <v>86.593119167254443</v>
      </c>
    </row>
    <row r="89" spans="1:45" x14ac:dyDescent="0.35">
      <c r="A89" s="16">
        <v>2260.6436880000001</v>
      </c>
      <c r="B89" s="14">
        <v>4.1759188277777781</v>
      </c>
      <c r="C89" s="14">
        <v>4.1585548277777757</v>
      </c>
      <c r="D89" s="14">
        <v>4.1527288277777785</v>
      </c>
      <c r="E89" s="14">
        <v>6.0157678111111128</v>
      </c>
      <c r="F89" s="14">
        <v>21.134999688888893</v>
      </c>
      <c r="G89" s="14">
        <v>60.258189388888894</v>
      </c>
      <c r="H89" s="14">
        <v>75.155789277777785</v>
      </c>
      <c r="I89" s="14">
        <v>73.44664927777778</v>
      </c>
      <c r="J89" s="14">
        <v>69.834689277777784</v>
      </c>
      <c r="K89" s="14">
        <v>67.058819333333332</v>
      </c>
      <c r="L89" s="14">
        <v>67.220419333333325</v>
      </c>
      <c r="M89" s="14">
        <v>67.808739333333335</v>
      </c>
      <c r="N89" s="14">
        <v>68.816579333333323</v>
      </c>
      <c r="O89" s="14">
        <v>69.393229277777777</v>
      </c>
      <c r="P89" s="14">
        <v>70.288339277777766</v>
      </c>
      <c r="Q89" s="14">
        <v>73.727299277777789</v>
      </c>
      <c r="R89" s="15">
        <v>86.551169167590004</v>
      </c>
      <c r="S89" s="14">
        <v>56.240679410074435</v>
      </c>
      <c r="T89" s="14">
        <v>56.240679410074435</v>
      </c>
      <c r="U89" s="14">
        <v>56.240679410074435</v>
      </c>
      <c r="V89" s="14">
        <v>56.240679410074435</v>
      </c>
      <c r="W89" s="14">
        <v>56.240679410074435</v>
      </c>
      <c r="X89" s="14">
        <v>60.258189388888894</v>
      </c>
      <c r="Y89" s="14">
        <v>75.155789277777785</v>
      </c>
      <c r="Z89" s="14">
        <v>73.44664927777778</v>
      </c>
      <c r="AA89" s="14">
        <v>69.834689277777784</v>
      </c>
      <c r="AB89" s="14">
        <v>67.058819333333332</v>
      </c>
      <c r="AC89" s="14">
        <v>67.220419333333325</v>
      </c>
      <c r="AD89" s="14">
        <v>67.808739333333335</v>
      </c>
      <c r="AE89" s="14">
        <v>68.816579333333323</v>
      </c>
      <c r="AF89" s="14">
        <v>69.393229277777777</v>
      </c>
      <c r="AG89" s="14">
        <v>70.288339277777766</v>
      </c>
      <c r="AH89" s="14">
        <v>73.727299277777789</v>
      </c>
      <c r="AI89" s="15">
        <v>86.551169167590004</v>
      </c>
      <c r="AJ89" s="14">
        <v>69.264479305883881</v>
      </c>
      <c r="AK89" s="14">
        <v>69.264479305883881</v>
      </c>
      <c r="AL89" s="14">
        <v>69.264479305883881</v>
      </c>
      <c r="AM89" s="14">
        <v>69.264479305883881</v>
      </c>
      <c r="AN89" s="14">
        <v>69.264479305883881</v>
      </c>
      <c r="AO89" s="14">
        <v>69.264479305883881</v>
      </c>
      <c r="AP89" s="14">
        <v>75.155789277777785</v>
      </c>
      <c r="AQ89" s="14">
        <v>73.44664927777778</v>
      </c>
      <c r="AR89" s="14">
        <v>73.727299277777789</v>
      </c>
      <c r="AS89" s="14">
        <v>86.551169167590004</v>
      </c>
    </row>
    <row r="90" spans="1:45" x14ac:dyDescent="0.35">
      <c r="A90" s="16">
        <v>2287.024128</v>
      </c>
      <c r="B90" s="14">
        <v>4.1772538277777791</v>
      </c>
      <c r="C90" s="14">
        <v>4.1584768277777764</v>
      </c>
      <c r="D90" s="14">
        <v>4.152700827777779</v>
      </c>
      <c r="E90" s="14">
        <v>5.8616648111111127</v>
      </c>
      <c r="F90" s="14">
        <v>20.266599700000004</v>
      </c>
      <c r="G90" s="14">
        <v>59.096069388888885</v>
      </c>
      <c r="H90" s="14">
        <v>74.963559277777776</v>
      </c>
      <c r="I90" s="14">
        <v>73.441449277777778</v>
      </c>
      <c r="J90" s="14">
        <v>69.830809277777774</v>
      </c>
      <c r="K90" s="14">
        <v>67.020149333333336</v>
      </c>
      <c r="L90" s="14">
        <v>67.162029333333336</v>
      </c>
      <c r="M90" s="14">
        <v>67.751719333333341</v>
      </c>
      <c r="N90" s="14">
        <v>68.759399333333334</v>
      </c>
      <c r="O90" s="14">
        <v>69.336449277777774</v>
      </c>
      <c r="P90" s="14">
        <v>70.235289277777781</v>
      </c>
      <c r="Q90" s="14">
        <v>73.677189277777771</v>
      </c>
      <c r="R90" s="15">
        <v>86.496849168024994</v>
      </c>
      <c r="S90" s="14">
        <v>56.219009410247779</v>
      </c>
      <c r="T90" s="14">
        <v>56.219009410247779</v>
      </c>
      <c r="U90" s="14">
        <v>56.219009410247779</v>
      </c>
      <c r="V90" s="14">
        <v>56.219009410247779</v>
      </c>
      <c r="W90" s="14">
        <v>56.219009410247779</v>
      </c>
      <c r="X90" s="14">
        <v>59.096069388888885</v>
      </c>
      <c r="Y90" s="14">
        <v>74.963559277777776</v>
      </c>
      <c r="Z90" s="14">
        <v>73.441449277777778</v>
      </c>
      <c r="AA90" s="14">
        <v>69.830809277777774</v>
      </c>
      <c r="AB90" s="14">
        <v>67.020149333333336</v>
      </c>
      <c r="AC90" s="14">
        <v>67.162029333333336</v>
      </c>
      <c r="AD90" s="14">
        <v>67.751719333333341</v>
      </c>
      <c r="AE90" s="14">
        <v>68.759399333333334</v>
      </c>
      <c r="AF90" s="14">
        <v>69.336449277777774</v>
      </c>
      <c r="AG90" s="14">
        <v>70.235289277777781</v>
      </c>
      <c r="AH90" s="14">
        <v>73.677189277777771</v>
      </c>
      <c r="AI90" s="15">
        <v>86.496849168024994</v>
      </c>
      <c r="AJ90" s="14">
        <v>69.23193930614444</v>
      </c>
      <c r="AK90" s="14">
        <v>69.23193930614444</v>
      </c>
      <c r="AL90" s="14">
        <v>69.23193930614444</v>
      </c>
      <c r="AM90" s="14">
        <v>69.23193930614444</v>
      </c>
      <c r="AN90" s="14">
        <v>69.23193930614444</v>
      </c>
      <c r="AO90" s="14">
        <v>69.23193930614444</v>
      </c>
      <c r="AP90" s="14">
        <v>74.963559277777776</v>
      </c>
      <c r="AQ90" s="14">
        <v>73.441449277777778</v>
      </c>
      <c r="AR90" s="14">
        <v>73.677189277777771</v>
      </c>
      <c r="AS90" s="14">
        <v>86.496849168024994</v>
      </c>
    </row>
    <row r="91" spans="1:45" x14ac:dyDescent="0.35">
      <c r="A91" s="16">
        <v>2317.0469280000002</v>
      </c>
      <c r="B91" s="14">
        <v>4.1772338277777781</v>
      </c>
      <c r="C91" s="14">
        <v>4.1588848277777792</v>
      </c>
      <c r="D91" s="14">
        <v>4.1532688277777767</v>
      </c>
      <c r="E91" s="14">
        <v>5.7199888166666648</v>
      </c>
      <c r="F91" s="14">
        <v>19.430099705555552</v>
      </c>
      <c r="G91" s="14">
        <v>57.91596938888889</v>
      </c>
      <c r="H91" s="14">
        <v>74.760279277777784</v>
      </c>
      <c r="I91" s="14">
        <v>73.433259277777779</v>
      </c>
      <c r="J91" s="14">
        <v>69.82749927777779</v>
      </c>
      <c r="K91" s="14">
        <v>66.983349333333337</v>
      </c>
      <c r="L91" s="14">
        <v>67.104699333333329</v>
      </c>
      <c r="M91" s="14">
        <v>67.69577933333332</v>
      </c>
      <c r="N91" s="14">
        <v>68.703289333333331</v>
      </c>
      <c r="O91" s="14">
        <v>69.280809333333337</v>
      </c>
      <c r="P91" s="14">
        <v>70.183409277777784</v>
      </c>
      <c r="Q91" s="14">
        <v>73.628229277777791</v>
      </c>
      <c r="R91" s="15">
        <v>86.443789168449442</v>
      </c>
      <c r="S91" s="14">
        <v>56.172099410622771</v>
      </c>
      <c r="T91" s="14">
        <v>56.172099410622771</v>
      </c>
      <c r="U91" s="14">
        <v>56.172099410622771</v>
      </c>
      <c r="V91" s="14">
        <v>56.172099410622771</v>
      </c>
      <c r="W91" s="14">
        <v>56.172099410622771</v>
      </c>
      <c r="X91" s="14">
        <v>57.91596938888889</v>
      </c>
      <c r="Y91" s="14">
        <v>74.760279277777784</v>
      </c>
      <c r="Z91" s="14">
        <v>73.433259277777779</v>
      </c>
      <c r="AA91" s="14">
        <v>69.82749927777779</v>
      </c>
      <c r="AB91" s="14">
        <v>66.983349333333337</v>
      </c>
      <c r="AC91" s="14">
        <v>67.104699333333329</v>
      </c>
      <c r="AD91" s="14">
        <v>67.69577933333332</v>
      </c>
      <c r="AE91" s="14">
        <v>68.703289333333331</v>
      </c>
      <c r="AF91" s="14">
        <v>69.280809333333337</v>
      </c>
      <c r="AG91" s="14">
        <v>70.183409277777784</v>
      </c>
      <c r="AH91" s="14">
        <v>73.628229277777791</v>
      </c>
      <c r="AI91" s="15">
        <v>86.443789168449442</v>
      </c>
      <c r="AJ91" s="14">
        <v>69.180559306554997</v>
      </c>
      <c r="AK91" s="14">
        <v>69.180559306554997</v>
      </c>
      <c r="AL91" s="14">
        <v>69.180559306554997</v>
      </c>
      <c r="AM91" s="14">
        <v>69.180559306554997</v>
      </c>
      <c r="AN91" s="14">
        <v>69.180559306554997</v>
      </c>
      <c r="AO91" s="14">
        <v>69.180559306554997</v>
      </c>
      <c r="AP91" s="14">
        <v>74.760279277777784</v>
      </c>
      <c r="AQ91" s="14">
        <v>73.433259277777779</v>
      </c>
      <c r="AR91" s="14">
        <v>73.628229277777791</v>
      </c>
      <c r="AS91" s="14">
        <v>86.443789168449442</v>
      </c>
    </row>
    <row r="92" spans="1:45" x14ac:dyDescent="0.35">
      <c r="A92" s="16">
        <v>2351.1083279999998</v>
      </c>
      <c r="B92" s="14">
        <v>4.176411827777776</v>
      </c>
      <c r="C92" s="14">
        <v>4.1595328277777774</v>
      </c>
      <c r="D92" s="14">
        <v>4.1543338277777764</v>
      </c>
      <c r="E92" s="14">
        <v>5.5577778166666647</v>
      </c>
      <c r="F92" s="14">
        <v>18.42760971111111</v>
      </c>
      <c r="G92" s="14">
        <v>56.397289388888886</v>
      </c>
      <c r="H92" s="14">
        <v>74.481239277777775</v>
      </c>
      <c r="I92" s="14">
        <v>73.416299277777782</v>
      </c>
      <c r="J92" s="14">
        <v>69.822659277777774</v>
      </c>
      <c r="K92" s="14">
        <v>66.938009333333341</v>
      </c>
      <c r="L92" s="14">
        <v>67.031989333333343</v>
      </c>
      <c r="M92" s="14">
        <v>67.624839333333341</v>
      </c>
      <c r="N92" s="14">
        <v>68.632169333333337</v>
      </c>
      <c r="O92" s="14">
        <v>69.210349333333326</v>
      </c>
      <c r="P92" s="14">
        <v>70.117769277777768</v>
      </c>
      <c r="Q92" s="14">
        <v>73.566339277777772</v>
      </c>
      <c r="R92" s="15">
        <v>86.376859168985007</v>
      </c>
      <c r="S92" s="14">
        <v>56.133599410931112</v>
      </c>
      <c r="T92" s="14">
        <v>56.133599410931112</v>
      </c>
      <c r="U92" s="14">
        <v>56.133599410931112</v>
      </c>
      <c r="V92" s="14">
        <v>56.133599410931112</v>
      </c>
      <c r="W92" s="14">
        <v>56.133599410931112</v>
      </c>
      <c r="X92" s="14">
        <v>56.397289388888886</v>
      </c>
      <c r="Y92" s="14">
        <v>74.481239277777775</v>
      </c>
      <c r="Z92" s="14">
        <v>73.416299277777782</v>
      </c>
      <c r="AA92" s="14">
        <v>69.822659277777774</v>
      </c>
      <c r="AB92" s="14">
        <v>66.938009333333341</v>
      </c>
      <c r="AC92" s="14">
        <v>67.031989333333343</v>
      </c>
      <c r="AD92" s="14">
        <v>67.624839333333341</v>
      </c>
      <c r="AE92" s="14">
        <v>68.632169333333337</v>
      </c>
      <c r="AF92" s="14">
        <v>69.210349333333326</v>
      </c>
      <c r="AG92" s="14">
        <v>70.117769277777768</v>
      </c>
      <c r="AH92" s="14">
        <v>73.566339277777772</v>
      </c>
      <c r="AI92" s="15">
        <v>86.376859168985007</v>
      </c>
      <c r="AJ92" s="14">
        <v>69.131389306948321</v>
      </c>
      <c r="AK92" s="14">
        <v>69.131389306948321</v>
      </c>
      <c r="AL92" s="14">
        <v>69.131389306948321</v>
      </c>
      <c r="AM92" s="14">
        <v>69.131389306948321</v>
      </c>
      <c r="AN92" s="14">
        <v>69.131389306948321</v>
      </c>
      <c r="AO92" s="14">
        <v>69.131389306948321</v>
      </c>
      <c r="AP92" s="14">
        <v>74.481239277777775</v>
      </c>
      <c r="AQ92" s="14">
        <v>73.416299277777782</v>
      </c>
      <c r="AR92" s="14">
        <v>73.566339277777772</v>
      </c>
      <c r="AS92" s="14">
        <v>86.376859168985007</v>
      </c>
    </row>
    <row r="93" spans="1:45" x14ac:dyDescent="0.35">
      <c r="A93" s="16">
        <v>2389.2083280000002</v>
      </c>
      <c r="B93" s="14">
        <v>4.1750558277777792</v>
      </c>
      <c r="C93" s="14">
        <v>4.1603008277777791</v>
      </c>
      <c r="D93" s="14">
        <v>4.1556238277777764</v>
      </c>
      <c r="E93" s="14">
        <v>5.4118718166666664</v>
      </c>
      <c r="F93" s="14">
        <v>17.481159722222223</v>
      </c>
      <c r="G93" s="14">
        <v>54.861799444444443</v>
      </c>
      <c r="H93" s="14">
        <v>74.180819277777772</v>
      </c>
      <c r="I93" s="14">
        <v>73.393149277777781</v>
      </c>
      <c r="J93" s="14">
        <v>69.818079277777784</v>
      </c>
      <c r="K93" s="14">
        <v>66.894909333333331</v>
      </c>
      <c r="L93" s="14">
        <v>66.960209333333324</v>
      </c>
      <c r="M93" s="14">
        <v>67.554819333333342</v>
      </c>
      <c r="N93" s="14">
        <v>68.56197933333334</v>
      </c>
      <c r="O93" s="14">
        <v>69.14090933333334</v>
      </c>
      <c r="P93" s="14">
        <v>70.053019277777764</v>
      </c>
      <c r="Q93" s="14">
        <v>73.505489277777784</v>
      </c>
      <c r="R93" s="15">
        <v>86.311119169510562</v>
      </c>
      <c r="S93" s="14">
        <v>56.093679411250562</v>
      </c>
      <c r="T93" s="14">
        <v>56.093679411250562</v>
      </c>
      <c r="U93" s="14">
        <v>56.093679411250562</v>
      </c>
      <c r="V93" s="14">
        <v>56.093679411250562</v>
      </c>
      <c r="W93" s="14">
        <v>56.093679411250562</v>
      </c>
      <c r="X93" s="14">
        <v>56.093679411250562</v>
      </c>
      <c r="Y93" s="14">
        <v>74.180819277777772</v>
      </c>
      <c r="Z93" s="14">
        <v>73.393149277777781</v>
      </c>
      <c r="AA93" s="14">
        <v>69.818079277777784</v>
      </c>
      <c r="AB93" s="14">
        <v>66.894909333333331</v>
      </c>
      <c r="AC93" s="14">
        <v>66.960209333333324</v>
      </c>
      <c r="AD93" s="14">
        <v>67.554819333333342</v>
      </c>
      <c r="AE93" s="14">
        <v>68.56197933333334</v>
      </c>
      <c r="AF93" s="14">
        <v>69.14090933333334</v>
      </c>
      <c r="AG93" s="14">
        <v>70.053019277777764</v>
      </c>
      <c r="AH93" s="14">
        <v>73.505489277777784</v>
      </c>
      <c r="AI93" s="15">
        <v>86.311119169510562</v>
      </c>
      <c r="AJ93" s="14">
        <v>69.08109930735111</v>
      </c>
      <c r="AK93" s="14">
        <v>69.08109930735111</v>
      </c>
      <c r="AL93" s="14">
        <v>69.08109930735111</v>
      </c>
      <c r="AM93" s="14">
        <v>69.08109930735111</v>
      </c>
      <c r="AN93" s="14">
        <v>69.08109930735111</v>
      </c>
      <c r="AO93" s="14">
        <v>69.08109930735111</v>
      </c>
      <c r="AP93" s="14">
        <v>74.180819277777772</v>
      </c>
      <c r="AQ93" s="14">
        <v>73.393149277777781</v>
      </c>
      <c r="AR93" s="14">
        <v>73.505489277777784</v>
      </c>
      <c r="AS93" s="14">
        <v>86.311119169510562</v>
      </c>
    </row>
    <row r="94" spans="1:45" x14ac:dyDescent="0.35">
      <c r="A94" s="16">
        <v>2427.3083280000001</v>
      </c>
      <c r="B94" s="14">
        <v>4.1746008277777786</v>
      </c>
      <c r="C94" s="14">
        <v>4.1605158277777772</v>
      </c>
      <c r="D94" s="14">
        <v>4.156543827777778</v>
      </c>
      <c r="E94" s="14">
        <v>5.2800178166666676</v>
      </c>
      <c r="F94" s="14">
        <v>16.588419727777776</v>
      </c>
      <c r="G94" s="14">
        <v>53.31495944444444</v>
      </c>
      <c r="H94" s="14">
        <v>73.857089277777789</v>
      </c>
      <c r="I94" s="14">
        <v>73.362219277777783</v>
      </c>
      <c r="J94" s="14">
        <v>69.812429277777767</v>
      </c>
      <c r="K94" s="14">
        <v>66.852649333333332</v>
      </c>
      <c r="L94" s="14">
        <v>66.887989333333337</v>
      </c>
      <c r="M94" s="14">
        <v>67.484319333333332</v>
      </c>
      <c r="N94" s="14">
        <v>68.491339333333315</v>
      </c>
      <c r="O94" s="14">
        <v>69.071059333333324</v>
      </c>
      <c r="P94" s="14">
        <v>69.987779277777761</v>
      </c>
      <c r="Q94" s="14">
        <v>73.444259277777775</v>
      </c>
      <c r="R94" s="15">
        <v>86.245089170038881</v>
      </c>
      <c r="S94" s="14">
        <v>56.056639411546662</v>
      </c>
      <c r="T94" s="14">
        <v>56.056639411546662</v>
      </c>
      <c r="U94" s="14">
        <v>56.056639411546662</v>
      </c>
      <c r="V94" s="14">
        <v>56.056639411546662</v>
      </c>
      <c r="W94" s="14">
        <v>56.056639411546662</v>
      </c>
      <c r="X94" s="14">
        <v>56.056639411546662</v>
      </c>
      <c r="Y94" s="14">
        <v>73.857089277777789</v>
      </c>
      <c r="Z94" s="14">
        <v>73.362219277777783</v>
      </c>
      <c r="AA94" s="14">
        <v>69.812429277777767</v>
      </c>
      <c r="AB94" s="14">
        <v>66.852649333333332</v>
      </c>
      <c r="AC94" s="14">
        <v>66.887989333333337</v>
      </c>
      <c r="AD94" s="14">
        <v>67.484319333333332</v>
      </c>
      <c r="AE94" s="14">
        <v>68.491339333333315</v>
      </c>
      <c r="AF94" s="14">
        <v>69.071059333333324</v>
      </c>
      <c r="AG94" s="14">
        <v>69.987779277777761</v>
      </c>
      <c r="AH94" s="14">
        <v>73.444259277777775</v>
      </c>
      <c r="AI94" s="15">
        <v>86.245089170038881</v>
      </c>
      <c r="AJ94" s="14">
        <v>69.031939307744452</v>
      </c>
      <c r="AK94" s="14">
        <v>69.031939307744452</v>
      </c>
      <c r="AL94" s="14">
        <v>69.031939307744452</v>
      </c>
      <c r="AM94" s="14">
        <v>69.031939307744452</v>
      </c>
      <c r="AN94" s="14">
        <v>69.031939307744452</v>
      </c>
      <c r="AO94" s="14">
        <v>69.031939307744452</v>
      </c>
      <c r="AP94" s="14">
        <v>73.857089277777789</v>
      </c>
      <c r="AQ94" s="14">
        <v>73.362219277777783</v>
      </c>
      <c r="AR94" s="14">
        <v>73.444259277777775</v>
      </c>
      <c r="AS94" s="14">
        <v>86.245089170038881</v>
      </c>
    </row>
    <row r="95" spans="1:45" x14ac:dyDescent="0.35">
      <c r="A95" s="16">
        <v>2465.408328</v>
      </c>
      <c r="B95" s="14">
        <v>4.1761008277777769</v>
      </c>
      <c r="C95" s="14">
        <v>4.1603758277777798</v>
      </c>
      <c r="D95" s="14">
        <v>4.1571878277777765</v>
      </c>
      <c r="E95" s="14">
        <v>5.1609698166666682</v>
      </c>
      <c r="F95" s="14">
        <v>15.747049733333334</v>
      </c>
      <c r="G95" s="14">
        <v>51.762729444444439</v>
      </c>
      <c r="H95" s="14">
        <v>73.508899277777772</v>
      </c>
      <c r="I95" s="14">
        <v>73.323249277777776</v>
      </c>
      <c r="J95" s="14">
        <v>69.805739277777789</v>
      </c>
      <c r="K95" s="14">
        <v>66.81122933333333</v>
      </c>
      <c r="L95" s="14">
        <v>66.815349333333344</v>
      </c>
      <c r="M95" s="14">
        <v>67.41333933333334</v>
      </c>
      <c r="N95" s="14">
        <v>68.420239333333328</v>
      </c>
      <c r="O95" s="14">
        <v>69.000809333333322</v>
      </c>
      <c r="P95" s="14">
        <v>69.922169277777769</v>
      </c>
      <c r="Q95" s="14">
        <v>73.382649277777773</v>
      </c>
      <c r="R95" s="15">
        <v>86.178779170569442</v>
      </c>
      <c r="S95" s="14">
        <v>56.045369411636663</v>
      </c>
      <c r="T95" s="14">
        <v>56.045369411636663</v>
      </c>
      <c r="U95" s="14">
        <v>56.045369411636663</v>
      </c>
      <c r="V95" s="14">
        <v>56.045369411636663</v>
      </c>
      <c r="W95" s="14">
        <v>56.045369411636663</v>
      </c>
      <c r="X95" s="14">
        <v>56.045369411636663</v>
      </c>
      <c r="Y95" s="14">
        <v>73.508899277777772</v>
      </c>
      <c r="Z95" s="14">
        <v>73.323249277777776</v>
      </c>
      <c r="AA95" s="14">
        <v>69.805739277777789</v>
      </c>
      <c r="AB95" s="14">
        <v>66.81122933333333</v>
      </c>
      <c r="AC95" s="14">
        <v>66.815349333333344</v>
      </c>
      <c r="AD95" s="14">
        <v>67.41333933333334</v>
      </c>
      <c r="AE95" s="14">
        <v>68.420239333333328</v>
      </c>
      <c r="AF95" s="14">
        <v>69.000809333333322</v>
      </c>
      <c r="AG95" s="14">
        <v>69.922169277777769</v>
      </c>
      <c r="AH95" s="14">
        <v>73.382649277777773</v>
      </c>
      <c r="AI95" s="15">
        <v>86.178779170569442</v>
      </c>
      <c r="AJ95" s="14">
        <v>68.996649308026662</v>
      </c>
      <c r="AK95" s="14">
        <v>68.996649308026662</v>
      </c>
      <c r="AL95" s="14">
        <v>68.996649308026662</v>
      </c>
      <c r="AM95" s="14">
        <v>68.996649308026662</v>
      </c>
      <c r="AN95" s="14">
        <v>68.996649308026662</v>
      </c>
      <c r="AO95" s="14">
        <v>68.996649308026662</v>
      </c>
      <c r="AP95" s="14">
        <v>73.508899277777772</v>
      </c>
      <c r="AQ95" s="14">
        <v>73.323249277777776</v>
      </c>
      <c r="AR95" s="14">
        <v>73.382649277777773</v>
      </c>
      <c r="AS95" s="14">
        <v>86.178779170569442</v>
      </c>
    </row>
    <row r="96" spans="1:45" x14ac:dyDescent="0.35">
      <c r="A96" s="16">
        <v>2503.5083280000003</v>
      </c>
      <c r="B96" s="14">
        <v>4.1740458277777783</v>
      </c>
      <c r="C96" s="14">
        <v>4.1601378277777776</v>
      </c>
      <c r="D96" s="14">
        <v>4.1579278277777796</v>
      </c>
      <c r="E96" s="14">
        <v>5.053992822222221</v>
      </c>
      <c r="F96" s="14">
        <v>14.95234973888889</v>
      </c>
      <c r="G96" s="14">
        <v>50.210229444444444</v>
      </c>
      <c r="H96" s="14">
        <v>73.135679277777783</v>
      </c>
      <c r="I96" s="14">
        <v>73.27660927777778</v>
      </c>
      <c r="J96" s="14">
        <v>69.798659277777787</v>
      </c>
      <c r="K96" s="14">
        <v>66.771229333333338</v>
      </c>
      <c r="L96" s="14">
        <v>66.74290933333333</v>
      </c>
      <c r="M96" s="14">
        <v>67.342469333333327</v>
      </c>
      <c r="N96" s="14">
        <v>68.349319333333341</v>
      </c>
      <c r="O96" s="14">
        <v>68.93076933333333</v>
      </c>
      <c r="P96" s="14">
        <v>69.856809277777785</v>
      </c>
      <c r="Q96" s="14">
        <v>73.321299277777769</v>
      </c>
      <c r="R96" s="15">
        <v>86.112869171096662</v>
      </c>
      <c r="S96" s="14">
        <v>55.971029412231672</v>
      </c>
      <c r="T96" s="14">
        <v>55.971029412231672</v>
      </c>
      <c r="U96" s="14">
        <v>55.971029412231672</v>
      </c>
      <c r="V96" s="14">
        <v>55.971029412231672</v>
      </c>
      <c r="W96" s="14">
        <v>55.971029412231672</v>
      </c>
      <c r="X96" s="14">
        <v>55.971029412231672</v>
      </c>
      <c r="Y96" s="14">
        <v>73.135679277777783</v>
      </c>
      <c r="Z96" s="14">
        <v>73.27660927777778</v>
      </c>
      <c r="AA96" s="14">
        <v>69.798659277777787</v>
      </c>
      <c r="AB96" s="14">
        <v>66.771229333333338</v>
      </c>
      <c r="AC96" s="14">
        <v>66.74290933333333</v>
      </c>
      <c r="AD96" s="14">
        <v>67.342469333333327</v>
      </c>
      <c r="AE96" s="14">
        <v>68.349319333333341</v>
      </c>
      <c r="AF96" s="14">
        <v>68.93076933333333</v>
      </c>
      <c r="AG96" s="14">
        <v>69.856809277777785</v>
      </c>
      <c r="AH96" s="14">
        <v>73.321299277777769</v>
      </c>
      <c r="AI96" s="15">
        <v>86.112869171096662</v>
      </c>
      <c r="AJ96" s="14">
        <v>68.924429308604459</v>
      </c>
      <c r="AK96" s="14">
        <v>68.924429308604459</v>
      </c>
      <c r="AL96" s="14">
        <v>68.924429308604459</v>
      </c>
      <c r="AM96" s="14">
        <v>68.924429308604459</v>
      </c>
      <c r="AN96" s="14">
        <v>68.924429308604459</v>
      </c>
      <c r="AO96" s="14">
        <v>68.924429308604459</v>
      </c>
      <c r="AP96" s="14">
        <v>73.135679277777783</v>
      </c>
      <c r="AQ96" s="14">
        <v>73.27660927777778</v>
      </c>
      <c r="AR96" s="14">
        <v>73.321299277777769</v>
      </c>
      <c r="AS96" s="14">
        <v>86.112869171096662</v>
      </c>
    </row>
    <row r="97" spans="1:45" x14ac:dyDescent="0.35">
      <c r="A97" s="16">
        <v>2541.6083280000003</v>
      </c>
      <c r="B97" s="14">
        <v>4.1758998277777772</v>
      </c>
      <c r="C97" s="14">
        <v>4.1601068277777777</v>
      </c>
      <c r="D97" s="14">
        <v>4.1589178277777785</v>
      </c>
      <c r="E97" s="14">
        <v>4.9580388222222203</v>
      </c>
      <c r="F97" s="14">
        <v>14.207729744444444</v>
      </c>
      <c r="G97" s="14">
        <v>48.662529444444445</v>
      </c>
      <c r="H97" s="14">
        <v>72.736229277777781</v>
      </c>
      <c r="I97" s="14">
        <v>73.22201927777779</v>
      </c>
      <c r="J97" s="14">
        <v>69.791209277777781</v>
      </c>
      <c r="K97" s="14">
        <v>66.732649333333327</v>
      </c>
      <c r="L97" s="14">
        <v>66.670679333333339</v>
      </c>
      <c r="M97" s="14">
        <v>67.271719333333337</v>
      </c>
      <c r="N97" s="14">
        <v>68.27857933333334</v>
      </c>
      <c r="O97" s="14">
        <v>68.860929333333331</v>
      </c>
      <c r="P97" s="14">
        <v>69.791689277777778</v>
      </c>
      <c r="Q97" s="14">
        <v>73.260209277777776</v>
      </c>
      <c r="R97" s="15">
        <v>86.047359171620556</v>
      </c>
      <c r="S97" s="14">
        <v>55.963569412291115</v>
      </c>
      <c r="T97" s="14">
        <v>55.963569412291115</v>
      </c>
      <c r="U97" s="14">
        <v>55.963569412291115</v>
      </c>
      <c r="V97" s="14">
        <v>55.963569412291115</v>
      </c>
      <c r="W97" s="14">
        <v>55.963569412291115</v>
      </c>
      <c r="X97" s="14">
        <v>55.963569412291115</v>
      </c>
      <c r="Y97" s="14">
        <v>72.736229277777781</v>
      </c>
      <c r="Z97" s="14">
        <v>73.22201927777779</v>
      </c>
      <c r="AA97" s="14">
        <v>69.791209277777781</v>
      </c>
      <c r="AB97" s="14">
        <v>66.732649333333327</v>
      </c>
      <c r="AC97" s="14">
        <v>66.670679333333339</v>
      </c>
      <c r="AD97" s="14">
        <v>67.271719333333337</v>
      </c>
      <c r="AE97" s="14">
        <v>68.27857933333334</v>
      </c>
      <c r="AF97" s="14">
        <v>68.860929333333331</v>
      </c>
      <c r="AG97" s="14">
        <v>69.791689277777778</v>
      </c>
      <c r="AH97" s="14">
        <v>73.260209277777776</v>
      </c>
      <c r="AI97" s="15">
        <v>86.047359171620556</v>
      </c>
      <c r="AJ97" s="14">
        <v>68.89754930881945</v>
      </c>
      <c r="AK97" s="14">
        <v>68.89754930881945</v>
      </c>
      <c r="AL97" s="14">
        <v>68.89754930881945</v>
      </c>
      <c r="AM97" s="14">
        <v>68.89754930881945</v>
      </c>
      <c r="AN97" s="14">
        <v>68.89754930881945</v>
      </c>
      <c r="AO97" s="14">
        <v>68.89754930881945</v>
      </c>
      <c r="AP97" s="14">
        <v>72.736229277777781</v>
      </c>
      <c r="AQ97" s="14">
        <v>73.22201927777779</v>
      </c>
      <c r="AR97" s="14">
        <v>73.260209277777776</v>
      </c>
      <c r="AS97" s="14">
        <v>86.047359171620556</v>
      </c>
    </row>
    <row r="98" spans="1:45" x14ac:dyDescent="0.35">
      <c r="A98" s="16">
        <v>2572.015938</v>
      </c>
      <c r="B98" s="14">
        <v>4.173558827777776</v>
      </c>
      <c r="C98" s="14">
        <v>4.1597308277777776</v>
      </c>
      <c r="D98" s="14">
        <v>4.159281827777777</v>
      </c>
      <c r="E98" s="14">
        <v>4.9043938222222234</v>
      </c>
      <c r="F98" s="14">
        <v>13.791349749999998</v>
      </c>
      <c r="G98" s="14">
        <v>47.743199499999996</v>
      </c>
      <c r="H98" s="14">
        <v>72.488649277777768</v>
      </c>
      <c r="I98" s="14">
        <v>73.186749277777778</v>
      </c>
      <c r="J98" s="14">
        <v>69.786989277777764</v>
      </c>
      <c r="K98" s="14">
        <v>66.710509333333334</v>
      </c>
      <c r="L98" s="14">
        <v>66.628069333333343</v>
      </c>
      <c r="M98" s="14">
        <v>67.229929333333331</v>
      </c>
      <c r="N98" s="14">
        <v>68.236809333333341</v>
      </c>
      <c r="O98" s="14">
        <v>68.819699333333318</v>
      </c>
      <c r="P98" s="14">
        <v>69.753299277777785</v>
      </c>
      <c r="Q98" s="14">
        <v>73.224169277777776</v>
      </c>
      <c r="R98" s="15">
        <v>86.008619171930548</v>
      </c>
      <c r="S98" s="14">
        <v>55.921659412626667</v>
      </c>
      <c r="T98" s="14">
        <v>55.921659412626667</v>
      </c>
      <c r="U98" s="14">
        <v>55.921659412626667</v>
      </c>
      <c r="V98" s="14">
        <v>55.921659412626667</v>
      </c>
      <c r="W98" s="14">
        <v>55.921659412626667</v>
      </c>
      <c r="X98" s="14">
        <v>55.921659412626667</v>
      </c>
      <c r="Y98" s="14">
        <v>72.488649277777768</v>
      </c>
      <c r="Z98" s="14">
        <v>73.186749277777778</v>
      </c>
      <c r="AA98" s="14">
        <v>69.786989277777764</v>
      </c>
      <c r="AB98" s="14">
        <v>66.710509333333334</v>
      </c>
      <c r="AC98" s="14">
        <v>66.628069333333343</v>
      </c>
      <c r="AD98" s="14">
        <v>67.229929333333331</v>
      </c>
      <c r="AE98" s="14">
        <v>68.236809333333341</v>
      </c>
      <c r="AF98" s="14">
        <v>68.819699333333318</v>
      </c>
      <c r="AG98" s="14">
        <v>69.753299277777785</v>
      </c>
      <c r="AH98" s="14">
        <v>73.224169277777776</v>
      </c>
      <c r="AI98" s="15">
        <v>86.008619171930548</v>
      </c>
      <c r="AJ98" s="14">
        <v>68.855099309158888</v>
      </c>
      <c r="AK98" s="14">
        <v>68.855099309158888</v>
      </c>
      <c r="AL98" s="14">
        <v>68.855099309158888</v>
      </c>
      <c r="AM98" s="14">
        <v>68.855099309158888</v>
      </c>
      <c r="AN98" s="14">
        <v>68.855099309158888</v>
      </c>
      <c r="AO98" s="14">
        <v>68.855099309158888</v>
      </c>
      <c r="AP98" s="14">
        <v>72.488649277777768</v>
      </c>
      <c r="AQ98" s="14">
        <v>73.186749277777778</v>
      </c>
      <c r="AR98" s="14">
        <v>73.224169277777776</v>
      </c>
      <c r="AS98" s="14">
        <v>86.008619171930548</v>
      </c>
    </row>
    <row r="99" spans="1:45" x14ac:dyDescent="0.35">
      <c r="A99" s="16">
        <v>2594.7311580000001</v>
      </c>
      <c r="B99" s="14">
        <v>4.1740088277777767</v>
      </c>
      <c r="C99" s="14">
        <v>4.1588378277777789</v>
      </c>
      <c r="D99" s="14">
        <v>4.1590488277777773</v>
      </c>
      <c r="E99" s="14">
        <v>4.8534618222222212</v>
      </c>
      <c r="F99" s="14">
        <v>13.389229755555554</v>
      </c>
      <c r="G99" s="14">
        <v>46.825109500000003</v>
      </c>
      <c r="H99" s="14">
        <v>72.229249277777782</v>
      </c>
      <c r="I99" s="14">
        <v>73.147149277777771</v>
      </c>
      <c r="J99" s="14">
        <v>69.781109277777773</v>
      </c>
      <c r="K99" s="14">
        <v>66.687339333333341</v>
      </c>
      <c r="L99" s="14">
        <v>66.584009333333327</v>
      </c>
      <c r="M99" s="14">
        <v>67.186629333333329</v>
      </c>
      <c r="N99" s="14">
        <v>68.193569333333343</v>
      </c>
      <c r="O99" s="14">
        <v>68.776999333333336</v>
      </c>
      <c r="P99" s="14">
        <v>69.713429277777777</v>
      </c>
      <c r="Q99" s="14">
        <v>73.186689277777774</v>
      </c>
      <c r="R99" s="15">
        <v>85.968479172251662</v>
      </c>
      <c r="S99" s="14">
        <v>55.871669413026666</v>
      </c>
      <c r="T99" s="14">
        <v>55.871669413026666</v>
      </c>
      <c r="U99" s="14">
        <v>55.871669413026666</v>
      </c>
      <c r="V99" s="14">
        <v>55.871669413026666</v>
      </c>
      <c r="W99" s="14">
        <v>55.871669413026666</v>
      </c>
      <c r="X99" s="14">
        <v>55.871669413026666</v>
      </c>
      <c r="Y99" s="14">
        <v>72.229249277777782</v>
      </c>
      <c r="Z99" s="14">
        <v>73.147149277777771</v>
      </c>
      <c r="AA99" s="14">
        <v>69.781109277777773</v>
      </c>
      <c r="AB99" s="14">
        <v>66.687339333333341</v>
      </c>
      <c r="AC99" s="14">
        <v>66.584009333333327</v>
      </c>
      <c r="AD99" s="14">
        <v>67.186629333333329</v>
      </c>
      <c r="AE99" s="14">
        <v>68.193569333333343</v>
      </c>
      <c r="AF99" s="14">
        <v>68.776999333333336</v>
      </c>
      <c r="AG99" s="14">
        <v>69.713429277777777</v>
      </c>
      <c r="AH99" s="14">
        <v>73.186689277777774</v>
      </c>
      <c r="AI99" s="15">
        <v>85.968479172251662</v>
      </c>
      <c r="AJ99" s="14">
        <v>68.805979309551674</v>
      </c>
      <c r="AK99" s="14">
        <v>68.805979309551674</v>
      </c>
      <c r="AL99" s="14">
        <v>68.805979309551674</v>
      </c>
      <c r="AM99" s="14">
        <v>68.805979309551674</v>
      </c>
      <c r="AN99" s="14">
        <v>68.805979309551674</v>
      </c>
      <c r="AO99" s="14">
        <v>68.805979309551674</v>
      </c>
      <c r="AP99" s="14">
        <v>72.229249277777782</v>
      </c>
      <c r="AQ99" s="14">
        <v>73.147149277777771</v>
      </c>
      <c r="AR99" s="14">
        <v>73.186689277777774</v>
      </c>
      <c r="AS99" s="14">
        <v>85.968479172251662</v>
      </c>
    </row>
    <row r="100" spans="1:45" x14ac:dyDescent="0.35">
      <c r="A100" s="16">
        <v>2617.4509499999999</v>
      </c>
      <c r="B100" s="14">
        <v>4.1749548277777784</v>
      </c>
      <c r="C100" s="14">
        <v>4.1579018277777795</v>
      </c>
      <c r="D100" s="14">
        <v>4.1586618277777792</v>
      </c>
      <c r="E100" s="14">
        <v>4.8056388222222228</v>
      </c>
      <c r="F100" s="14">
        <v>12.999599755555554</v>
      </c>
      <c r="G100" s="14">
        <v>45.911909500000007</v>
      </c>
      <c r="H100" s="14">
        <v>71.959029277777773</v>
      </c>
      <c r="I100" s="14">
        <v>73.104329277777779</v>
      </c>
      <c r="J100" s="14">
        <v>69.774889277777774</v>
      </c>
      <c r="K100" s="14">
        <v>66.664419333333328</v>
      </c>
      <c r="L100" s="14">
        <v>66.539789333333317</v>
      </c>
      <c r="M100" s="14">
        <v>67.143129333333334</v>
      </c>
      <c r="N100" s="14">
        <v>68.150149333333331</v>
      </c>
      <c r="O100" s="14">
        <v>68.734129333333328</v>
      </c>
      <c r="P100" s="14">
        <v>69.67339927777779</v>
      </c>
      <c r="Q100" s="14">
        <v>73.149049277777777</v>
      </c>
      <c r="R100" s="15">
        <v>85.928049172575001</v>
      </c>
      <c r="S100" s="14">
        <v>55.844549413243335</v>
      </c>
      <c r="T100" s="14">
        <v>55.844549413243335</v>
      </c>
      <c r="U100" s="14">
        <v>55.844549413243335</v>
      </c>
      <c r="V100" s="14">
        <v>55.844549413243335</v>
      </c>
      <c r="W100" s="14">
        <v>55.844549413243335</v>
      </c>
      <c r="X100" s="14">
        <v>55.844549413243335</v>
      </c>
      <c r="Y100" s="14">
        <v>71.959029277777773</v>
      </c>
      <c r="Z100" s="14">
        <v>73.104329277777779</v>
      </c>
      <c r="AA100" s="14">
        <v>69.774889277777774</v>
      </c>
      <c r="AB100" s="14">
        <v>66.664419333333328</v>
      </c>
      <c r="AC100" s="14">
        <v>66.539789333333317</v>
      </c>
      <c r="AD100" s="14">
        <v>67.143129333333334</v>
      </c>
      <c r="AE100" s="14">
        <v>68.150149333333331</v>
      </c>
      <c r="AF100" s="14">
        <v>68.734129333333328</v>
      </c>
      <c r="AG100" s="14">
        <v>69.67339927777779</v>
      </c>
      <c r="AH100" s="14">
        <v>73.149049277777777</v>
      </c>
      <c r="AI100" s="15">
        <v>85.928049172575001</v>
      </c>
      <c r="AJ100" s="14">
        <v>68.772899309816665</v>
      </c>
      <c r="AK100" s="14">
        <v>68.772899309816665</v>
      </c>
      <c r="AL100" s="14">
        <v>68.772899309816665</v>
      </c>
      <c r="AM100" s="14">
        <v>68.772899309816665</v>
      </c>
      <c r="AN100" s="14">
        <v>68.772899309816665</v>
      </c>
      <c r="AO100" s="14">
        <v>68.772899309816665</v>
      </c>
      <c r="AP100" s="14">
        <v>71.959029277777773</v>
      </c>
      <c r="AQ100" s="14">
        <v>73.104329277777779</v>
      </c>
      <c r="AR100" s="14">
        <v>73.149049277777777</v>
      </c>
      <c r="AS100" s="14">
        <v>85.928049172575001</v>
      </c>
    </row>
    <row r="101" spans="1:45" x14ac:dyDescent="0.35">
      <c r="A101" s="16">
        <v>2640.1753140000001</v>
      </c>
      <c r="B101" s="14">
        <v>4.1767458277777791</v>
      </c>
      <c r="C101" s="14">
        <v>4.1569688277777788</v>
      </c>
      <c r="D101" s="14">
        <v>4.1581658277777773</v>
      </c>
      <c r="E101" s="14">
        <v>4.7607658222222211</v>
      </c>
      <c r="F101" s="14">
        <v>12.62440976111111</v>
      </c>
      <c r="G101" s="14">
        <v>45.004229500000001</v>
      </c>
      <c r="H101" s="14">
        <v>71.678449277777773</v>
      </c>
      <c r="I101" s="14">
        <v>73.058219277777781</v>
      </c>
      <c r="J101" s="14">
        <v>69.768319277777778</v>
      </c>
      <c r="K101" s="14">
        <v>66.641779333333332</v>
      </c>
      <c r="L101" s="14">
        <v>66.495439333333337</v>
      </c>
      <c r="M101" s="14">
        <v>67.099439333333336</v>
      </c>
      <c r="N101" s="14">
        <v>68.10656933333334</v>
      </c>
      <c r="O101" s="14">
        <v>68.69110933333333</v>
      </c>
      <c r="P101" s="14">
        <v>69.633229277777787</v>
      </c>
      <c r="Q101" s="14">
        <v>73.11126927777778</v>
      </c>
      <c r="R101" s="15">
        <v>85.887479172899987</v>
      </c>
      <c r="S101" s="14">
        <v>55.813469413492228</v>
      </c>
      <c r="T101" s="14">
        <v>55.813469413492228</v>
      </c>
      <c r="U101" s="14">
        <v>55.813469413492228</v>
      </c>
      <c r="V101" s="14">
        <v>55.813469413492228</v>
      </c>
      <c r="W101" s="14">
        <v>55.813469413492228</v>
      </c>
      <c r="X101" s="14">
        <v>55.813469413492228</v>
      </c>
      <c r="Y101" s="14">
        <v>71.678449277777773</v>
      </c>
      <c r="Z101" s="14">
        <v>73.058219277777781</v>
      </c>
      <c r="AA101" s="14">
        <v>69.768319277777778</v>
      </c>
      <c r="AB101" s="14">
        <v>66.641779333333332</v>
      </c>
      <c r="AC101" s="14">
        <v>66.495439333333337</v>
      </c>
      <c r="AD101" s="14">
        <v>67.099439333333336</v>
      </c>
      <c r="AE101" s="14">
        <v>68.10656933333334</v>
      </c>
      <c r="AF101" s="14">
        <v>68.69110933333333</v>
      </c>
      <c r="AG101" s="14">
        <v>69.633229277777787</v>
      </c>
      <c r="AH101" s="14">
        <v>73.11126927777778</v>
      </c>
      <c r="AI101" s="15">
        <v>85.887479172899987</v>
      </c>
      <c r="AJ101" s="14">
        <v>68.734529310123335</v>
      </c>
      <c r="AK101" s="14">
        <v>68.734529310123335</v>
      </c>
      <c r="AL101" s="14">
        <v>68.734529310123335</v>
      </c>
      <c r="AM101" s="14">
        <v>68.734529310123335</v>
      </c>
      <c r="AN101" s="14">
        <v>68.734529310123335</v>
      </c>
      <c r="AO101" s="14">
        <v>68.734529310123335</v>
      </c>
      <c r="AP101" s="14">
        <v>71.678449277777773</v>
      </c>
      <c r="AQ101" s="14">
        <v>73.058219277777781</v>
      </c>
      <c r="AR101" s="14">
        <v>73.11126927777778</v>
      </c>
      <c r="AS101" s="14">
        <v>85.887479172899987</v>
      </c>
    </row>
    <row r="102" spans="1:45" x14ac:dyDescent="0.35">
      <c r="A102" s="16">
        <v>2670.5874960000001</v>
      </c>
      <c r="B102" s="14">
        <v>4.1770228277777797</v>
      </c>
      <c r="C102" s="14">
        <v>4.1566618277777794</v>
      </c>
      <c r="D102" s="14">
        <v>4.1584758277777762</v>
      </c>
      <c r="E102" s="14">
        <v>4.694320822222223</v>
      </c>
      <c r="F102" s="14">
        <v>12.035189761111111</v>
      </c>
      <c r="G102" s="14">
        <v>43.501559499999999</v>
      </c>
      <c r="H102" s="14">
        <v>71.179279277777766</v>
      </c>
      <c r="I102" s="14">
        <v>72.972909277777774</v>
      </c>
      <c r="J102" s="14">
        <v>69.757559277777787</v>
      </c>
      <c r="K102" s="14">
        <v>66.605729333333329</v>
      </c>
      <c r="L102" s="14">
        <v>66.421929333333338</v>
      </c>
      <c r="M102" s="14">
        <v>67.026939333333331</v>
      </c>
      <c r="N102" s="14">
        <v>68.034349333333338</v>
      </c>
      <c r="O102" s="14">
        <v>68.619829333333342</v>
      </c>
      <c r="P102" s="14">
        <v>69.566749277777774</v>
      </c>
      <c r="Q102" s="14">
        <v>73.048899277777778</v>
      </c>
      <c r="R102" s="15">
        <v>85.820719173433901</v>
      </c>
      <c r="S102" s="14">
        <v>55.781539413747225</v>
      </c>
      <c r="T102" s="14">
        <v>55.781539413747225</v>
      </c>
      <c r="U102" s="14">
        <v>55.781539413747225</v>
      </c>
      <c r="V102" s="14">
        <v>55.781539413747225</v>
      </c>
      <c r="W102" s="14">
        <v>55.781539413747225</v>
      </c>
      <c r="X102" s="14">
        <v>55.781539413747225</v>
      </c>
      <c r="Y102" s="14">
        <v>71.179279277777766</v>
      </c>
      <c r="Z102" s="14">
        <v>72.972909277777774</v>
      </c>
      <c r="AA102" s="14">
        <v>69.757559277777787</v>
      </c>
      <c r="AB102" s="14">
        <v>66.605729333333329</v>
      </c>
      <c r="AC102" s="14">
        <v>66.421929333333338</v>
      </c>
      <c r="AD102" s="14">
        <v>67.026939333333331</v>
      </c>
      <c r="AE102" s="14">
        <v>68.034349333333338</v>
      </c>
      <c r="AF102" s="14">
        <v>68.619829333333342</v>
      </c>
      <c r="AG102" s="14">
        <v>69.566749277777774</v>
      </c>
      <c r="AH102" s="14">
        <v>73.048899277777778</v>
      </c>
      <c r="AI102" s="15">
        <v>85.820719173433901</v>
      </c>
      <c r="AJ102" s="14">
        <v>68.69121931046999</v>
      </c>
      <c r="AK102" s="14">
        <v>68.69121931046999</v>
      </c>
      <c r="AL102" s="14">
        <v>68.69121931046999</v>
      </c>
      <c r="AM102" s="14">
        <v>68.69121931046999</v>
      </c>
      <c r="AN102" s="14">
        <v>68.69121931046999</v>
      </c>
      <c r="AO102" s="14">
        <v>68.69121931046999</v>
      </c>
      <c r="AP102" s="14">
        <v>71.179279277777766</v>
      </c>
      <c r="AQ102" s="14">
        <v>72.972909277777774</v>
      </c>
      <c r="AR102" s="14">
        <v>73.048899277777778</v>
      </c>
      <c r="AS102" s="14">
        <v>85.820719173433901</v>
      </c>
    </row>
    <row r="103" spans="1:45" x14ac:dyDescent="0.35">
      <c r="A103" s="16">
        <v>2708.6874960000005</v>
      </c>
      <c r="B103" s="14">
        <v>4.1761038277777764</v>
      </c>
      <c r="C103" s="14">
        <v>4.1570498277777785</v>
      </c>
      <c r="D103" s="14">
        <v>4.1594668277777798</v>
      </c>
      <c r="E103" s="14">
        <v>4.6358558222222221</v>
      </c>
      <c r="F103" s="14">
        <v>11.484219766666667</v>
      </c>
      <c r="G103" s="14">
        <v>42.021869500000008</v>
      </c>
      <c r="H103" s="14">
        <v>70.651019277777777</v>
      </c>
      <c r="I103" s="14">
        <v>72.879859277777783</v>
      </c>
      <c r="J103" s="14">
        <v>69.747959277777781</v>
      </c>
      <c r="K103" s="14">
        <v>66.572559333333331</v>
      </c>
      <c r="L103" s="14">
        <v>66.350269333333316</v>
      </c>
      <c r="M103" s="14">
        <v>66.956119333333334</v>
      </c>
      <c r="N103" s="14">
        <v>67.963919333333322</v>
      </c>
      <c r="O103" s="14">
        <v>68.550329333333337</v>
      </c>
      <c r="P103" s="14">
        <v>69.502089277777785</v>
      </c>
      <c r="Q103" s="14">
        <v>72.988339277777783</v>
      </c>
      <c r="R103" s="15">
        <v>85.755849173952782</v>
      </c>
      <c r="S103" s="14">
        <v>55.749039414007221</v>
      </c>
      <c r="T103" s="14">
        <v>55.749039414007221</v>
      </c>
      <c r="U103" s="14">
        <v>55.749039414007221</v>
      </c>
      <c r="V103" s="14">
        <v>55.749039414007221</v>
      </c>
      <c r="W103" s="14">
        <v>55.749039414007221</v>
      </c>
      <c r="X103" s="14">
        <v>55.749039414007221</v>
      </c>
      <c r="Y103" s="14">
        <v>70.651019277777777</v>
      </c>
      <c r="Z103" s="14">
        <v>72.879859277777783</v>
      </c>
      <c r="AA103" s="14">
        <v>69.747959277777781</v>
      </c>
      <c r="AB103" s="14">
        <v>66.572559333333331</v>
      </c>
      <c r="AC103" s="14">
        <v>66.350269333333316</v>
      </c>
      <c r="AD103" s="14">
        <v>66.956119333333334</v>
      </c>
      <c r="AE103" s="14">
        <v>67.963919333333322</v>
      </c>
      <c r="AF103" s="14">
        <v>68.550329333333337</v>
      </c>
      <c r="AG103" s="14">
        <v>69.502089277777785</v>
      </c>
      <c r="AH103" s="14">
        <v>72.988339277777783</v>
      </c>
      <c r="AI103" s="15">
        <v>85.755849173952782</v>
      </c>
      <c r="AJ103" s="14">
        <v>68.645739310833903</v>
      </c>
      <c r="AK103" s="14">
        <v>68.645739310833903</v>
      </c>
      <c r="AL103" s="14">
        <v>68.645739310833903</v>
      </c>
      <c r="AM103" s="14">
        <v>68.645739310833903</v>
      </c>
      <c r="AN103" s="14">
        <v>68.645739310833903</v>
      </c>
      <c r="AO103" s="14">
        <v>68.645739310833903</v>
      </c>
      <c r="AP103" s="14">
        <v>70.651019277777777</v>
      </c>
      <c r="AQ103" s="14">
        <v>72.879859277777783</v>
      </c>
      <c r="AR103" s="14">
        <v>72.988339277777783</v>
      </c>
      <c r="AS103" s="14">
        <v>85.755849173952782</v>
      </c>
    </row>
    <row r="104" spans="1:45" x14ac:dyDescent="0.35">
      <c r="A104" s="16">
        <v>2746.7874960000004</v>
      </c>
      <c r="B104" s="14">
        <v>4.1740378277777763</v>
      </c>
      <c r="C104" s="14">
        <v>4.1575928277777763</v>
      </c>
      <c r="D104" s="14">
        <v>4.160635827777778</v>
      </c>
      <c r="E104" s="14">
        <v>4.5840668222222227</v>
      </c>
      <c r="F104" s="14">
        <v>10.967789772222224</v>
      </c>
      <c r="G104" s="14">
        <v>40.567719555555556</v>
      </c>
      <c r="H104" s="14">
        <v>70.091279277777787</v>
      </c>
      <c r="I104" s="14">
        <v>72.777579277777775</v>
      </c>
      <c r="J104" s="14">
        <v>69.738159277777783</v>
      </c>
      <c r="K104" s="14">
        <v>66.540909333333332</v>
      </c>
      <c r="L104" s="14">
        <v>66.279149333333351</v>
      </c>
      <c r="M104" s="14">
        <v>66.88566933333334</v>
      </c>
      <c r="N104" s="14">
        <v>67.893929333333347</v>
      </c>
      <c r="O104" s="14">
        <v>68.48126933333333</v>
      </c>
      <c r="P104" s="14">
        <v>69.437899277777788</v>
      </c>
      <c r="Q104" s="14">
        <v>72.928269277777787</v>
      </c>
      <c r="R104" s="15">
        <v>85.691559174467216</v>
      </c>
      <c r="S104" s="14">
        <v>55.705479414356112</v>
      </c>
      <c r="T104" s="14">
        <v>55.705479414356112</v>
      </c>
      <c r="U104" s="14">
        <v>55.705479414356112</v>
      </c>
      <c r="V104" s="14">
        <v>55.705479414356112</v>
      </c>
      <c r="W104" s="14">
        <v>55.705479414356112</v>
      </c>
      <c r="X104" s="14">
        <v>55.705479414356112</v>
      </c>
      <c r="Y104" s="14">
        <v>70.091279277777787</v>
      </c>
      <c r="Z104" s="14">
        <v>72.777579277777775</v>
      </c>
      <c r="AA104" s="14">
        <v>69.738159277777783</v>
      </c>
      <c r="AB104" s="14">
        <v>66.540909333333332</v>
      </c>
      <c r="AC104" s="14">
        <v>66.279149333333351</v>
      </c>
      <c r="AD104" s="14">
        <v>66.88566933333334</v>
      </c>
      <c r="AE104" s="14">
        <v>67.893929333333347</v>
      </c>
      <c r="AF104" s="14">
        <v>68.48126933333333</v>
      </c>
      <c r="AG104" s="14">
        <v>69.437899277777788</v>
      </c>
      <c r="AH104" s="14">
        <v>72.928269277777787</v>
      </c>
      <c r="AI104" s="15">
        <v>85.691559174467216</v>
      </c>
      <c r="AJ104" s="14">
        <v>68.591589311267228</v>
      </c>
      <c r="AK104" s="14">
        <v>68.591589311267228</v>
      </c>
      <c r="AL104" s="14">
        <v>68.591589311267228</v>
      </c>
      <c r="AM104" s="14">
        <v>68.591589311267228</v>
      </c>
      <c r="AN104" s="14">
        <v>68.591589311267228</v>
      </c>
      <c r="AO104" s="14">
        <v>68.591589311267228</v>
      </c>
      <c r="AP104" s="14">
        <v>70.091279277777787</v>
      </c>
      <c r="AQ104" s="14">
        <v>72.777579277777775</v>
      </c>
      <c r="AR104" s="14">
        <v>72.928269277777787</v>
      </c>
      <c r="AS104" s="14">
        <v>85.691559174467216</v>
      </c>
    </row>
    <row r="105" spans="1:45" x14ac:dyDescent="0.35">
      <c r="A105" s="16">
        <v>2784.8874960000003</v>
      </c>
      <c r="B105" s="14">
        <v>4.1755148277777785</v>
      </c>
      <c r="C105" s="14">
        <v>4.1585398277777781</v>
      </c>
      <c r="D105" s="14">
        <v>4.1620998277777783</v>
      </c>
      <c r="E105" s="14">
        <v>4.5383378222222213</v>
      </c>
      <c r="F105" s="14">
        <v>10.484069777777778</v>
      </c>
      <c r="G105" s="14">
        <v>39.139979555555556</v>
      </c>
      <c r="H105" s="14">
        <v>69.497969277777784</v>
      </c>
      <c r="I105" s="14">
        <v>72.665769277777784</v>
      </c>
      <c r="J105" s="14">
        <v>69.728099277777773</v>
      </c>
      <c r="K105" s="14">
        <v>66.510739333333333</v>
      </c>
      <c r="L105" s="14">
        <v>66.208579333333347</v>
      </c>
      <c r="M105" s="14">
        <v>66.815579333333332</v>
      </c>
      <c r="N105" s="14">
        <v>67.824359333333334</v>
      </c>
      <c r="O105" s="14">
        <v>68.412659333333352</v>
      </c>
      <c r="P105" s="14">
        <v>69.374189277777788</v>
      </c>
      <c r="Q105" s="14">
        <v>72.868709277777782</v>
      </c>
      <c r="R105" s="15">
        <v>85.62780917497723</v>
      </c>
      <c r="S105" s="14">
        <v>55.707419414340556</v>
      </c>
      <c r="T105" s="14">
        <v>55.707419414340556</v>
      </c>
      <c r="U105" s="14">
        <v>55.707419414340556</v>
      </c>
      <c r="V105" s="14">
        <v>55.707419414340556</v>
      </c>
      <c r="W105" s="14">
        <v>55.707419414340556</v>
      </c>
      <c r="X105" s="14">
        <v>55.707419414340556</v>
      </c>
      <c r="Y105" s="14">
        <v>69.497969277777784</v>
      </c>
      <c r="Z105" s="14">
        <v>72.665769277777784</v>
      </c>
      <c r="AA105" s="14">
        <v>69.728099277777773</v>
      </c>
      <c r="AB105" s="14">
        <v>66.510739333333333</v>
      </c>
      <c r="AC105" s="14">
        <v>66.208579333333347</v>
      </c>
      <c r="AD105" s="14">
        <v>66.815579333333332</v>
      </c>
      <c r="AE105" s="14">
        <v>67.824359333333334</v>
      </c>
      <c r="AF105" s="14">
        <v>68.412659333333352</v>
      </c>
      <c r="AG105" s="14">
        <v>69.374189277777788</v>
      </c>
      <c r="AH105" s="14">
        <v>72.868709277777782</v>
      </c>
      <c r="AI105" s="15">
        <v>85.62780917497723</v>
      </c>
      <c r="AJ105" s="14">
        <v>68.571289311429439</v>
      </c>
      <c r="AK105" s="14">
        <v>68.571289311429439</v>
      </c>
      <c r="AL105" s="14">
        <v>68.571289311429439</v>
      </c>
      <c r="AM105" s="14">
        <v>68.571289311429439</v>
      </c>
      <c r="AN105" s="14">
        <v>68.571289311429439</v>
      </c>
      <c r="AO105" s="14">
        <v>68.571289311429439</v>
      </c>
      <c r="AP105" s="14">
        <v>69.497969277777784</v>
      </c>
      <c r="AQ105" s="14">
        <v>72.665769277777784</v>
      </c>
      <c r="AR105" s="14">
        <v>72.868709277777782</v>
      </c>
      <c r="AS105" s="14">
        <v>85.62780917497723</v>
      </c>
    </row>
    <row r="106" spans="1:45" x14ac:dyDescent="0.35">
      <c r="A106" s="16">
        <v>2815.2912960000003</v>
      </c>
      <c r="B106" s="14">
        <v>4.1718908277777764</v>
      </c>
      <c r="C106" s="14">
        <v>4.1588408277777784</v>
      </c>
      <c r="D106" s="14">
        <v>4.1627608277777775</v>
      </c>
      <c r="E106" s="14">
        <v>4.5130548222222204</v>
      </c>
      <c r="F106" s="14">
        <v>10.207579777777779</v>
      </c>
      <c r="G106" s="14">
        <v>38.299929555555551</v>
      </c>
      <c r="H106" s="14">
        <v>69.133339333333339</v>
      </c>
      <c r="I106" s="14">
        <v>72.59592927777777</v>
      </c>
      <c r="J106" s="14">
        <v>69.722449277777784</v>
      </c>
      <c r="K106" s="14">
        <v>66.49375933333333</v>
      </c>
      <c r="L106" s="14">
        <v>66.167199333333329</v>
      </c>
      <c r="M106" s="14">
        <v>66.774379333333343</v>
      </c>
      <c r="N106" s="14">
        <v>67.783329333333327</v>
      </c>
      <c r="O106" s="14">
        <v>68.372359333333335</v>
      </c>
      <c r="P106" s="14">
        <v>69.336829277777781</v>
      </c>
      <c r="Q106" s="14">
        <v>72.833789277777782</v>
      </c>
      <c r="R106" s="15">
        <v>85.590309175277227</v>
      </c>
      <c r="S106" s="14">
        <v>55.668079414655004</v>
      </c>
      <c r="T106" s="14">
        <v>55.668079414655004</v>
      </c>
      <c r="U106" s="14">
        <v>55.668079414655004</v>
      </c>
      <c r="V106" s="14">
        <v>55.668079414655004</v>
      </c>
      <c r="W106" s="14">
        <v>55.668079414655004</v>
      </c>
      <c r="X106" s="14">
        <v>55.668079414655004</v>
      </c>
      <c r="Y106" s="14">
        <v>69.133339333333339</v>
      </c>
      <c r="Z106" s="14">
        <v>72.59592927777777</v>
      </c>
      <c r="AA106" s="14">
        <v>69.722449277777784</v>
      </c>
      <c r="AB106" s="14">
        <v>66.49375933333333</v>
      </c>
      <c r="AC106" s="14">
        <v>66.167199333333329</v>
      </c>
      <c r="AD106" s="14">
        <v>66.774379333333343</v>
      </c>
      <c r="AE106" s="14">
        <v>67.783329333333327</v>
      </c>
      <c r="AF106" s="14">
        <v>68.372359333333335</v>
      </c>
      <c r="AG106" s="14">
        <v>69.336829277777781</v>
      </c>
      <c r="AH106" s="14">
        <v>72.833789277777782</v>
      </c>
      <c r="AI106" s="15">
        <v>85.590309175277227</v>
      </c>
      <c r="AJ106" s="14">
        <v>68.532819311737228</v>
      </c>
      <c r="AK106" s="14">
        <v>68.532819311737228</v>
      </c>
      <c r="AL106" s="14">
        <v>68.532819311737228</v>
      </c>
      <c r="AM106" s="14">
        <v>68.532819311737228</v>
      </c>
      <c r="AN106" s="14">
        <v>68.532819311737228</v>
      </c>
      <c r="AO106" s="14">
        <v>68.532819311737228</v>
      </c>
      <c r="AP106" s="14">
        <v>69.133339333333339</v>
      </c>
      <c r="AQ106" s="14">
        <v>72.59592927777777</v>
      </c>
      <c r="AR106" s="14">
        <v>72.833789277777782</v>
      </c>
      <c r="AS106" s="14">
        <v>85.590309175277227</v>
      </c>
    </row>
    <row r="107" spans="1:45" x14ac:dyDescent="0.35">
      <c r="A107" s="16">
        <v>2837.9988960000001</v>
      </c>
      <c r="B107" s="14">
        <v>4.1717638277777764</v>
      </c>
      <c r="C107" s="14">
        <v>4.158406827777779</v>
      </c>
      <c r="D107" s="14">
        <v>4.1626358277777777</v>
      </c>
      <c r="E107" s="14">
        <v>4.4886248222222216</v>
      </c>
      <c r="F107" s="14">
        <v>9.9409567777777781</v>
      </c>
      <c r="G107" s="14">
        <v>37.467249561111117</v>
      </c>
      <c r="H107" s="14">
        <v>68.755519333333325</v>
      </c>
      <c r="I107" s="14">
        <v>72.520819277777775</v>
      </c>
      <c r="J107" s="14">
        <v>69.714789277777783</v>
      </c>
      <c r="K107" s="14">
        <v>66.475399333333314</v>
      </c>
      <c r="L107" s="14">
        <v>66.124129333333329</v>
      </c>
      <c r="M107" s="14">
        <v>66.731409333333332</v>
      </c>
      <c r="N107" s="14">
        <v>67.740559333333323</v>
      </c>
      <c r="O107" s="14">
        <v>68.330319333333335</v>
      </c>
      <c r="P107" s="14">
        <v>69.29770933333333</v>
      </c>
      <c r="Q107" s="14">
        <v>72.797149277777791</v>
      </c>
      <c r="R107" s="15">
        <v>85.551059175591107</v>
      </c>
      <c r="S107" s="14">
        <v>55.607529415139446</v>
      </c>
      <c r="T107" s="14">
        <v>55.607529415139446</v>
      </c>
      <c r="U107" s="14">
        <v>55.607529415139446</v>
      </c>
      <c r="V107" s="14">
        <v>55.607529415139446</v>
      </c>
      <c r="W107" s="14">
        <v>55.607529415139446</v>
      </c>
      <c r="X107" s="14">
        <v>55.607529415139446</v>
      </c>
      <c r="Y107" s="14">
        <v>68.755519333333325</v>
      </c>
      <c r="Z107" s="14">
        <v>72.520819277777775</v>
      </c>
      <c r="AA107" s="14">
        <v>69.714789277777783</v>
      </c>
      <c r="AB107" s="14">
        <v>66.475399333333314</v>
      </c>
      <c r="AC107" s="14">
        <v>66.124129333333329</v>
      </c>
      <c r="AD107" s="14">
        <v>66.731409333333332</v>
      </c>
      <c r="AE107" s="14">
        <v>67.740559333333323</v>
      </c>
      <c r="AF107" s="14">
        <v>68.330319333333335</v>
      </c>
      <c r="AG107" s="14">
        <v>69.29770933333333</v>
      </c>
      <c r="AH107" s="14">
        <v>72.797149277777791</v>
      </c>
      <c r="AI107" s="15">
        <v>85.551059175591107</v>
      </c>
      <c r="AJ107" s="14">
        <v>68.476529312187225</v>
      </c>
      <c r="AK107" s="14">
        <v>68.476529312187225</v>
      </c>
      <c r="AL107" s="14">
        <v>68.476529312187225</v>
      </c>
      <c r="AM107" s="14">
        <v>68.476529312187225</v>
      </c>
      <c r="AN107" s="14">
        <v>68.476529312187225</v>
      </c>
      <c r="AO107" s="14">
        <v>68.476529312187225</v>
      </c>
      <c r="AP107" s="14">
        <v>68.755519333333325</v>
      </c>
      <c r="AQ107" s="14">
        <v>72.520819277777775</v>
      </c>
      <c r="AR107" s="14">
        <v>72.797149277777791</v>
      </c>
      <c r="AS107" s="14">
        <v>85.551059175591107</v>
      </c>
    </row>
    <row r="108" spans="1:45" x14ac:dyDescent="0.35">
      <c r="A108" s="16">
        <v>2860.7209739999998</v>
      </c>
      <c r="B108" s="14">
        <v>4.1724198277777766</v>
      </c>
      <c r="C108" s="14">
        <v>4.1575698277777757</v>
      </c>
      <c r="D108" s="14">
        <v>4.1620358277777765</v>
      </c>
      <c r="E108" s="14">
        <v>4.4653768222222228</v>
      </c>
      <c r="F108" s="14">
        <v>9.6841857833333318</v>
      </c>
      <c r="G108" s="14">
        <v>36.645279566666666</v>
      </c>
      <c r="H108" s="14">
        <v>68.364769333333328</v>
      </c>
      <c r="I108" s="14">
        <v>72.44119927777777</v>
      </c>
      <c r="J108" s="14">
        <v>69.70619927777777</v>
      </c>
      <c r="K108" s="14">
        <v>66.456759333333338</v>
      </c>
      <c r="L108" s="14">
        <v>66.080449333333334</v>
      </c>
      <c r="M108" s="14">
        <v>66.687719333333334</v>
      </c>
      <c r="N108" s="14">
        <v>67.697089333333338</v>
      </c>
      <c r="O108" s="14">
        <v>68.287579333333341</v>
      </c>
      <c r="P108" s="14">
        <v>69.25790933333333</v>
      </c>
      <c r="Q108" s="14">
        <v>72.759809277777777</v>
      </c>
      <c r="R108" s="15">
        <v>85.511049175911097</v>
      </c>
      <c r="S108" s="14">
        <v>55.582739415337784</v>
      </c>
      <c r="T108" s="14">
        <v>55.582739415337784</v>
      </c>
      <c r="U108" s="14">
        <v>55.582739415337784</v>
      </c>
      <c r="V108" s="14">
        <v>55.582739415337784</v>
      </c>
      <c r="W108" s="14">
        <v>55.582739415337784</v>
      </c>
      <c r="X108" s="14">
        <v>55.582739415337784</v>
      </c>
      <c r="Y108" s="14">
        <v>68.364769333333328</v>
      </c>
      <c r="Z108" s="14">
        <v>72.44119927777777</v>
      </c>
      <c r="AA108" s="14">
        <v>69.70619927777777</v>
      </c>
      <c r="AB108" s="14">
        <v>66.456759333333338</v>
      </c>
      <c r="AC108" s="14">
        <v>66.080449333333334</v>
      </c>
      <c r="AD108" s="14">
        <v>66.687719333333334</v>
      </c>
      <c r="AE108" s="14">
        <v>67.697089333333338</v>
      </c>
      <c r="AF108" s="14">
        <v>68.287579333333341</v>
      </c>
      <c r="AG108" s="14">
        <v>69.25790933333333</v>
      </c>
      <c r="AH108" s="14">
        <v>72.759809277777777</v>
      </c>
      <c r="AI108" s="15">
        <v>85.511049175911097</v>
      </c>
      <c r="AJ108" s="14">
        <v>68.445569312434998</v>
      </c>
      <c r="AK108" s="14">
        <v>68.445569312434998</v>
      </c>
      <c r="AL108" s="14">
        <v>68.445569312434998</v>
      </c>
      <c r="AM108" s="14">
        <v>68.445569312434998</v>
      </c>
      <c r="AN108" s="14">
        <v>68.445569312434998</v>
      </c>
      <c r="AO108" s="14">
        <v>68.445569312434998</v>
      </c>
      <c r="AP108" s="14">
        <v>68.445569312434998</v>
      </c>
      <c r="AQ108" s="14">
        <v>72.44119927777777</v>
      </c>
      <c r="AR108" s="14">
        <v>72.759809277777777</v>
      </c>
      <c r="AS108" s="14">
        <v>85.511049175911097</v>
      </c>
    </row>
    <row r="109" spans="1:45" x14ac:dyDescent="0.35">
      <c r="A109" s="16">
        <v>2883.4575300000001</v>
      </c>
      <c r="B109" s="14">
        <v>4.173629827777777</v>
      </c>
      <c r="C109" s="14">
        <v>4.1563748277777774</v>
      </c>
      <c r="D109" s="14">
        <v>4.1609868277777791</v>
      </c>
      <c r="E109" s="14">
        <v>4.4432448222222236</v>
      </c>
      <c r="F109" s="14">
        <v>9.4372817833333329</v>
      </c>
      <c r="G109" s="14">
        <v>35.833429572222222</v>
      </c>
      <c r="H109" s="14">
        <v>67.961429333333342</v>
      </c>
      <c r="I109" s="14">
        <v>72.357069277777782</v>
      </c>
      <c r="J109" s="14">
        <v>69.696659277777769</v>
      </c>
      <c r="K109" s="14">
        <v>66.437849333333332</v>
      </c>
      <c r="L109" s="14">
        <v>66.036209333333332</v>
      </c>
      <c r="M109" s="14">
        <v>66.643369333333325</v>
      </c>
      <c r="N109" s="14">
        <v>67.652989333333323</v>
      </c>
      <c r="O109" s="14">
        <v>68.244199333333327</v>
      </c>
      <c r="P109" s="14">
        <v>69.217459333333338</v>
      </c>
      <c r="Q109" s="14">
        <v>72.721839277777775</v>
      </c>
      <c r="R109" s="15">
        <v>85.470319176237226</v>
      </c>
      <c r="S109" s="14">
        <v>55.556339415548891</v>
      </c>
      <c r="T109" s="14">
        <v>55.556339415548891</v>
      </c>
      <c r="U109" s="14">
        <v>55.556339415548891</v>
      </c>
      <c r="V109" s="14">
        <v>55.556339415548891</v>
      </c>
      <c r="W109" s="14">
        <v>55.556339415548891</v>
      </c>
      <c r="X109" s="14">
        <v>55.556339415548891</v>
      </c>
      <c r="Y109" s="14">
        <v>67.961429333333342</v>
      </c>
      <c r="Z109" s="14">
        <v>72.357069277777782</v>
      </c>
      <c r="AA109" s="14">
        <v>69.696659277777769</v>
      </c>
      <c r="AB109" s="14">
        <v>66.437849333333332</v>
      </c>
      <c r="AC109" s="14">
        <v>66.036209333333332</v>
      </c>
      <c r="AD109" s="14">
        <v>66.643369333333325</v>
      </c>
      <c r="AE109" s="14">
        <v>67.652989333333323</v>
      </c>
      <c r="AF109" s="14">
        <v>68.244199333333327</v>
      </c>
      <c r="AG109" s="14">
        <v>69.217459333333338</v>
      </c>
      <c r="AH109" s="14">
        <v>72.721839277777775</v>
      </c>
      <c r="AI109" s="15">
        <v>85.470319176237226</v>
      </c>
      <c r="AJ109" s="14">
        <v>68.412889312696677</v>
      </c>
      <c r="AK109" s="14">
        <v>68.412889312696677</v>
      </c>
      <c r="AL109" s="14">
        <v>68.412889312696677</v>
      </c>
      <c r="AM109" s="14">
        <v>68.412889312696677</v>
      </c>
      <c r="AN109" s="14">
        <v>68.412889312696677</v>
      </c>
      <c r="AO109" s="14">
        <v>68.412889312696677</v>
      </c>
      <c r="AP109" s="14">
        <v>68.412889312696677</v>
      </c>
      <c r="AQ109" s="14">
        <v>72.357069277777782</v>
      </c>
      <c r="AR109" s="14">
        <v>72.721839277777775</v>
      </c>
      <c r="AS109" s="14">
        <v>85.470319176237226</v>
      </c>
    </row>
    <row r="110" spans="1:45" x14ac:dyDescent="0.35">
      <c r="A110" s="16">
        <v>2906.1834180000001</v>
      </c>
      <c r="B110" s="14">
        <v>4.175452827777776</v>
      </c>
      <c r="C110" s="14">
        <v>4.1555968277777762</v>
      </c>
      <c r="D110" s="14">
        <v>4.1602698277777765</v>
      </c>
      <c r="E110" s="14">
        <v>4.4229018222222214</v>
      </c>
      <c r="F110" s="14">
        <v>9.2008637888888885</v>
      </c>
      <c r="G110" s="14">
        <v>35.033409577777782</v>
      </c>
      <c r="H110" s="14">
        <v>67.545579333333336</v>
      </c>
      <c r="I110" s="14">
        <v>72.269129277777779</v>
      </c>
      <c r="J110" s="14">
        <v>69.687149277777777</v>
      </c>
      <c r="K110" s="14">
        <v>66.419649333333325</v>
      </c>
      <c r="L110" s="14">
        <v>65.992419333333331</v>
      </c>
      <c r="M110" s="14">
        <v>66.599399333333338</v>
      </c>
      <c r="N110" s="14">
        <v>67.609309333333329</v>
      </c>
      <c r="O110" s="14">
        <v>68.201219333333327</v>
      </c>
      <c r="P110" s="14">
        <v>69.177419333333333</v>
      </c>
      <c r="Q110" s="14">
        <v>72.684289277777779</v>
      </c>
      <c r="R110" s="15">
        <v>85.43004917655945</v>
      </c>
      <c r="S110" s="14">
        <v>55.528729415769995</v>
      </c>
      <c r="T110" s="14">
        <v>55.528729415769995</v>
      </c>
      <c r="U110" s="14">
        <v>55.528729415769995</v>
      </c>
      <c r="V110" s="14">
        <v>55.528729415769995</v>
      </c>
      <c r="W110" s="14">
        <v>55.528729415769995</v>
      </c>
      <c r="X110" s="14">
        <v>55.528729415769995</v>
      </c>
      <c r="Y110" s="14">
        <v>67.545579333333336</v>
      </c>
      <c r="Z110" s="14">
        <v>72.269129277777779</v>
      </c>
      <c r="AA110" s="14">
        <v>69.687149277777777</v>
      </c>
      <c r="AB110" s="14">
        <v>66.419649333333325</v>
      </c>
      <c r="AC110" s="14">
        <v>65.992419333333331</v>
      </c>
      <c r="AD110" s="14">
        <v>66.599399333333338</v>
      </c>
      <c r="AE110" s="14">
        <v>67.609309333333329</v>
      </c>
      <c r="AF110" s="14">
        <v>68.201219333333327</v>
      </c>
      <c r="AG110" s="14">
        <v>69.177419333333333</v>
      </c>
      <c r="AH110" s="14">
        <v>72.684289277777779</v>
      </c>
      <c r="AI110" s="15">
        <v>85.43004917655945</v>
      </c>
      <c r="AJ110" s="14">
        <v>68.379209312966111</v>
      </c>
      <c r="AK110" s="14">
        <v>68.379209312966111</v>
      </c>
      <c r="AL110" s="14">
        <v>68.379209312966111</v>
      </c>
      <c r="AM110" s="14">
        <v>68.379209312966111</v>
      </c>
      <c r="AN110" s="14">
        <v>68.379209312966111</v>
      </c>
      <c r="AO110" s="14">
        <v>68.379209312966111</v>
      </c>
      <c r="AP110" s="14">
        <v>68.379209312966111</v>
      </c>
      <c r="AQ110" s="14">
        <v>72.269129277777779</v>
      </c>
      <c r="AR110" s="14">
        <v>72.684289277777779</v>
      </c>
      <c r="AS110" s="14">
        <v>85.43004917655945</v>
      </c>
    </row>
    <row r="111" spans="1:45" x14ac:dyDescent="0.35">
      <c r="A111" s="16">
        <v>2928.8986380000001</v>
      </c>
      <c r="B111" s="14">
        <v>4.1766438277777791</v>
      </c>
      <c r="C111" s="14">
        <v>4.1551808277777784</v>
      </c>
      <c r="D111" s="14">
        <v>4.1598648277777768</v>
      </c>
      <c r="E111" s="14">
        <v>4.4042288222222226</v>
      </c>
      <c r="F111" s="14">
        <v>8.9742637888888872</v>
      </c>
      <c r="G111" s="14">
        <v>34.246769583333339</v>
      </c>
      <c r="H111" s="14">
        <v>67.117809333333327</v>
      </c>
      <c r="I111" s="14">
        <v>72.177519277777776</v>
      </c>
      <c r="J111" s="14">
        <v>69.677639277777786</v>
      </c>
      <c r="K111" s="14">
        <v>66.402119333333331</v>
      </c>
      <c r="L111" s="14">
        <v>65.949049333333335</v>
      </c>
      <c r="M111" s="14">
        <v>66.555759333333341</v>
      </c>
      <c r="N111" s="14">
        <v>67.565999333333338</v>
      </c>
      <c r="O111" s="14">
        <v>68.158609333333345</v>
      </c>
      <c r="P111" s="14">
        <v>69.137759333333335</v>
      </c>
      <c r="Q111" s="14">
        <v>72.647129277777765</v>
      </c>
      <c r="R111" s="15">
        <v>85.390189176878323</v>
      </c>
      <c r="S111" s="14">
        <v>55.497919416016117</v>
      </c>
      <c r="T111" s="14">
        <v>55.497919416016117</v>
      </c>
      <c r="U111" s="14">
        <v>55.497919416016117</v>
      </c>
      <c r="V111" s="14">
        <v>55.497919416016117</v>
      </c>
      <c r="W111" s="14">
        <v>55.497919416016117</v>
      </c>
      <c r="X111" s="14">
        <v>55.497919416016117</v>
      </c>
      <c r="Y111" s="14">
        <v>67.117809333333327</v>
      </c>
      <c r="Z111" s="14">
        <v>72.177519277777776</v>
      </c>
      <c r="AA111" s="14">
        <v>69.677639277777786</v>
      </c>
      <c r="AB111" s="14">
        <v>66.402119333333331</v>
      </c>
      <c r="AC111" s="14">
        <v>65.949049333333335</v>
      </c>
      <c r="AD111" s="14">
        <v>66.555759333333341</v>
      </c>
      <c r="AE111" s="14">
        <v>67.565999333333338</v>
      </c>
      <c r="AF111" s="14">
        <v>68.158609333333345</v>
      </c>
      <c r="AG111" s="14">
        <v>69.137759333333335</v>
      </c>
      <c r="AH111" s="14">
        <v>72.647129277777765</v>
      </c>
      <c r="AI111" s="15">
        <v>85.390189176878323</v>
      </c>
      <c r="AJ111" s="14">
        <v>68.341369313268899</v>
      </c>
      <c r="AK111" s="14">
        <v>68.341369313268899</v>
      </c>
      <c r="AL111" s="14">
        <v>68.341369313268899</v>
      </c>
      <c r="AM111" s="14">
        <v>68.341369313268899</v>
      </c>
      <c r="AN111" s="14">
        <v>68.341369313268899</v>
      </c>
      <c r="AO111" s="14">
        <v>68.341369313268899</v>
      </c>
      <c r="AP111" s="14">
        <v>68.341369313268899</v>
      </c>
      <c r="AQ111" s="14">
        <v>72.177519277777776</v>
      </c>
      <c r="AR111" s="14">
        <v>72.647129277777765</v>
      </c>
      <c r="AS111" s="14">
        <v>85.390189176878323</v>
      </c>
    </row>
    <row r="112" spans="1:45" x14ac:dyDescent="0.35">
      <c r="A112" s="16">
        <v>2959.3062480000003</v>
      </c>
      <c r="B112" s="14">
        <v>4.1763028277777776</v>
      </c>
      <c r="C112" s="14">
        <v>4.1554198277777763</v>
      </c>
      <c r="D112" s="14">
        <v>4.1601728277777799</v>
      </c>
      <c r="E112" s="14">
        <v>4.377226822222223</v>
      </c>
      <c r="F112" s="14">
        <v>8.618807788888887</v>
      </c>
      <c r="G112" s="14">
        <v>32.96085959444445</v>
      </c>
      <c r="H112" s="14">
        <v>66.367839333333336</v>
      </c>
      <c r="I112" s="14">
        <v>72.012979277777788</v>
      </c>
      <c r="J112" s="14">
        <v>69.661109277777783</v>
      </c>
      <c r="K112" s="14">
        <v>66.37411933333334</v>
      </c>
      <c r="L112" s="14">
        <v>65.877009333333319</v>
      </c>
      <c r="M112" s="14">
        <v>66.483079333333336</v>
      </c>
      <c r="N112" s="14">
        <v>67.493969333333325</v>
      </c>
      <c r="O112" s="14">
        <v>68.087749333333321</v>
      </c>
      <c r="P112" s="14">
        <v>69.071829333333326</v>
      </c>
      <c r="Q112" s="14">
        <v>72.585499277777785</v>
      </c>
      <c r="R112" s="15">
        <v>85.324209177406104</v>
      </c>
      <c r="S112" s="14">
        <v>55.465949416272224</v>
      </c>
      <c r="T112" s="14">
        <v>55.465949416272224</v>
      </c>
      <c r="U112" s="14">
        <v>55.465949416272224</v>
      </c>
      <c r="V112" s="14">
        <v>55.465949416272224</v>
      </c>
      <c r="W112" s="14">
        <v>55.465949416272224</v>
      </c>
      <c r="X112" s="14">
        <v>55.465949416272224</v>
      </c>
      <c r="Y112" s="14">
        <v>66.367839333333336</v>
      </c>
      <c r="Z112" s="14">
        <v>72.012979277777788</v>
      </c>
      <c r="AA112" s="14">
        <v>69.661109277777783</v>
      </c>
      <c r="AB112" s="14">
        <v>66.37411933333334</v>
      </c>
      <c r="AC112" s="14">
        <v>65.877009333333319</v>
      </c>
      <c r="AD112" s="14">
        <v>66.483079333333336</v>
      </c>
      <c r="AE112" s="14">
        <v>67.493969333333325</v>
      </c>
      <c r="AF112" s="14">
        <v>68.087749333333321</v>
      </c>
      <c r="AG112" s="14">
        <v>69.071829333333326</v>
      </c>
      <c r="AH112" s="14">
        <v>72.585499277777785</v>
      </c>
      <c r="AI112" s="15">
        <v>85.324209177406104</v>
      </c>
      <c r="AJ112" s="14">
        <v>68.298909313608334</v>
      </c>
      <c r="AK112" s="14">
        <v>68.298909313608334</v>
      </c>
      <c r="AL112" s="14">
        <v>68.298909313608334</v>
      </c>
      <c r="AM112" s="14">
        <v>68.298909313608334</v>
      </c>
      <c r="AN112" s="14">
        <v>68.298909313608334</v>
      </c>
      <c r="AO112" s="14">
        <v>68.298909313608334</v>
      </c>
      <c r="AP112" s="14">
        <v>68.298909313608334</v>
      </c>
      <c r="AQ112" s="14">
        <v>72.012979277777788</v>
      </c>
      <c r="AR112" s="14">
        <v>72.585499277777785</v>
      </c>
      <c r="AS112" s="14">
        <v>85.324209177406104</v>
      </c>
    </row>
    <row r="113" spans="1:45" x14ac:dyDescent="0.35">
      <c r="A113" s="16">
        <v>2997.4062480000002</v>
      </c>
      <c r="B113" s="14">
        <v>4.1743648277777758</v>
      </c>
      <c r="C113" s="14">
        <v>4.1561528277777766</v>
      </c>
      <c r="D113" s="14">
        <v>4.1611438277777779</v>
      </c>
      <c r="E113" s="14">
        <v>4.3542988277777779</v>
      </c>
      <c r="F113" s="14">
        <v>8.2885697944444452</v>
      </c>
      <c r="G113" s="14">
        <v>31.712739605555562</v>
      </c>
      <c r="H113" s="14">
        <v>65.585779333333321</v>
      </c>
      <c r="I113" s="14">
        <v>71.837919277777772</v>
      </c>
      <c r="J113" s="14">
        <v>69.645049277777787</v>
      </c>
      <c r="K113" s="14">
        <v>66.348709333333332</v>
      </c>
      <c r="L113" s="14">
        <v>65.806919333333326</v>
      </c>
      <c r="M113" s="14">
        <v>66.412109333333319</v>
      </c>
      <c r="N113" s="14">
        <v>67.423729333333341</v>
      </c>
      <c r="O113" s="14">
        <v>68.018649333333329</v>
      </c>
      <c r="P113" s="14">
        <v>69.007709333333338</v>
      </c>
      <c r="Q113" s="14">
        <v>72.52566927777778</v>
      </c>
      <c r="R113" s="15">
        <v>85.260029177919435</v>
      </c>
      <c r="S113" s="14">
        <v>55.427049416583337</v>
      </c>
      <c r="T113" s="14">
        <v>55.427049416583337</v>
      </c>
      <c r="U113" s="14">
        <v>55.427049416583337</v>
      </c>
      <c r="V113" s="14">
        <v>55.427049416583337</v>
      </c>
      <c r="W113" s="14">
        <v>55.427049416583337</v>
      </c>
      <c r="X113" s="14">
        <v>55.427049416583337</v>
      </c>
      <c r="Y113" s="14">
        <v>65.585779333333321</v>
      </c>
      <c r="Z113" s="14">
        <v>71.837919277777772</v>
      </c>
      <c r="AA113" s="14">
        <v>69.645049277777787</v>
      </c>
      <c r="AB113" s="14">
        <v>66.348709333333332</v>
      </c>
      <c r="AC113" s="14">
        <v>65.806919333333326</v>
      </c>
      <c r="AD113" s="14">
        <v>66.412109333333319</v>
      </c>
      <c r="AE113" s="14">
        <v>67.423729333333341</v>
      </c>
      <c r="AF113" s="14">
        <v>68.018649333333329</v>
      </c>
      <c r="AG113" s="14">
        <v>69.007709333333338</v>
      </c>
      <c r="AH113" s="14">
        <v>72.52566927777778</v>
      </c>
      <c r="AI113" s="15">
        <v>85.260029177919435</v>
      </c>
      <c r="AJ113" s="14">
        <v>68.24932931400501</v>
      </c>
      <c r="AK113" s="14">
        <v>68.24932931400501</v>
      </c>
      <c r="AL113" s="14">
        <v>68.24932931400501</v>
      </c>
      <c r="AM113" s="14">
        <v>68.24932931400501</v>
      </c>
      <c r="AN113" s="14">
        <v>68.24932931400501</v>
      </c>
      <c r="AO113" s="14">
        <v>68.24932931400501</v>
      </c>
      <c r="AP113" s="14">
        <v>68.24932931400501</v>
      </c>
      <c r="AQ113" s="14">
        <v>71.837919277777772</v>
      </c>
      <c r="AR113" s="14">
        <v>72.52566927777778</v>
      </c>
      <c r="AS113" s="14">
        <v>85.260029177919435</v>
      </c>
    </row>
    <row r="114" spans="1:45" x14ac:dyDescent="0.35">
      <c r="A114" s="16">
        <v>3035.5062480000001</v>
      </c>
      <c r="B114" s="14">
        <v>4.1712668277777789</v>
      </c>
      <c r="C114" s="14">
        <v>4.1576858277777777</v>
      </c>
      <c r="D114" s="14">
        <v>4.1631408277777773</v>
      </c>
      <c r="E114" s="14">
        <v>4.3353208277777791</v>
      </c>
      <c r="F114" s="14">
        <v>7.9824927944444433</v>
      </c>
      <c r="G114" s="14">
        <v>30.500009616666667</v>
      </c>
      <c r="H114" s="14">
        <v>64.76975933333334</v>
      </c>
      <c r="I114" s="14">
        <v>71.651969277777781</v>
      </c>
      <c r="J114" s="14">
        <v>69.629159277777774</v>
      </c>
      <c r="K114" s="14">
        <v>66.325649333333331</v>
      </c>
      <c r="L114" s="14">
        <v>65.738619333333332</v>
      </c>
      <c r="M114" s="14">
        <v>66.342699333333329</v>
      </c>
      <c r="N114" s="14">
        <v>67.355139333333341</v>
      </c>
      <c r="O114" s="14">
        <v>67.951179333333329</v>
      </c>
      <c r="P114" s="14">
        <v>68.945239333333333</v>
      </c>
      <c r="Q114" s="14">
        <v>72.467549277777778</v>
      </c>
      <c r="R114" s="15">
        <v>85.197679178418326</v>
      </c>
      <c r="S114" s="14">
        <v>55.383669416930559</v>
      </c>
      <c r="T114" s="14">
        <v>55.383669416930559</v>
      </c>
      <c r="U114" s="14">
        <v>55.383669416930559</v>
      </c>
      <c r="V114" s="14">
        <v>55.383669416930559</v>
      </c>
      <c r="W114" s="14">
        <v>55.383669416930559</v>
      </c>
      <c r="X114" s="14">
        <v>55.383669416930559</v>
      </c>
      <c r="Y114" s="14">
        <v>64.76975933333334</v>
      </c>
      <c r="Z114" s="14">
        <v>71.651969277777781</v>
      </c>
      <c r="AA114" s="14">
        <v>69.629159277777774</v>
      </c>
      <c r="AB114" s="14">
        <v>66.325649333333331</v>
      </c>
      <c r="AC114" s="14">
        <v>65.738619333333332</v>
      </c>
      <c r="AD114" s="14">
        <v>66.342699333333329</v>
      </c>
      <c r="AE114" s="14">
        <v>67.355139333333341</v>
      </c>
      <c r="AF114" s="14">
        <v>67.951179333333329</v>
      </c>
      <c r="AG114" s="14">
        <v>68.945239333333333</v>
      </c>
      <c r="AH114" s="14">
        <v>72.467549277777778</v>
      </c>
      <c r="AI114" s="15">
        <v>85.197679178418326</v>
      </c>
      <c r="AJ114" s="14">
        <v>68.198129314414444</v>
      </c>
      <c r="AK114" s="14">
        <v>68.198129314414444</v>
      </c>
      <c r="AL114" s="14">
        <v>68.198129314414444</v>
      </c>
      <c r="AM114" s="14">
        <v>68.198129314414444</v>
      </c>
      <c r="AN114" s="14">
        <v>68.198129314414444</v>
      </c>
      <c r="AO114" s="14">
        <v>68.198129314414444</v>
      </c>
      <c r="AP114" s="14">
        <v>68.198129314414444</v>
      </c>
      <c r="AQ114" s="14">
        <v>71.651969277777781</v>
      </c>
      <c r="AR114" s="14">
        <v>72.467549277777778</v>
      </c>
      <c r="AS114" s="14">
        <v>85.197679178418326</v>
      </c>
    </row>
    <row r="115" spans="1:45" x14ac:dyDescent="0.35">
      <c r="A115" s="16">
        <v>3073.6062480000001</v>
      </c>
      <c r="B115" s="14">
        <v>4.1674778277777786</v>
      </c>
      <c r="C115" s="14">
        <v>4.1599448277777755</v>
      </c>
      <c r="D115" s="14">
        <v>4.1660878277777789</v>
      </c>
      <c r="E115" s="14">
        <v>4.3199308277777764</v>
      </c>
      <c r="F115" s="14">
        <v>7.6991818000000007</v>
      </c>
      <c r="G115" s="14">
        <v>29.326839627777776</v>
      </c>
      <c r="H115" s="14">
        <v>63.92347933333334</v>
      </c>
      <c r="I115" s="14">
        <v>71.454669277777782</v>
      </c>
      <c r="J115" s="14">
        <v>69.613269277777775</v>
      </c>
      <c r="K115" s="14">
        <v>66.304889333333321</v>
      </c>
      <c r="L115" s="14">
        <v>65.672109333333339</v>
      </c>
      <c r="M115" s="14">
        <v>66.274839333333318</v>
      </c>
      <c r="N115" s="14">
        <v>67.288189333333349</v>
      </c>
      <c r="O115" s="14">
        <v>67.885329333333345</v>
      </c>
      <c r="P115" s="14">
        <v>68.884409333333323</v>
      </c>
      <c r="Q115" s="14">
        <v>72.411119277777786</v>
      </c>
      <c r="R115" s="15">
        <v>85.137169178902226</v>
      </c>
      <c r="S115" s="14">
        <v>55.344369417244998</v>
      </c>
      <c r="T115" s="14">
        <v>55.344369417244998</v>
      </c>
      <c r="U115" s="14">
        <v>55.344369417244998</v>
      </c>
      <c r="V115" s="14">
        <v>55.344369417244998</v>
      </c>
      <c r="W115" s="14">
        <v>55.344369417244998</v>
      </c>
      <c r="X115" s="14">
        <v>55.344369417244998</v>
      </c>
      <c r="Y115" s="14">
        <v>63.92347933333334</v>
      </c>
      <c r="Z115" s="14">
        <v>71.454669277777782</v>
      </c>
      <c r="AA115" s="14">
        <v>69.613269277777775</v>
      </c>
      <c r="AB115" s="14">
        <v>66.304889333333321</v>
      </c>
      <c r="AC115" s="14">
        <v>65.672109333333339</v>
      </c>
      <c r="AD115" s="14">
        <v>66.274839333333318</v>
      </c>
      <c r="AE115" s="14">
        <v>67.288189333333349</v>
      </c>
      <c r="AF115" s="14">
        <v>67.885329333333345</v>
      </c>
      <c r="AG115" s="14">
        <v>68.884409333333323</v>
      </c>
      <c r="AH115" s="14">
        <v>72.411119277777786</v>
      </c>
      <c r="AI115" s="15">
        <v>85.137169178902226</v>
      </c>
      <c r="AJ115" s="14">
        <v>68.150059314799449</v>
      </c>
      <c r="AK115" s="14">
        <v>68.150059314799449</v>
      </c>
      <c r="AL115" s="14">
        <v>68.150059314799449</v>
      </c>
      <c r="AM115" s="14">
        <v>68.150059314799449</v>
      </c>
      <c r="AN115" s="14">
        <v>68.150059314799449</v>
      </c>
      <c r="AO115" s="14">
        <v>68.150059314799449</v>
      </c>
      <c r="AP115" s="14">
        <v>68.150059314799449</v>
      </c>
      <c r="AQ115" s="14">
        <v>71.454669277777782</v>
      </c>
      <c r="AR115" s="14">
        <v>72.411119277777786</v>
      </c>
      <c r="AS115" s="14">
        <v>85.137169178902226</v>
      </c>
    </row>
    <row r="116" spans="1:45" x14ac:dyDescent="0.35">
      <c r="A116" s="16">
        <v>3111.7062480000004</v>
      </c>
      <c r="B116" s="14">
        <v>4.1623788277777782</v>
      </c>
      <c r="C116" s="14">
        <v>4.1627088277777782</v>
      </c>
      <c r="D116" s="14">
        <v>4.1697758277777792</v>
      </c>
      <c r="E116" s="14">
        <v>4.3078038277777768</v>
      </c>
      <c r="F116" s="14">
        <v>7.4370438000000014</v>
      </c>
      <c r="G116" s="14">
        <v>28.189959633333338</v>
      </c>
      <c r="H116" s="14">
        <v>63.046189333333331</v>
      </c>
      <c r="I116" s="14">
        <v>71.245399277777778</v>
      </c>
      <c r="J116" s="14">
        <v>69.597059277777774</v>
      </c>
      <c r="K116" s="14">
        <v>66.286249333333345</v>
      </c>
      <c r="L116" s="14">
        <v>65.607259333333332</v>
      </c>
      <c r="M116" s="14">
        <v>66.208399333333347</v>
      </c>
      <c r="N116" s="14">
        <v>67.222739333333323</v>
      </c>
      <c r="O116" s="14">
        <v>67.820919333333336</v>
      </c>
      <c r="P116" s="14">
        <v>68.825089333333324</v>
      </c>
      <c r="Q116" s="14">
        <v>72.356229277777786</v>
      </c>
      <c r="R116" s="15">
        <v>85.078329179372773</v>
      </c>
      <c r="S116" s="14">
        <v>55.305749417553884</v>
      </c>
      <c r="T116" s="14">
        <v>55.305749417553884</v>
      </c>
      <c r="U116" s="14">
        <v>55.305749417553884</v>
      </c>
      <c r="V116" s="14">
        <v>55.305749417553884</v>
      </c>
      <c r="W116" s="14">
        <v>55.305749417553884</v>
      </c>
      <c r="X116" s="14">
        <v>55.305749417553884</v>
      </c>
      <c r="Y116" s="14">
        <v>63.046189333333331</v>
      </c>
      <c r="Z116" s="14">
        <v>71.245399277777778</v>
      </c>
      <c r="AA116" s="14">
        <v>69.597059277777774</v>
      </c>
      <c r="AB116" s="14">
        <v>66.286249333333345</v>
      </c>
      <c r="AC116" s="14">
        <v>65.607259333333332</v>
      </c>
      <c r="AD116" s="14">
        <v>66.208399333333347</v>
      </c>
      <c r="AE116" s="14">
        <v>67.222739333333323</v>
      </c>
      <c r="AF116" s="14">
        <v>67.820919333333336</v>
      </c>
      <c r="AG116" s="14">
        <v>68.825089333333324</v>
      </c>
      <c r="AH116" s="14">
        <v>72.356229277777786</v>
      </c>
      <c r="AI116" s="15">
        <v>85.078329179372773</v>
      </c>
      <c r="AJ116" s="14">
        <v>68.102909315176674</v>
      </c>
      <c r="AK116" s="14">
        <v>68.102909315176674</v>
      </c>
      <c r="AL116" s="14">
        <v>68.102909315176674</v>
      </c>
      <c r="AM116" s="14">
        <v>68.102909315176674</v>
      </c>
      <c r="AN116" s="14">
        <v>68.102909315176674</v>
      </c>
      <c r="AO116" s="14">
        <v>68.102909315176674</v>
      </c>
      <c r="AP116" s="14">
        <v>68.102909315176674</v>
      </c>
      <c r="AQ116" s="14">
        <v>71.245399277777778</v>
      </c>
      <c r="AR116" s="14">
        <v>72.356229277777786</v>
      </c>
      <c r="AS116" s="14">
        <v>85.078329179372773</v>
      </c>
    </row>
    <row r="117" spans="1:45" x14ac:dyDescent="0.35">
      <c r="A117" s="16">
        <v>3149.8062480000003</v>
      </c>
      <c r="B117" s="14">
        <v>4.1562298277777758</v>
      </c>
      <c r="C117" s="14">
        <v>4.1658468277777772</v>
      </c>
      <c r="D117" s="14">
        <v>4.1741228277777784</v>
      </c>
      <c r="E117" s="14">
        <v>4.298674827777778</v>
      </c>
      <c r="F117" s="14">
        <v>7.1947688000000012</v>
      </c>
      <c r="G117" s="14">
        <v>27.093159644444441</v>
      </c>
      <c r="H117" s="14">
        <v>62.13853938888888</v>
      </c>
      <c r="I117" s="14">
        <v>71.023659277777767</v>
      </c>
      <c r="J117" s="14">
        <v>69.580339277777796</v>
      </c>
      <c r="K117" s="14">
        <v>66.269659333333323</v>
      </c>
      <c r="L117" s="14">
        <v>65.544009333333335</v>
      </c>
      <c r="M117" s="14">
        <v>66.143389333333346</v>
      </c>
      <c r="N117" s="14">
        <v>67.158789333333345</v>
      </c>
      <c r="O117" s="14">
        <v>67.757749333333336</v>
      </c>
      <c r="P117" s="14">
        <v>68.767279333333335</v>
      </c>
      <c r="Q117" s="14">
        <v>72.30267927777777</v>
      </c>
      <c r="R117" s="15">
        <v>85.02117917983</v>
      </c>
      <c r="S117" s="14">
        <v>55.269689417842216</v>
      </c>
      <c r="T117" s="14">
        <v>55.269689417842216</v>
      </c>
      <c r="U117" s="14">
        <v>55.269689417842216</v>
      </c>
      <c r="V117" s="14">
        <v>55.269689417842216</v>
      </c>
      <c r="W117" s="14">
        <v>55.269689417842216</v>
      </c>
      <c r="X117" s="14">
        <v>55.269689417842216</v>
      </c>
      <c r="Y117" s="14">
        <v>62.13853938888888</v>
      </c>
      <c r="Z117" s="14">
        <v>71.023659277777767</v>
      </c>
      <c r="AA117" s="14">
        <v>69.580339277777796</v>
      </c>
      <c r="AB117" s="14">
        <v>66.269659333333323</v>
      </c>
      <c r="AC117" s="14">
        <v>65.544009333333335</v>
      </c>
      <c r="AD117" s="14">
        <v>66.143389333333346</v>
      </c>
      <c r="AE117" s="14">
        <v>67.158789333333345</v>
      </c>
      <c r="AF117" s="14">
        <v>67.757749333333336</v>
      </c>
      <c r="AG117" s="14">
        <v>68.767279333333335</v>
      </c>
      <c r="AH117" s="14">
        <v>72.30267927777777</v>
      </c>
      <c r="AI117" s="15">
        <v>85.02117917983</v>
      </c>
      <c r="AJ117" s="14">
        <v>68.057809315537213</v>
      </c>
      <c r="AK117" s="14">
        <v>68.057809315537213</v>
      </c>
      <c r="AL117" s="14">
        <v>68.057809315537213</v>
      </c>
      <c r="AM117" s="14">
        <v>68.057809315537213</v>
      </c>
      <c r="AN117" s="14">
        <v>68.057809315537213</v>
      </c>
      <c r="AO117" s="14">
        <v>68.057809315537213</v>
      </c>
      <c r="AP117" s="14">
        <v>68.057809315537213</v>
      </c>
      <c r="AQ117" s="14">
        <v>71.023659277777767</v>
      </c>
      <c r="AR117" s="14">
        <v>72.30267927777777</v>
      </c>
      <c r="AS117" s="14">
        <v>85.02117917983</v>
      </c>
    </row>
    <row r="118" spans="1:45" x14ac:dyDescent="0.35">
      <c r="A118" s="16">
        <v>3187.9062480000002</v>
      </c>
      <c r="B118" s="14">
        <v>4.152172827777779</v>
      </c>
      <c r="C118" s="14">
        <v>4.1666388277777795</v>
      </c>
      <c r="D118" s="14">
        <v>4.1762948277777783</v>
      </c>
      <c r="E118" s="14">
        <v>4.2894108277777772</v>
      </c>
      <c r="F118" s="14">
        <v>6.9681918055555574</v>
      </c>
      <c r="G118" s="14">
        <v>26.029549649999996</v>
      </c>
      <c r="H118" s="14">
        <v>61.199889388888877</v>
      </c>
      <c r="I118" s="14">
        <v>70.785029277777781</v>
      </c>
      <c r="J118" s="14">
        <v>69.559099277777761</v>
      </c>
      <c r="K118" s="14">
        <v>66.251329333333331</v>
      </c>
      <c r="L118" s="14">
        <v>65.478489333333343</v>
      </c>
      <c r="M118" s="14">
        <v>66.075949333333327</v>
      </c>
      <c r="N118" s="14">
        <v>67.092449333333334</v>
      </c>
      <c r="O118" s="14">
        <v>67.692179333333343</v>
      </c>
      <c r="P118" s="14">
        <v>68.707049333333345</v>
      </c>
      <c r="Q118" s="14">
        <v>72.246689277777776</v>
      </c>
      <c r="R118" s="15">
        <v>84.961359180308889</v>
      </c>
      <c r="S118" s="14">
        <v>55.240539418075564</v>
      </c>
      <c r="T118" s="14">
        <v>55.240539418075564</v>
      </c>
      <c r="U118" s="14">
        <v>55.240539418075564</v>
      </c>
      <c r="V118" s="14">
        <v>55.240539418075564</v>
      </c>
      <c r="W118" s="14">
        <v>55.240539418075564</v>
      </c>
      <c r="X118" s="14">
        <v>55.240539418075564</v>
      </c>
      <c r="Y118" s="14">
        <v>61.199889388888877</v>
      </c>
      <c r="Z118" s="14">
        <v>70.785029277777781</v>
      </c>
      <c r="AA118" s="14">
        <v>69.559099277777761</v>
      </c>
      <c r="AB118" s="14">
        <v>66.251329333333331</v>
      </c>
      <c r="AC118" s="14">
        <v>65.478489333333343</v>
      </c>
      <c r="AD118" s="14">
        <v>66.075949333333327</v>
      </c>
      <c r="AE118" s="14">
        <v>67.092449333333334</v>
      </c>
      <c r="AF118" s="14">
        <v>67.692179333333343</v>
      </c>
      <c r="AG118" s="14">
        <v>68.707049333333345</v>
      </c>
      <c r="AH118" s="14">
        <v>72.246689277777776</v>
      </c>
      <c r="AI118" s="15">
        <v>84.961359180308889</v>
      </c>
      <c r="AJ118" s="14">
        <v>68.014159315886658</v>
      </c>
      <c r="AK118" s="14">
        <v>68.014159315886658</v>
      </c>
      <c r="AL118" s="14">
        <v>68.014159315886658</v>
      </c>
      <c r="AM118" s="14">
        <v>68.014159315886658</v>
      </c>
      <c r="AN118" s="14">
        <v>68.014159315886658</v>
      </c>
      <c r="AO118" s="14">
        <v>68.014159315886658</v>
      </c>
      <c r="AP118" s="14">
        <v>68.014159315886658</v>
      </c>
      <c r="AQ118" s="14">
        <v>70.785029277777781</v>
      </c>
      <c r="AR118" s="14">
        <v>72.246689277777776</v>
      </c>
      <c r="AS118" s="14">
        <v>84.961359180308889</v>
      </c>
    </row>
    <row r="119" spans="1:45" x14ac:dyDescent="0.35">
      <c r="A119" s="16">
        <v>3226.0062480000001</v>
      </c>
      <c r="B119" s="14">
        <v>4.1537828277777793</v>
      </c>
      <c r="C119" s="14">
        <v>4.1655318277777793</v>
      </c>
      <c r="D119" s="14">
        <v>4.1765718277777788</v>
      </c>
      <c r="E119" s="14">
        <v>4.2798648277777769</v>
      </c>
      <c r="F119" s="14">
        <v>6.7561778055555557</v>
      </c>
      <c r="G119" s="14">
        <v>25.002799661111105</v>
      </c>
      <c r="H119" s="14">
        <v>60.228799388888888</v>
      </c>
      <c r="I119" s="14">
        <v>70.528979277777779</v>
      </c>
      <c r="J119" s="14">
        <v>69.533129277777775</v>
      </c>
      <c r="K119" s="14">
        <v>66.231209333333325</v>
      </c>
      <c r="L119" s="14">
        <v>65.410929333333328</v>
      </c>
      <c r="M119" s="14">
        <v>66.006109333333328</v>
      </c>
      <c r="N119" s="14">
        <v>67.023719333333318</v>
      </c>
      <c r="O119" s="14">
        <v>67.62420933333334</v>
      </c>
      <c r="P119" s="14">
        <v>68.644409333333343</v>
      </c>
      <c r="Q119" s="14">
        <v>72.188289277777784</v>
      </c>
      <c r="R119" s="15">
        <v>84.898869180808887</v>
      </c>
      <c r="S119" s="14">
        <v>55.252959417976122</v>
      </c>
      <c r="T119" s="14">
        <v>55.252959417976122</v>
      </c>
      <c r="U119" s="14">
        <v>55.252959417976122</v>
      </c>
      <c r="V119" s="14">
        <v>55.252959417976122</v>
      </c>
      <c r="W119" s="14">
        <v>55.252959417976122</v>
      </c>
      <c r="X119" s="14">
        <v>55.252959417976122</v>
      </c>
      <c r="Y119" s="14">
        <v>60.228799388888888</v>
      </c>
      <c r="Z119" s="14">
        <v>70.528979277777779</v>
      </c>
      <c r="AA119" s="14">
        <v>69.533129277777775</v>
      </c>
      <c r="AB119" s="14">
        <v>66.231209333333325</v>
      </c>
      <c r="AC119" s="14">
        <v>65.410929333333328</v>
      </c>
      <c r="AD119" s="14">
        <v>66.006109333333328</v>
      </c>
      <c r="AE119" s="14">
        <v>67.023719333333318</v>
      </c>
      <c r="AF119" s="14">
        <v>67.62420933333334</v>
      </c>
      <c r="AG119" s="14">
        <v>68.644409333333343</v>
      </c>
      <c r="AH119" s="14">
        <v>72.188289277777784</v>
      </c>
      <c r="AI119" s="15">
        <v>84.898869180808887</v>
      </c>
      <c r="AJ119" s="14">
        <v>68.001439315988321</v>
      </c>
      <c r="AK119" s="14">
        <v>68.001439315988321</v>
      </c>
      <c r="AL119" s="14">
        <v>68.001439315988321</v>
      </c>
      <c r="AM119" s="14">
        <v>68.001439315988321</v>
      </c>
      <c r="AN119" s="14">
        <v>68.001439315988321</v>
      </c>
      <c r="AO119" s="14">
        <v>68.001439315988321</v>
      </c>
      <c r="AP119" s="14">
        <v>68.001439315988321</v>
      </c>
      <c r="AQ119" s="14">
        <v>70.528979277777779</v>
      </c>
      <c r="AR119" s="14">
        <v>72.188289277777784</v>
      </c>
      <c r="AS119" s="14">
        <v>84.898869180808887</v>
      </c>
    </row>
    <row r="120" spans="1:45" x14ac:dyDescent="0.35">
      <c r="A120" s="16">
        <v>3256.4100480000002</v>
      </c>
      <c r="B120" s="14">
        <v>4.1487648277777787</v>
      </c>
      <c r="C120" s="14">
        <v>4.1643988277777781</v>
      </c>
      <c r="D120" s="14">
        <v>4.1764218277777783</v>
      </c>
      <c r="E120" s="14">
        <v>4.2746588277777775</v>
      </c>
      <c r="F120" s="14">
        <v>6.6356148055555568</v>
      </c>
      <c r="G120" s="14">
        <v>24.403119666666665</v>
      </c>
      <c r="H120" s="14">
        <v>59.641159388888887</v>
      </c>
      <c r="I120" s="14">
        <v>70.371249277777778</v>
      </c>
      <c r="J120" s="14">
        <v>69.517269277777771</v>
      </c>
      <c r="K120" s="14">
        <v>66.219929333333326</v>
      </c>
      <c r="L120" s="14">
        <v>65.371309333333329</v>
      </c>
      <c r="M120" s="14">
        <v>65.964989333333335</v>
      </c>
      <c r="N120" s="14">
        <v>66.983279333333329</v>
      </c>
      <c r="O120" s="14">
        <v>67.584199333333331</v>
      </c>
      <c r="P120" s="14">
        <v>68.607599333333326</v>
      </c>
      <c r="Q120" s="14">
        <v>72.153949277777784</v>
      </c>
      <c r="R120" s="15">
        <v>84.862009181103346</v>
      </c>
      <c r="S120" s="14">
        <v>55.209559418323323</v>
      </c>
      <c r="T120" s="14">
        <v>55.209559418323323</v>
      </c>
      <c r="U120" s="14">
        <v>55.209559418323323</v>
      </c>
      <c r="V120" s="14">
        <v>55.209559418323323</v>
      </c>
      <c r="W120" s="14">
        <v>55.209559418323323</v>
      </c>
      <c r="X120" s="14">
        <v>55.209559418323323</v>
      </c>
      <c r="Y120" s="14">
        <v>59.641159388888887</v>
      </c>
      <c r="Z120" s="14">
        <v>70.371249277777778</v>
      </c>
      <c r="AA120" s="14">
        <v>69.517269277777771</v>
      </c>
      <c r="AB120" s="14">
        <v>66.219929333333326</v>
      </c>
      <c r="AC120" s="14">
        <v>65.371309333333329</v>
      </c>
      <c r="AD120" s="14">
        <v>65.964989333333335</v>
      </c>
      <c r="AE120" s="14">
        <v>66.983279333333329</v>
      </c>
      <c r="AF120" s="14">
        <v>67.584199333333331</v>
      </c>
      <c r="AG120" s="14">
        <v>68.607599333333326</v>
      </c>
      <c r="AH120" s="14">
        <v>72.153949277777784</v>
      </c>
      <c r="AI120" s="15">
        <v>84.862009181103346</v>
      </c>
      <c r="AJ120" s="14">
        <v>67.961479316307788</v>
      </c>
      <c r="AK120" s="14">
        <v>67.961479316307788</v>
      </c>
      <c r="AL120" s="14">
        <v>67.961479316307788</v>
      </c>
      <c r="AM120" s="14">
        <v>67.961479316307788</v>
      </c>
      <c r="AN120" s="14">
        <v>67.961479316307788</v>
      </c>
      <c r="AO120" s="14">
        <v>67.961479316307788</v>
      </c>
      <c r="AP120" s="14">
        <v>67.961479316307788</v>
      </c>
      <c r="AQ120" s="14">
        <v>70.371249277777778</v>
      </c>
      <c r="AR120" s="14">
        <v>72.153949277777784</v>
      </c>
      <c r="AS120" s="14">
        <v>84.862009181103346</v>
      </c>
    </row>
    <row r="121" spans="1:45" x14ac:dyDescent="0.35">
      <c r="A121" s="16">
        <v>3279.1176480000004</v>
      </c>
      <c r="B121" s="14">
        <v>4.1485768277777764</v>
      </c>
      <c r="C121" s="14">
        <v>4.162072827777779</v>
      </c>
      <c r="D121" s="14">
        <v>4.1751318277777791</v>
      </c>
      <c r="E121" s="14">
        <v>4.2686178277777778</v>
      </c>
      <c r="F121" s="14">
        <v>6.5182958055555558</v>
      </c>
      <c r="G121" s="14">
        <v>23.814659672222223</v>
      </c>
      <c r="H121" s="14">
        <v>59.042759388888875</v>
      </c>
      <c r="I121" s="14">
        <v>70.205879277777782</v>
      </c>
      <c r="J121" s="14">
        <v>69.498279277777769</v>
      </c>
      <c r="K121" s="14">
        <v>66.206609333333347</v>
      </c>
      <c r="L121" s="14">
        <v>65.329599333333334</v>
      </c>
      <c r="M121" s="14">
        <v>65.921649333333335</v>
      </c>
      <c r="N121" s="14">
        <v>66.940619333333345</v>
      </c>
      <c r="O121" s="14">
        <v>67.54197933333333</v>
      </c>
      <c r="P121" s="14">
        <v>68.56853933333332</v>
      </c>
      <c r="Q121" s="14">
        <v>72.117409277777767</v>
      </c>
      <c r="R121" s="15">
        <v>84.822859181416675</v>
      </c>
      <c r="S121" s="14">
        <v>55.133589418931116</v>
      </c>
      <c r="T121" s="14">
        <v>55.133589418931116</v>
      </c>
      <c r="U121" s="14">
        <v>55.133589418931116</v>
      </c>
      <c r="V121" s="14">
        <v>55.133589418931116</v>
      </c>
      <c r="W121" s="14">
        <v>55.133589418931116</v>
      </c>
      <c r="X121" s="14">
        <v>55.133589418931116</v>
      </c>
      <c r="Y121" s="14">
        <v>59.042759388888875</v>
      </c>
      <c r="Z121" s="14">
        <v>70.205879277777782</v>
      </c>
      <c r="AA121" s="14">
        <v>69.498279277777769</v>
      </c>
      <c r="AB121" s="14">
        <v>66.206609333333347</v>
      </c>
      <c r="AC121" s="14">
        <v>65.329599333333334</v>
      </c>
      <c r="AD121" s="14">
        <v>65.921649333333335</v>
      </c>
      <c r="AE121" s="14">
        <v>66.940619333333345</v>
      </c>
      <c r="AF121" s="14">
        <v>67.54197933333333</v>
      </c>
      <c r="AG121" s="14">
        <v>68.56853933333332</v>
      </c>
      <c r="AH121" s="14">
        <v>72.117409277777767</v>
      </c>
      <c r="AI121" s="15">
        <v>84.822859181416675</v>
      </c>
      <c r="AJ121" s="14">
        <v>67.891909316864428</v>
      </c>
      <c r="AK121" s="14">
        <v>67.891909316864428</v>
      </c>
      <c r="AL121" s="14">
        <v>67.891909316864428</v>
      </c>
      <c r="AM121" s="14">
        <v>67.891909316864428</v>
      </c>
      <c r="AN121" s="14">
        <v>67.891909316864428</v>
      </c>
      <c r="AO121" s="14">
        <v>67.891909316864428</v>
      </c>
      <c r="AP121" s="14">
        <v>67.891909316864428</v>
      </c>
      <c r="AQ121" s="14">
        <v>70.205879277777782</v>
      </c>
      <c r="AR121" s="14">
        <v>72.117409277777767</v>
      </c>
      <c r="AS121" s="14">
        <v>84.822859181416675</v>
      </c>
    </row>
    <row r="122" spans="1:45" x14ac:dyDescent="0.35">
      <c r="A122" s="16">
        <v>3307.5455820000002</v>
      </c>
      <c r="B122" s="14">
        <v>4.1486018277777763</v>
      </c>
      <c r="C122" s="14">
        <v>4.1585288277777757</v>
      </c>
      <c r="D122" s="14">
        <v>4.1733068277777798</v>
      </c>
      <c r="E122" s="14">
        <v>4.2604478277777762</v>
      </c>
      <c r="F122" s="14">
        <v>6.3531808111111117</v>
      </c>
      <c r="G122" s="14">
        <v>22.960299677777776</v>
      </c>
      <c r="H122" s="14">
        <v>58.121749388888894</v>
      </c>
      <c r="I122" s="14">
        <v>69.943309277777786</v>
      </c>
      <c r="J122" s="14">
        <v>69.46701927777778</v>
      </c>
      <c r="K122" s="14">
        <v>66.186489333333327</v>
      </c>
      <c r="L122" s="14">
        <v>65.266689333333332</v>
      </c>
      <c r="M122" s="14">
        <v>65.856039333333328</v>
      </c>
      <c r="N122" s="14">
        <v>66.87605933333333</v>
      </c>
      <c r="O122" s="14">
        <v>67.478099333333333</v>
      </c>
      <c r="P122" s="14">
        <v>68.509409333333338</v>
      </c>
      <c r="Q122" s="14">
        <v>72.062099277777776</v>
      </c>
      <c r="R122" s="15">
        <v>84.76372918189</v>
      </c>
      <c r="S122" s="14">
        <v>55.107179419142227</v>
      </c>
      <c r="T122" s="14">
        <v>55.107179419142227</v>
      </c>
      <c r="U122" s="14">
        <v>55.107179419142227</v>
      </c>
      <c r="V122" s="14">
        <v>55.107179419142227</v>
      </c>
      <c r="W122" s="14">
        <v>55.107179419142227</v>
      </c>
      <c r="X122" s="14">
        <v>55.107179419142227</v>
      </c>
      <c r="Y122" s="14">
        <v>58.121749388888894</v>
      </c>
      <c r="Z122" s="14">
        <v>69.943309277777786</v>
      </c>
      <c r="AA122" s="14">
        <v>69.46701927777778</v>
      </c>
      <c r="AB122" s="14">
        <v>66.186489333333327</v>
      </c>
      <c r="AC122" s="14">
        <v>65.266689333333332</v>
      </c>
      <c r="AD122" s="14">
        <v>65.856039333333328</v>
      </c>
      <c r="AE122" s="14">
        <v>66.87605933333333</v>
      </c>
      <c r="AF122" s="14">
        <v>67.478099333333333</v>
      </c>
      <c r="AG122" s="14">
        <v>68.509409333333338</v>
      </c>
      <c r="AH122" s="14">
        <v>72.062099277777776</v>
      </c>
      <c r="AI122" s="15">
        <v>84.76372918189</v>
      </c>
      <c r="AJ122" s="14">
        <v>67.856149317150553</v>
      </c>
      <c r="AK122" s="14">
        <v>67.856149317150553</v>
      </c>
      <c r="AL122" s="14">
        <v>67.856149317150553</v>
      </c>
      <c r="AM122" s="14">
        <v>67.856149317150553</v>
      </c>
      <c r="AN122" s="14">
        <v>67.856149317150553</v>
      </c>
      <c r="AO122" s="14">
        <v>67.856149317150553</v>
      </c>
      <c r="AP122" s="14">
        <v>67.856149317150553</v>
      </c>
      <c r="AQ122" s="14">
        <v>69.943309277777786</v>
      </c>
      <c r="AR122" s="14">
        <v>72.062099277777776</v>
      </c>
      <c r="AS122" s="14">
        <v>84.76372918189</v>
      </c>
    </row>
    <row r="123" spans="1:45" x14ac:dyDescent="0.35">
      <c r="A123" s="16">
        <v>3341.6938500000001</v>
      </c>
      <c r="B123" s="14">
        <v>4.1488518277777766</v>
      </c>
      <c r="C123" s="14">
        <v>4.1549868277777771</v>
      </c>
      <c r="D123" s="14">
        <v>4.1716498277777783</v>
      </c>
      <c r="E123" s="14">
        <v>4.2534038277777793</v>
      </c>
      <c r="F123" s="14">
        <v>6.1995848111111114</v>
      </c>
      <c r="G123" s="14">
        <v>22.134699683333338</v>
      </c>
      <c r="H123" s="14">
        <v>57.184179388888893</v>
      </c>
      <c r="I123" s="14">
        <v>69.667669277777776</v>
      </c>
      <c r="J123" s="14">
        <v>69.434049277777774</v>
      </c>
      <c r="K123" s="14">
        <v>66.167399333333321</v>
      </c>
      <c r="L123" s="14">
        <v>65.204799333333341</v>
      </c>
      <c r="M123" s="14">
        <v>65.791169333333343</v>
      </c>
      <c r="N123" s="14">
        <v>66.81225933333333</v>
      </c>
      <c r="O123" s="14">
        <v>67.414989333333338</v>
      </c>
      <c r="P123" s="14">
        <v>68.451039333333341</v>
      </c>
      <c r="Q123" s="14">
        <v>72.007569277777776</v>
      </c>
      <c r="R123" s="15">
        <v>84.705329182357218</v>
      </c>
      <c r="S123" s="14">
        <v>55.070799419433328</v>
      </c>
      <c r="T123" s="14">
        <v>55.070799419433328</v>
      </c>
      <c r="U123" s="14">
        <v>55.070799419433328</v>
      </c>
      <c r="V123" s="14">
        <v>55.070799419433328</v>
      </c>
      <c r="W123" s="14">
        <v>55.070799419433328</v>
      </c>
      <c r="X123" s="14">
        <v>55.070799419433328</v>
      </c>
      <c r="Y123" s="14">
        <v>57.184179388888893</v>
      </c>
      <c r="Z123" s="14">
        <v>69.667669277777776</v>
      </c>
      <c r="AA123" s="14">
        <v>69.434049277777774</v>
      </c>
      <c r="AB123" s="14">
        <v>66.167399333333321</v>
      </c>
      <c r="AC123" s="14">
        <v>65.204799333333341</v>
      </c>
      <c r="AD123" s="14">
        <v>65.791169333333343</v>
      </c>
      <c r="AE123" s="14">
        <v>66.81225933333333</v>
      </c>
      <c r="AF123" s="14">
        <v>67.414989333333338</v>
      </c>
      <c r="AG123" s="14">
        <v>68.451039333333341</v>
      </c>
      <c r="AH123" s="14">
        <v>72.007569277777776</v>
      </c>
      <c r="AI123" s="15">
        <v>84.705329182357218</v>
      </c>
      <c r="AJ123" s="14">
        <v>67.808549317531117</v>
      </c>
      <c r="AK123" s="14">
        <v>67.808549317531117</v>
      </c>
      <c r="AL123" s="14">
        <v>67.808549317531117</v>
      </c>
      <c r="AM123" s="14">
        <v>67.808549317531117</v>
      </c>
      <c r="AN123" s="14">
        <v>67.808549317531117</v>
      </c>
      <c r="AO123" s="14">
        <v>67.808549317531117</v>
      </c>
      <c r="AP123" s="14">
        <v>67.808549317531117</v>
      </c>
      <c r="AQ123" s="14">
        <v>69.667669277777776</v>
      </c>
      <c r="AR123" s="14">
        <v>72.007569277777776</v>
      </c>
      <c r="AS123" s="14">
        <v>84.705329182357218</v>
      </c>
    </row>
    <row r="124" spans="1:45" x14ac:dyDescent="0.35">
      <c r="A124" s="16">
        <v>3377.8179840000003</v>
      </c>
      <c r="B124" s="14">
        <v>4.1481748277777797</v>
      </c>
      <c r="C124" s="14">
        <v>4.1509588277777789</v>
      </c>
      <c r="D124" s="14">
        <v>4.1698828277777782</v>
      </c>
      <c r="E124" s="14">
        <v>4.246493827777778</v>
      </c>
      <c r="F124" s="14">
        <v>6.0409908111111106</v>
      </c>
      <c r="G124" s="14">
        <v>21.248839688888886</v>
      </c>
      <c r="H124" s="14">
        <v>56.11770938888889</v>
      </c>
      <c r="I124" s="14">
        <v>69.343079277777775</v>
      </c>
      <c r="J124" s="14">
        <v>69.393879277777785</v>
      </c>
      <c r="K124" s="14">
        <v>66.146309333333349</v>
      </c>
      <c r="L124" s="14">
        <v>65.135989333333328</v>
      </c>
      <c r="M124" s="14">
        <v>65.718699333333333</v>
      </c>
      <c r="N124" s="14">
        <v>66.74102933333333</v>
      </c>
      <c r="O124" s="14">
        <v>67.344529333333341</v>
      </c>
      <c r="P124" s="14">
        <v>68.38584933333334</v>
      </c>
      <c r="Q124" s="14">
        <v>71.946709277777785</v>
      </c>
      <c r="R124" s="15">
        <v>84.640219182877772</v>
      </c>
      <c r="S124" s="14">
        <v>55.028469419772222</v>
      </c>
      <c r="T124" s="14">
        <v>55.028469419772222</v>
      </c>
      <c r="U124" s="14">
        <v>55.028469419772222</v>
      </c>
      <c r="V124" s="14">
        <v>55.028469419772222</v>
      </c>
      <c r="W124" s="14">
        <v>55.028469419772222</v>
      </c>
      <c r="X124" s="14">
        <v>55.028469419772222</v>
      </c>
      <c r="Y124" s="14">
        <v>56.11770938888889</v>
      </c>
      <c r="Z124" s="14">
        <v>69.343079277777775</v>
      </c>
      <c r="AA124" s="14">
        <v>69.393879277777785</v>
      </c>
      <c r="AB124" s="14">
        <v>66.146309333333349</v>
      </c>
      <c r="AC124" s="14">
        <v>65.135989333333328</v>
      </c>
      <c r="AD124" s="14">
        <v>65.718699333333333</v>
      </c>
      <c r="AE124" s="14">
        <v>66.74102933333333</v>
      </c>
      <c r="AF124" s="14">
        <v>67.344529333333341</v>
      </c>
      <c r="AG124" s="14">
        <v>68.38584933333334</v>
      </c>
      <c r="AH124" s="14">
        <v>71.946709277777785</v>
      </c>
      <c r="AI124" s="15">
        <v>84.640219182877772</v>
      </c>
      <c r="AJ124" s="14">
        <v>67.757139317942773</v>
      </c>
      <c r="AK124" s="14">
        <v>67.757139317942773</v>
      </c>
      <c r="AL124" s="14">
        <v>67.757139317942773</v>
      </c>
      <c r="AM124" s="14">
        <v>67.757139317942773</v>
      </c>
      <c r="AN124" s="14">
        <v>67.757139317942773</v>
      </c>
      <c r="AO124" s="14">
        <v>67.757139317942773</v>
      </c>
      <c r="AP124" s="14">
        <v>67.757139317942773</v>
      </c>
      <c r="AQ124" s="14">
        <v>69.343079277777775</v>
      </c>
      <c r="AR124" s="14">
        <v>71.946709277777785</v>
      </c>
      <c r="AS124" s="14">
        <v>84.640219182877772</v>
      </c>
    </row>
    <row r="125" spans="1:45" x14ac:dyDescent="0.35">
      <c r="A125" s="16">
        <v>3415.9179840000002</v>
      </c>
      <c r="B125" s="14">
        <v>4.1484718277777768</v>
      </c>
      <c r="C125" s="14">
        <v>4.147126827777778</v>
      </c>
      <c r="D125" s="14">
        <v>4.168278827777776</v>
      </c>
      <c r="E125" s="14">
        <v>4.2405638277777769</v>
      </c>
      <c r="F125" s="14">
        <v>5.8945698111111096</v>
      </c>
      <c r="G125" s="14">
        <v>20.399509694444443</v>
      </c>
      <c r="H125" s="14">
        <v>55.033439444444447</v>
      </c>
      <c r="I125" s="14">
        <v>69.001219333333339</v>
      </c>
      <c r="J125" s="14">
        <v>69.350509277777775</v>
      </c>
      <c r="K125" s="14">
        <v>66.125829333333343</v>
      </c>
      <c r="L125" s="14">
        <v>65.067889333333326</v>
      </c>
      <c r="M125" s="14">
        <v>65.646599333333327</v>
      </c>
      <c r="N125" s="14">
        <v>66.670169333333334</v>
      </c>
      <c r="O125" s="14">
        <v>67.274469333333343</v>
      </c>
      <c r="P125" s="14">
        <v>68.321059333333338</v>
      </c>
      <c r="Q125" s="14">
        <v>71.886259277777782</v>
      </c>
      <c r="R125" s="15">
        <v>84.575539183395563</v>
      </c>
      <c r="S125" s="14">
        <v>55.00352941997167</v>
      </c>
      <c r="T125" s="14">
        <v>55.00352941997167</v>
      </c>
      <c r="U125" s="14">
        <v>55.00352941997167</v>
      </c>
      <c r="V125" s="14">
        <v>55.00352941997167</v>
      </c>
      <c r="W125" s="14">
        <v>55.00352941997167</v>
      </c>
      <c r="X125" s="14">
        <v>55.00352941997167</v>
      </c>
      <c r="Y125" s="14">
        <v>55.033439444444447</v>
      </c>
      <c r="Z125" s="14">
        <v>69.001219333333339</v>
      </c>
      <c r="AA125" s="14">
        <v>69.350509277777775</v>
      </c>
      <c r="AB125" s="14">
        <v>66.125829333333343</v>
      </c>
      <c r="AC125" s="14">
        <v>65.067889333333326</v>
      </c>
      <c r="AD125" s="14">
        <v>65.646599333333327</v>
      </c>
      <c r="AE125" s="14">
        <v>66.670169333333334</v>
      </c>
      <c r="AF125" s="14">
        <v>67.274469333333343</v>
      </c>
      <c r="AG125" s="14">
        <v>68.321059333333338</v>
      </c>
      <c r="AH125" s="14">
        <v>71.886259277777782</v>
      </c>
      <c r="AI125" s="15">
        <v>84.575539183395563</v>
      </c>
      <c r="AJ125" s="14">
        <v>67.717299318261112</v>
      </c>
      <c r="AK125" s="14">
        <v>67.717299318261112</v>
      </c>
      <c r="AL125" s="14">
        <v>67.717299318261112</v>
      </c>
      <c r="AM125" s="14">
        <v>67.717299318261112</v>
      </c>
      <c r="AN125" s="14">
        <v>67.717299318261112</v>
      </c>
      <c r="AO125" s="14">
        <v>67.717299318261112</v>
      </c>
      <c r="AP125" s="14">
        <v>67.717299318261112</v>
      </c>
      <c r="AQ125" s="14">
        <v>69.001219333333339</v>
      </c>
      <c r="AR125" s="14">
        <v>71.886259277777782</v>
      </c>
      <c r="AS125" s="14">
        <v>84.575539183395563</v>
      </c>
    </row>
    <row r="126" spans="1:45" x14ac:dyDescent="0.35">
      <c r="A126" s="16">
        <v>3454.0179840000001</v>
      </c>
      <c r="B126" s="14">
        <v>4.1469318277777765</v>
      </c>
      <c r="C126" s="14">
        <v>4.1437478277777764</v>
      </c>
      <c r="D126" s="14">
        <v>4.1669868277777766</v>
      </c>
      <c r="E126" s="14">
        <v>4.2356608277777772</v>
      </c>
      <c r="F126" s="14">
        <v>5.7596008166666675</v>
      </c>
      <c r="G126" s="14">
        <v>19.58291970555555</v>
      </c>
      <c r="H126" s="14">
        <v>53.934619444444444</v>
      </c>
      <c r="I126" s="14">
        <v>68.641659333333337</v>
      </c>
      <c r="J126" s="14">
        <v>69.303749333333329</v>
      </c>
      <c r="K126" s="14">
        <v>66.105949333333328</v>
      </c>
      <c r="L126" s="14">
        <v>65.000579333333334</v>
      </c>
      <c r="M126" s="14">
        <v>65.574919333333327</v>
      </c>
      <c r="N126" s="14">
        <v>66.599789333333334</v>
      </c>
      <c r="O126" s="14">
        <v>67.204899333333344</v>
      </c>
      <c r="P126" s="14">
        <v>68.256739333333314</v>
      </c>
      <c r="Q126" s="14">
        <v>71.826329277777788</v>
      </c>
      <c r="R126" s="15">
        <v>84.511449183907786</v>
      </c>
      <c r="S126" s="14">
        <v>54.948899420408324</v>
      </c>
      <c r="T126" s="14">
        <v>54.948899420408324</v>
      </c>
      <c r="U126" s="14">
        <v>54.948899420408324</v>
      </c>
      <c r="V126" s="14">
        <v>54.948899420408324</v>
      </c>
      <c r="W126" s="14">
        <v>54.948899420408324</v>
      </c>
      <c r="X126" s="14">
        <v>54.948899420408324</v>
      </c>
      <c r="Y126" s="14">
        <v>54.948899420408324</v>
      </c>
      <c r="Z126" s="14">
        <v>68.641659333333337</v>
      </c>
      <c r="AA126" s="14">
        <v>69.303749333333329</v>
      </c>
      <c r="AB126" s="14">
        <v>66.105949333333328</v>
      </c>
      <c r="AC126" s="14">
        <v>65.000579333333334</v>
      </c>
      <c r="AD126" s="14">
        <v>65.574919333333327</v>
      </c>
      <c r="AE126" s="14">
        <v>66.599789333333334</v>
      </c>
      <c r="AF126" s="14">
        <v>67.204899333333344</v>
      </c>
      <c r="AG126" s="14">
        <v>68.256739333333314</v>
      </c>
      <c r="AH126" s="14">
        <v>71.826329277777788</v>
      </c>
      <c r="AI126" s="15">
        <v>84.511449183907786</v>
      </c>
      <c r="AJ126" s="14">
        <v>67.656729318746102</v>
      </c>
      <c r="AK126" s="14">
        <v>67.656729318746102</v>
      </c>
      <c r="AL126" s="14">
        <v>67.656729318746102</v>
      </c>
      <c r="AM126" s="14">
        <v>67.656729318746102</v>
      </c>
      <c r="AN126" s="14">
        <v>67.656729318746102</v>
      </c>
      <c r="AO126" s="14">
        <v>67.656729318746102</v>
      </c>
      <c r="AP126" s="14">
        <v>67.656729318746102</v>
      </c>
      <c r="AQ126" s="14">
        <v>68.641659333333337</v>
      </c>
      <c r="AR126" s="14">
        <v>71.826329277777788</v>
      </c>
      <c r="AS126" s="14">
        <v>84.511449183907786</v>
      </c>
    </row>
    <row r="127" spans="1:45" x14ac:dyDescent="0.35">
      <c r="A127" s="16">
        <v>3492.117984</v>
      </c>
      <c r="B127" s="14">
        <v>4.1472148277777796</v>
      </c>
      <c r="C127" s="14">
        <v>4.141101827777776</v>
      </c>
      <c r="D127" s="14">
        <v>4.16605782777778</v>
      </c>
      <c r="E127" s="14">
        <v>4.2317058277777795</v>
      </c>
      <c r="F127" s="14">
        <v>5.6353168166666654</v>
      </c>
      <c r="G127" s="14">
        <v>18.801279711111111</v>
      </c>
      <c r="H127" s="14">
        <v>52.822869444444443</v>
      </c>
      <c r="I127" s="14">
        <v>68.263769333333329</v>
      </c>
      <c r="J127" s="14">
        <v>69.253339333333329</v>
      </c>
      <c r="K127" s="14">
        <v>66.086619333333317</v>
      </c>
      <c r="L127" s="14">
        <v>64.934059333333323</v>
      </c>
      <c r="M127" s="14">
        <v>65.503439333333333</v>
      </c>
      <c r="N127" s="14">
        <v>66.529869333333338</v>
      </c>
      <c r="O127" s="14">
        <v>67.13581933333333</v>
      </c>
      <c r="P127" s="14">
        <v>68.192889333333326</v>
      </c>
      <c r="Q127" s="14">
        <v>71.766909277777771</v>
      </c>
      <c r="R127" s="15">
        <v>84.44796918441611</v>
      </c>
      <c r="S127" s="14">
        <v>54.93116942055056</v>
      </c>
      <c r="T127" s="14">
        <v>54.93116942055056</v>
      </c>
      <c r="U127" s="14">
        <v>54.93116942055056</v>
      </c>
      <c r="V127" s="14">
        <v>54.93116942055056</v>
      </c>
      <c r="W127" s="14">
        <v>54.93116942055056</v>
      </c>
      <c r="X127" s="14">
        <v>54.93116942055056</v>
      </c>
      <c r="Y127" s="14">
        <v>54.93116942055056</v>
      </c>
      <c r="Z127" s="14">
        <v>68.263769333333329</v>
      </c>
      <c r="AA127" s="14">
        <v>69.253339333333329</v>
      </c>
      <c r="AB127" s="14">
        <v>66.086619333333317</v>
      </c>
      <c r="AC127" s="14">
        <v>64.934059333333323</v>
      </c>
      <c r="AD127" s="14">
        <v>65.503439333333333</v>
      </c>
      <c r="AE127" s="14">
        <v>66.529869333333338</v>
      </c>
      <c r="AF127" s="14">
        <v>67.13581933333333</v>
      </c>
      <c r="AG127" s="14">
        <v>68.192889333333326</v>
      </c>
      <c r="AH127" s="14">
        <v>71.766909277777771</v>
      </c>
      <c r="AI127" s="15">
        <v>84.44796918441611</v>
      </c>
      <c r="AJ127" s="14">
        <v>67.62458931900278</v>
      </c>
      <c r="AK127" s="14">
        <v>67.62458931900278</v>
      </c>
      <c r="AL127" s="14">
        <v>67.62458931900278</v>
      </c>
      <c r="AM127" s="14">
        <v>67.62458931900278</v>
      </c>
      <c r="AN127" s="14">
        <v>67.62458931900278</v>
      </c>
      <c r="AO127" s="14">
        <v>67.62458931900278</v>
      </c>
      <c r="AP127" s="14">
        <v>67.62458931900278</v>
      </c>
      <c r="AQ127" s="14">
        <v>68.263769333333329</v>
      </c>
      <c r="AR127" s="14">
        <v>71.766909277777771</v>
      </c>
      <c r="AS127" s="14">
        <v>84.44796918441611</v>
      </c>
    </row>
    <row r="128" spans="1:45" x14ac:dyDescent="0.35">
      <c r="A128" s="16">
        <v>3522.521784</v>
      </c>
      <c r="B128" s="14">
        <v>4.145060827777777</v>
      </c>
      <c r="C128" s="14">
        <v>4.1395148277777789</v>
      </c>
      <c r="D128" s="14">
        <v>4.1653808277777786</v>
      </c>
      <c r="E128" s="14">
        <v>4.2296368277777789</v>
      </c>
      <c r="F128" s="14">
        <v>5.5651128166666668</v>
      </c>
      <c r="G128" s="14">
        <v>18.34829971111111</v>
      </c>
      <c r="H128" s="14">
        <v>52.157549444444449</v>
      </c>
      <c r="I128" s="14">
        <v>68.032199333333338</v>
      </c>
      <c r="J128" s="14">
        <v>69.222419333333335</v>
      </c>
      <c r="K128" s="14">
        <v>66.07577933333333</v>
      </c>
      <c r="L128" s="14">
        <v>64.89521933333333</v>
      </c>
      <c r="M128" s="14">
        <v>65.461439333333331</v>
      </c>
      <c r="N128" s="14">
        <v>66.488849333333334</v>
      </c>
      <c r="O128" s="14">
        <v>67.095299333333344</v>
      </c>
      <c r="P128" s="14">
        <v>68.155489333333335</v>
      </c>
      <c r="Q128" s="14">
        <v>71.732119277777784</v>
      </c>
      <c r="R128" s="15">
        <v>84.410689184713888</v>
      </c>
      <c r="S128" s="14">
        <v>54.889389420884449</v>
      </c>
      <c r="T128" s="14">
        <v>54.889389420884449</v>
      </c>
      <c r="U128" s="14">
        <v>54.889389420884449</v>
      </c>
      <c r="V128" s="14">
        <v>54.889389420884449</v>
      </c>
      <c r="W128" s="14">
        <v>54.889389420884449</v>
      </c>
      <c r="X128" s="14">
        <v>54.889389420884449</v>
      </c>
      <c r="Y128" s="14">
        <v>54.889389420884449</v>
      </c>
      <c r="Z128" s="14">
        <v>68.032199333333338</v>
      </c>
      <c r="AA128" s="14">
        <v>69.222419333333335</v>
      </c>
      <c r="AB128" s="14">
        <v>66.07577933333333</v>
      </c>
      <c r="AC128" s="14">
        <v>64.89521933333333</v>
      </c>
      <c r="AD128" s="14">
        <v>65.461439333333331</v>
      </c>
      <c r="AE128" s="14">
        <v>66.488849333333334</v>
      </c>
      <c r="AF128" s="14">
        <v>67.095299333333344</v>
      </c>
      <c r="AG128" s="14">
        <v>68.155489333333335</v>
      </c>
      <c r="AH128" s="14">
        <v>71.732119277777784</v>
      </c>
      <c r="AI128" s="15">
        <v>84.410689184713888</v>
      </c>
      <c r="AJ128" s="14">
        <v>67.581539319347215</v>
      </c>
      <c r="AK128" s="14">
        <v>67.581539319347215</v>
      </c>
      <c r="AL128" s="14">
        <v>67.581539319347215</v>
      </c>
      <c r="AM128" s="14">
        <v>67.581539319347215</v>
      </c>
      <c r="AN128" s="14">
        <v>67.581539319347215</v>
      </c>
      <c r="AO128" s="14">
        <v>67.581539319347215</v>
      </c>
      <c r="AP128" s="14">
        <v>67.581539319347215</v>
      </c>
      <c r="AQ128" s="14">
        <v>68.032199333333338</v>
      </c>
      <c r="AR128" s="14">
        <v>71.732119277777784</v>
      </c>
      <c r="AS128" s="14">
        <v>84.410689184713888</v>
      </c>
    </row>
    <row r="129" spans="1:45" x14ac:dyDescent="0.35">
      <c r="A129" s="16">
        <v>3545.2293840000002</v>
      </c>
      <c r="B129" s="14">
        <v>4.1448388277777761</v>
      </c>
      <c r="C129" s="14">
        <v>4.137480827777777</v>
      </c>
      <c r="D129" s="14">
        <v>4.1640608277777762</v>
      </c>
      <c r="E129" s="14">
        <v>4.2269188277777774</v>
      </c>
      <c r="F129" s="14">
        <v>5.4971858166666685</v>
      </c>
      <c r="G129" s="14">
        <v>17.905199716666662</v>
      </c>
      <c r="H129" s="14">
        <v>51.485689444444439</v>
      </c>
      <c r="I129" s="14">
        <v>67.79197933333333</v>
      </c>
      <c r="J129" s="14">
        <v>69.188329333333328</v>
      </c>
      <c r="K129" s="14">
        <v>66.063359333333338</v>
      </c>
      <c r="L129" s="14">
        <v>64.854909333333325</v>
      </c>
      <c r="M129" s="14">
        <v>65.417829333333344</v>
      </c>
      <c r="N129" s="14">
        <v>66.446219333333332</v>
      </c>
      <c r="O129" s="14">
        <v>67.053179333333333</v>
      </c>
      <c r="P129" s="14">
        <v>68.116479333333331</v>
      </c>
      <c r="Q129" s="14">
        <v>71.695749277777793</v>
      </c>
      <c r="R129" s="15">
        <v>84.371829185025007</v>
      </c>
      <c r="S129" s="14">
        <v>54.841719421266106</v>
      </c>
      <c r="T129" s="14">
        <v>54.841719421266106</v>
      </c>
      <c r="U129" s="14">
        <v>54.841719421266106</v>
      </c>
      <c r="V129" s="14">
        <v>54.841719421266106</v>
      </c>
      <c r="W129" s="14">
        <v>54.841719421266106</v>
      </c>
      <c r="X129" s="14">
        <v>54.841719421266106</v>
      </c>
      <c r="Y129" s="14">
        <v>54.841719421266106</v>
      </c>
      <c r="Z129" s="14">
        <v>67.79197933333333</v>
      </c>
      <c r="AA129" s="14">
        <v>69.188329333333328</v>
      </c>
      <c r="AB129" s="14">
        <v>66.063359333333338</v>
      </c>
      <c r="AC129" s="14">
        <v>64.854909333333325</v>
      </c>
      <c r="AD129" s="14">
        <v>65.417829333333344</v>
      </c>
      <c r="AE129" s="14">
        <v>66.446219333333332</v>
      </c>
      <c r="AF129" s="14">
        <v>67.053179333333333</v>
      </c>
      <c r="AG129" s="14">
        <v>68.116479333333331</v>
      </c>
      <c r="AH129" s="14">
        <v>71.695749277777793</v>
      </c>
      <c r="AI129" s="15">
        <v>84.371829185025007</v>
      </c>
      <c r="AJ129" s="14">
        <v>67.53169931974611</v>
      </c>
      <c r="AK129" s="14">
        <v>67.53169931974611</v>
      </c>
      <c r="AL129" s="14">
        <v>67.53169931974611</v>
      </c>
      <c r="AM129" s="14">
        <v>67.53169931974611</v>
      </c>
      <c r="AN129" s="14">
        <v>67.53169931974611</v>
      </c>
      <c r="AO129" s="14">
        <v>67.53169931974611</v>
      </c>
      <c r="AP129" s="14">
        <v>67.53169931974611</v>
      </c>
      <c r="AQ129" s="14">
        <v>67.79197933333333</v>
      </c>
      <c r="AR129" s="14">
        <v>71.695749277777793</v>
      </c>
      <c r="AS129" s="14">
        <v>84.371829185025007</v>
      </c>
    </row>
    <row r="130" spans="1:45" x14ac:dyDescent="0.35">
      <c r="A130" s="16">
        <v>3575.6331840000003</v>
      </c>
      <c r="B130" s="14">
        <v>4.1404128277777765</v>
      </c>
      <c r="C130" s="14">
        <v>4.1380868277777774</v>
      </c>
      <c r="D130" s="14">
        <v>4.1655938277777773</v>
      </c>
      <c r="E130" s="14">
        <v>4.2264708277777769</v>
      </c>
      <c r="F130" s="14">
        <v>5.3955008166666669</v>
      </c>
      <c r="G130" s="14">
        <v>17.195539722222222</v>
      </c>
      <c r="H130" s="14">
        <v>50.356489444444449</v>
      </c>
      <c r="I130" s="14">
        <v>67.372419333333326</v>
      </c>
      <c r="J130" s="14">
        <v>69.130779333333336</v>
      </c>
      <c r="K130" s="14">
        <v>66.046759333333341</v>
      </c>
      <c r="L130" s="14">
        <v>64.791879333333341</v>
      </c>
      <c r="M130" s="14">
        <v>65.349069333333333</v>
      </c>
      <c r="N130" s="14">
        <v>66.379149333333331</v>
      </c>
      <c r="O130" s="14">
        <v>66.987029333333339</v>
      </c>
      <c r="P130" s="14">
        <v>68.055519333333336</v>
      </c>
      <c r="Q130" s="14">
        <v>71.639409277777787</v>
      </c>
      <c r="R130" s="15">
        <v>84.311959185503895</v>
      </c>
      <c r="S130" s="14">
        <v>54.813079421495004</v>
      </c>
      <c r="T130" s="14">
        <v>54.813079421495004</v>
      </c>
      <c r="U130" s="14">
        <v>54.813079421495004</v>
      </c>
      <c r="V130" s="14">
        <v>54.813079421495004</v>
      </c>
      <c r="W130" s="14">
        <v>54.813079421495004</v>
      </c>
      <c r="X130" s="14">
        <v>54.813079421495004</v>
      </c>
      <c r="Y130" s="14">
        <v>54.813079421495004</v>
      </c>
      <c r="Z130" s="14">
        <v>67.372419333333326</v>
      </c>
      <c r="AA130" s="14">
        <v>69.130779333333336</v>
      </c>
      <c r="AB130" s="14">
        <v>66.046759333333341</v>
      </c>
      <c r="AC130" s="14">
        <v>64.791879333333341</v>
      </c>
      <c r="AD130" s="14">
        <v>65.349069333333333</v>
      </c>
      <c r="AE130" s="14">
        <v>66.379149333333331</v>
      </c>
      <c r="AF130" s="14">
        <v>66.987029333333339</v>
      </c>
      <c r="AG130" s="14">
        <v>68.055519333333336</v>
      </c>
      <c r="AH130" s="14">
        <v>71.639409277777787</v>
      </c>
      <c r="AI130" s="15">
        <v>84.311959185503895</v>
      </c>
      <c r="AJ130" s="14">
        <v>67.494439320044449</v>
      </c>
      <c r="AK130" s="14">
        <v>67.494439320044449</v>
      </c>
      <c r="AL130" s="14">
        <v>67.494439320044449</v>
      </c>
      <c r="AM130" s="14">
        <v>67.494439320044449</v>
      </c>
      <c r="AN130" s="14">
        <v>67.494439320044449</v>
      </c>
      <c r="AO130" s="14">
        <v>67.494439320044449</v>
      </c>
      <c r="AP130" s="14">
        <v>67.494439320044449</v>
      </c>
      <c r="AQ130" s="14">
        <v>67.494439320044449</v>
      </c>
      <c r="AR130" s="14">
        <v>71.639409277777787</v>
      </c>
      <c r="AS130" s="14">
        <v>84.311959185503895</v>
      </c>
    </row>
    <row r="131" spans="1:45" x14ac:dyDescent="0.35">
      <c r="A131" s="16">
        <v>3613.7331840000002</v>
      </c>
      <c r="B131" s="14">
        <v>4.1315218277777772</v>
      </c>
      <c r="C131" s="14">
        <v>4.1421188277777787</v>
      </c>
      <c r="D131" s="14">
        <v>4.1706328277777791</v>
      </c>
      <c r="E131" s="14">
        <v>4.2304438277777798</v>
      </c>
      <c r="F131" s="14">
        <v>5.3065248166666654</v>
      </c>
      <c r="G131" s="14">
        <v>16.523009727777776</v>
      </c>
      <c r="H131" s="14">
        <v>49.227769444444441</v>
      </c>
      <c r="I131" s="14">
        <v>66.938459333333341</v>
      </c>
      <c r="J131" s="14">
        <v>69.07416933333333</v>
      </c>
      <c r="K131" s="14">
        <v>66.035949333333335</v>
      </c>
      <c r="L131" s="14">
        <v>64.735129333333319</v>
      </c>
      <c r="M131" s="14">
        <v>65.286349333333334</v>
      </c>
      <c r="N131" s="14">
        <v>66.318129333333331</v>
      </c>
      <c r="O131" s="14">
        <v>66.926969333333332</v>
      </c>
      <c r="P131" s="14">
        <v>68.00066933333332</v>
      </c>
      <c r="Q131" s="14">
        <v>71.589279277777777</v>
      </c>
      <c r="R131" s="15">
        <v>84.258789185929444</v>
      </c>
      <c r="S131" s="14">
        <v>54.777169421782219</v>
      </c>
      <c r="T131" s="14">
        <v>54.777169421782219</v>
      </c>
      <c r="U131" s="14">
        <v>54.777169421782219</v>
      </c>
      <c r="V131" s="14">
        <v>54.777169421782219</v>
      </c>
      <c r="W131" s="14">
        <v>54.777169421782219</v>
      </c>
      <c r="X131" s="14">
        <v>54.777169421782219</v>
      </c>
      <c r="Y131" s="14">
        <v>54.777169421782219</v>
      </c>
      <c r="Z131" s="14">
        <v>66.938459333333341</v>
      </c>
      <c r="AA131" s="14">
        <v>69.07416933333333</v>
      </c>
      <c r="AB131" s="14">
        <v>66.035949333333335</v>
      </c>
      <c r="AC131" s="14">
        <v>64.735129333333319</v>
      </c>
      <c r="AD131" s="14">
        <v>65.286349333333334</v>
      </c>
      <c r="AE131" s="14">
        <v>66.318129333333331</v>
      </c>
      <c r="AF131" s="14">
        <v>66.926969333333332</v>
      </c>
      <c r="AG131" s="14">
        <v>68.00066933333332</v>
      </c>
      <c r="AH131" s="14">
        <v>71.589279277777777</v>
      </c>
      <c r="AI131" s="15">
        <v>84.258789185929444</v>
      </c>
      <c r="AJ131" s="14">
        <v>67.451649320386679</v>
      </c>
      <c r="AK131" s="14">
        <v>67.451649320386679</v>
      </c>
      <c r="AL131" s="14">
        <v>67.451649320386679</v>
      </c>
      <c r="AM131" s="14">
        <v>67.451649320386679</v>
      </c>
      <c r="AN131" s="14">
        <v>67.451649320386679</v>
      </c>
      <c r="AO131" s="14">
        <v>67.451649320386679</v>
      </c>
      <c r="AP131" s="14">
        <v>67.451649320386679</v>
      </c>
      <c r="AQ131" s="14">
        <v>67.451649320386679</v>
      </c>
      <c r="AR131" s="14">
        <v>71.589279277777777</v>
      </c>
      <c r="AS131" s="14">
        <v>84.258789185929444</v>
      </c>
    </row>
    <row r="132" spans="1:45" x14ac:dyDescent="0.35">
      <c r="A132" s="16">
        <v>3651.8331840000001</v>
      </c>
      <c r="B132" s="14">
        <v>4.1232258277777785</v>
      </c>
      <c r="C132" s="14">
        <v>4.1449298277777773</v>
      </c>
      <c r="D132" s="14">
        <v>4.1745588277777772</v>
      </c>
      <c r="E132" s="14">
        <v>4.2340268277777762</v>
      </c>
      <c r="F132" s="14">
        <v>5.224559816666666</v>
      </c>
      <c r="G132" s="14">
        <v>15.880709733333333</v>
      </c>
      <c r="H132" s="14">
        <v>48.095769500000003</v>
      </c>
      <c r="I132" s="14">
        <v>66.482979333333333</v>
      </c>
      <c r="J132" s="14">
        <v>69.011509333333322</v>
      </c>
      <c r="K132" s="14">
        <v>66.024279333333325</v>
      </c>
      <c r="L132" s="14">
        <v>64.678059333333337</v>
      </c>
      <c r="M132" s="14">
        <v>65.222829333333323</v>
      </c>
      <c r="N132" s="14">
        <v>66.256379333333342</v>
      </c>
      <c r="O132" s="14">
        <v>66.86620933333333</v>
      </c>
      <c r="P132" s="14">
        <v>67.945089333333328</v>
      </c>
      <c r="Q132" s="14">
        <v>71.538439277777769</v>
      </c>
      <c r="R132" s="15">
        <v>84.204919186360542</v>
      </c>
      <c r="S132" s="14">
        <v>54.740759422073893</v>
      </c>
      <c r="T132" s="14">
        <v>54.740759422073893</v>
      </c>
      <c r="U132" s="14">
        <v>54.740759422073893</v>
      </c>
      <c r="V132" s="14">
        <v>54.740759422073893</v>
      </c>
      <c r="W132" s="14">
        <v>54.740759422073893</v>
      </c>
      <c r="X132" s="14">
        <v>54.740759422073893</v>
      </c>
      <c r="Y132" s="14">
        <v>54.740759422073893</v>
      </c>
      <c r="Z132" s="14">
        <v>66.482979333333333</v>
      </c>
      <c r="AA132" s="14">
        <v>69.011509333333322</v>
      </c>
      <c r="AB132" s="14">
        <v>66.024279333333325</v>
      </c>
      <c r="AC132" s="14">
        <v>64.678059333333337</v>
      </c>
      <c r="AD132" s="14">
        <v>65.222829333333323</v>
      </c>
      <c r="AE132" s="14">
        <v>66.256379333333342</v>
      </c>
      <c r="AF132" s="14">
        <v>66.86620933333333</v>
      </c>
      <c r="AG132" s="14">
        <v>67.945089333333328</v>
      </c>
      <c r="AH132" s="14">
        <v>71.538439277777769</v>
      </c>
      <c r="AI132" s="15">
        <v>84.204919186360542</v>
      </c>
      <c r="AJ132" s="14">
        <v>67.407999320735541</v>
      </c>
      <c r="AK132" s="14">
        <v>67.407999320735541</v>
      </c>
      <c r="AL132" s="14">
        <v>67.407999320735541</v>
      </c>
      <c r="AM132" s="14">
        <v>67.407999320735541</v>
      </c>
      <c r="AN132" s="14">
        <v>67.407999320735541</v>
      </c>
      <c r="AO132" s="14">
        <v>67.407999320735541</v>
      </c>
      <c r="AP132" s="14">
        <v>67.407999320735541</v>
      </c>
      <c r="AQ132" s="14">
        <v>67.407999320735541</v>
      </c>
      <c r="AR132" s="14">
        <v>71.538439277777769</v>
      </c>
      <c r="AS132" s="14">
        <v>84.204919186360542</v>
      </c>
    </row>
    <row r="133" spans="1:45" x14ac:dyDescent="0.35">
      <c r="A133" s="16">
        <v>3689.933184</v>
      </c>
      <c r="B133" s="14">
        <v>4.1155738277777782</v>
      </c>
      <c r="C133" s="14">
        <v>4.1464988277777772</v>
      </c>
      <c r="D133" s="14">
        <v>4.1774188277777764</v>
      </c>
      <c r="E133" s="14">
        <v>4.2371718277777779</v>
      </c>
      <c r="F133" s="14">
        <v>5.149058816666666</v>
      </c>
      <c r="G133" s="14">
        <v>15.265589738888886</v>
      </c>
      <c r="H133" s="14">
        <v>46.962479500000001</v>
      </c>
      <c r="I133" s="14">
        <v>66.005629333333331</v>
      </c>
      <c r="J133" s="14">
        <v>68.942519333333337</v>
      </c>
      <c r="K133" s="14">
        <v>66.011679333333348</v>
      </c>
      <c r="L133" s="14">
        <v>64.620679333333328</v>
      </c>
      <c r="M133" s="14">
        <v>65.158479333333332</v>
      </c>
      <c r="N133" s="14">
        <v>66.193889333333345</v>
      </c>
      <c r="O133" s="14">
        <v>66.804749333333334</v>
      </c>
      <c r="P133" s="14">
        <v>67.888779333333332</v>
      </c>
      <c r="Q133" s="14">
        <v>71.486899277777781</v>
      </c>
      <c r="R133" s="15">
        <v>84.150209186797781</v>
      </c>
      <c r="S133" s="14">
        <v>54.704639422362774</v>
      </c>
      <c r="T133" s="14">
        <v>54.704639422362774</v>
      </c>
      <c r="U133" s="14">
        <v>54.704639422362774</v>
      </c>
      <c r="V133" s="14">
        <v>54.704639422362774</v>
      </c>
      <c r="W133" s="14">
        <v>54.704639422362774</v>
      </c>
      <c r="X133" s="14">
        <v>54.704639422362774</v>
      </c>
      <c r="Y133" s="14">
        <v>54.704639422362774</v>
      </c>
      <c r="Z133" s="14">
        <v>66.005629333333331</v>
      </c>
      <c r="AA133" s="14">
        <v>68.942519333333337</v>
      </c>
      <c r="AB133" s="14">
        <v>66.011679333333348</v>
      </c>
      <c r="AC133" s="14">
        <v>64.620679333333328</v>
      </c>
      <c r="AD133" s="14">
        <v>65.158479333333332</v>
      </c>
      <c r="AE133" s="14">
        <v>66.193889333333345</v>
      </c>
      <c r="AF133" s="14">
        <v>66.804749333333334</v>
      </c>
      <c r="AG133" s="14">
        <v>67.888779333333332</v>
      </c>
      <c r="AH133" s="14">
        <v>71.486899277777781</v>
      </c>
      <c r="AI133" s="15">
        <v>84.150209186797781</v>
      </c>
      <c r="AJ133" s="14">
        <v>67.364239321085563</v>
      </c>
      <c r="AK133" s="14">
        <v>67.364239321085563</v>
      </c>
      <c r="AL133" s="14">
        <v>67.364239321085563</v>
      </c>
      <c r="AM133" s="14">
        <v>67.364239321085563</v>
      </c>
      <c r="AN133" s="14">
        <v>67.364239321085563</v>
      </c>
      <c r="AO133" s="14">
        <v>67.364239321085563</v>
      </c>
      <c r="AP133" s="14">
        <v>67.364239321085563</v>
      </c>
      <c r="AQ133" s="14">
        <v>67.364239321085563</v>
      </c>
      <c r="AR133" s="14">
        <v>71.486899277777781</v>
      </c>
      <c r="AS133" s="14">
        <v>84.150209186797781</v>
      </c>
    </row>
    <row r="134" spans="1:45" x14ac:dyDescent="0.35">
      <c r="A134" s="16">
        <v>3728.0331840000003</v>
      </c>
      <c r="B134" s="14">
        <v>4.1109488277777793</v>
      </c>
      <c r="C134" s="14">
        <v>4.1449158277777762</v>
      </c>
      <c r="D134" s="14">
        <v>4.1771748277777796</v>
      </c>
      <c r="E134" s="14">
        <v>4.2377238277777787</v>
      </c>
      <c r="F134" s="14">
        <v>5.0773778166666652</v>
      </c>
      <c r="G134" s="14">
        <v>14.675899744444443</v>
      </c>
      <c r="H134" s="14">
        <v>45.827719500000001</v>
      </c>
      <c r="I134" s="14">
        <v>65.502789333333325</v>
      </c>
      <c r="J134" s="14">
        <v>68.864079333333336</v>
      </c>
      <c r="K134" s="14">
        <v>65.995309333333324</v>
      </c>
      <c r="L134" s="14">
        <v>64.560239333333328</v>
      </c>
      <c r="M134" s="14">
        <v>65.090679333333327</v>
      </c>
      <c r="N134" s="14">
        <v>66.127829333333338</v>
      </c>
      <c r="O134" s="14">
        <v>66.739719333333341</v>
      </c>
      <c r="P134" s="14">
        <v>67.828839333333335</v>
      </c>
      <c r="Q134" s="14">
        <v>71.431719277777773</v>
      </c>
      <c r="R134" s="15">
        <v>84.091639187266665</v>
      </c>
      <c r="S134" s="14">
        <v>54.6669794226639</v>
      </c>
      <c r="T134" s="14">
        <v>54.6669794226639</v>
      </c>
      <c r="U134" s="14">
        <v>54.6669794226639</v>
      </c>
      <c r="V134" s="14">
        <v>54.6669794226639</v>
      </c>
      <c r="W134" s="14">
        <v>54.6669794226639</v>
      </c>
      <c r="X134" s="14">
        <v>54.6669794226639</v>
      </c>
      <c r="Y134" s="14">
        <v>54.6669794226639</v>
      </c>
      <c r="Z134" s="14">
        <v>65.502789333333325</v>
      </c>
      <c r="AA134" s="14">
        <v>68.864079333333336</v>
      </c>
      <c r="AB134" s="14">
        <v>65.995309333333324</v>
      </c>
      <c r="AC134" s="14">
        <v>64.560239333333328</v>
      </c>
      <c r="AD134" s="14">
        <v>65.090679333333327</v>
      </c>
      <c r="AE134" s="14">
        <v>66.127829333333338</v>
      </c>
      <c r="AF134" s="14">
        <v>66.739719333333341</v>
      </c>
      <c r="AG134" s="14">
        <v>67.828839333333335</v>
      </c>
      <c r="AH134" s="14">
        <v>71.431719277777773</v>
      </c>
      <c r="AI134" s="15">
        <v>84.091639187266665</v>
      </c>
      <c r="AJ134" s="14">
        <v>67.317989321455556</v>
      </c>
      <c r="AK134" s="14">
        <v>67.317989321455556</v>
      </c>
      <c r="AL134" s="14">
        <v>67.317989321455556</v>
      </c>
      <c r="AM134" s="14">
        <v>67.317989321455556</v>
      </c>
      <c r="AN134" s="14">
        <v>67.317989321455556</v>
      </c>
      <c r="AO134" s="14">
        <v>67.317989321455556</v>
      </c>
      <c r="AP134" s="14">
        <v>67.317989321455556</v>
      </c>
      <c r="AQ134" s="14">
        <v>67.317989321455556</v>
      </c>
      <c r="AR134" s="14">
        <v>71.431719277777773</v>
      </c>
      <c r="AS134" s="14">
        <v>84.091639187266665</v>
      </c>
    </row>
    <row r="135" spans="1:45" x14ac:dyDescent="0.35">
      <c r="A135" s="16">
        <v>3766.1331840000003</v>
      </c>
      <c r="B135" s="14">
        <v>4.1093118277777778</v>
      </c>
      <c r="C135" s="14">
        <v>4.1404478277777796</v>
      </c>
      <c r="D135" s="14">
        <v>4.1741718277777791</v>
      </c>
      <c r="E135" s="14">
        <v>4.2356958277777794</v>
      </c>
      <c r="F135" s="14">
        <v>5.0089388222222233</v>
      </c>
      <c r="G135" s="14">
        <v>14.111659744444445</v>
      </c>
      <c r="H135" s="14">
        <v>44.693289500000006</v>
      </c>
      <c r="I135" s="14">
        <v>64.973269333333334</v>
      </c>
      <c r="J135" s="14">
        <v>68.775909333333331</v>
      </c>
      <c r="K135" s="14">
        <v>65.975119333333339</v>
      </c>
      <c r="L135" s="14">
        <v>64.496769333333333</v>
      </c>
      <c r="M135" s="14">
        <v>65.019419333333346</v>
      </c>
      <c r="N135" s="14">
        <v>66.058209333333338</v>
      </c>
      <c r="O135" s="14">
        <v>66.671139333333329</v>
      </c>
      <c r="P135" s="14">
        <v>67.76505933333334</v>
      </c>
      <c r="Q135" s="14">
        <v>71.372899277777776</v>
      </c>
      <c r="R135" s="15">
        <v>84.029309187765008</v>
      </c>
      <c r="S135" s="14">
        <v>54.626949422983884</v>
      </c>
      <c r="T135" s="14">
        <v>54.626949422983884</v>
      </c>
      <c r="U135" s="14">
        <v>54.626949422983884</v>
      </c>
      <c r="V135" s="14">
        <v>54.626949422983884</v>
      </c>
      <c r="W135" s="14">
        <v>54.626949422983884</v>
      </c>
      <c r="X135" s="14">
        <v>54.626949422983884</v>
      </c>
      <c r="Y135" s="14">
        <v>54.626949422983884</v>
      </c>
      <c r="Z135" s="14">
        <v>64.973269333333334</v>
      </c>
      <c r="AA135" s="14">
        <v>68.775909333333331</v>
      </c>
      <c r="AB135" s="14">
        <v>65.975119333333339</v>
      </c>
      <c r="AC135" s="14">
        <v>64.496769333333333</v>
      </c>
      <c r="AD135" s="14">
        <v>65.019419333333346</v>
      </c>
      <c r="AE135" s="14">
        <v>66.058209333333338</v>
      </c>
      <c r="AF135" s="14">
        <v>66.671139333333329</v>
      </c>
      <c r="AG135" s="14">
        <v>67.76505933333334</v>
      </c>
      <c r="AH135" s="14">
        <v>71.372899277777776</v>
      </c>
      <c r="AI135" s="15">
        <v>84.029309187765008</v>
      </c>
      <c r="AJ135" s="14">
        <v>67.268479321851672</v>
      </c>
      <c r="AK135" s="14">
        <v>67.268479321851672</v>
      </c>
      <c r="AL135" s="14">
        <v>67.268479321851672</v>
      </c>
      <c r="AM135" s="14">
        <v>67.268479321851672</v>
      </c>
      <c r="AN135" s="14">
        <v>67.268479321851672</v>
      </c>
      <c r="AO135" s="14">
        <v>67.268479321851672</v>
      </c>
      <c r="AP135" s="14">
        <v>67.268479321851672</v>
      </c>
      <c r="AQ135" s="14">
        <v>67.268479321851672</v>
      </c>
      <c r="AR135" s="14">
        <v>71.372899277777776</v>
      </c>
      <c r="AS135" s="14">
        <v>84.029309187765008</v>
      </c>
    </row>
    <row r="136" spans="1:45" x14ac:dyDescent="0.35">
      <c r="A136" s="16">
        <v>3804.2331840000002</v>
      </c>
      <c r="B136" s="14">
        <v>4.107272827777777</v>
      </c>
      <c r="C136" s="14">
        <v>4.1359888277777772</v>
      </c>
      <c r="D136" s="14">
        <v>4.1714318277777771</v>
      </c>
      <c r="E136" s="14">
        <v>4.2340778277777762</v>
      </c>
      <c r="F136" s="14">
        <v>4.9464008222222233</v>
      </c>
      <c r="G136" s="14">
        <v>13.574649749999999</v>
      </c>
      <c r="H136" s="14">
        <v>43.564869500000007</v>
      </c>
      <c r="I136" s="14">
        <v>64.422629333333319</v>
      </c>
      <c r="J136" s="14">
        <v>68.681609333333327</v>
      </c>
      <c r="K136" s="14">
        <v>65.954909333333319</v>
      </c>
      <c r="L136" s="14">
        <v>64.434119333333342</v>
      </c>
      <c r="M136" s="14">
        <v>64.948589333333331</v>
      </c>
      <c r="N136" s="14">
        <v>65.988999333333325</v>
      </c>
      <c r="O136" s="14">
        <v>66.603009333333333</v>
      </c>
      <c r="P136" s="14">
        <v>67.701679333333331</v>
      </c>
      <c r="Q136" s="14">
        <v>71.314569277777778</v>
      </c>
      <c r="R136" s="15">
        <v>83.967589188258899</v>
      </c>
      <c r="S136" s="14">
        <v>54.587249423301678</v>
      </c>
      <c r="T136" s="14">
        <v>54.587249423301678</v>
      </c>
      <c r="U136" s="14">
        <v>54.587249423301678</v>
      </c>
      <c r="V136" s="14">
        <v>54.587249423301678</v>
      </c>
      <c r="W136" s="14">
        <v>54.587249423301678</v>
      </c>
      <c r="X136" s="14">
        <v>54.587249423301678</v>
      </c>
      <c r="Y136" s="14">
        <v>54.587249423301678</v>
      </c>
      <c r="Z136" s="14">
        <v>64.422629333333319</v>
      </c>
      <c r="AA136" s="14">
        <v>68.681609333333327</v>
      </c>
      <c r="AB136" s="14">
        <v>65.954909333333319</v>
      </c>
      <c r="AC136" s="14">
        <v>64.434119333333342</v>
      </c>
      <c r="AD136" s="14">
        <v>64.948589333333331</v>
      </c>
      <c r="AE136" s="14">
        <v>65.988999333333325</v>
      </c>
      <c r="AF136" s="14">
        <v>66.603009333333333</v>
      </c>
      <c r="AG136" s="14">
        <v>67.701679333333331</v>
      </c>
      <c r="AH136" s="14">
        <v>71.314569277777778</v>
      </c>
      <c r="AI136" s="15">
        <v>83.967589188258899</v>
      </c>
      <c r="AJ136" s="14">
        <v>67.219499322243891</v>
      </c>
      <c r="AK136" s="14">
        <v>67.219499322243891</v>
      </c>
      <c r="AL136" s="14">
        <v>67.219499322243891</v>
      </c>
      <c r="AM136" s="14">
        <v>67.219499322243891</v>
      </c>
      <c r="AN136" s="14">
        <v>67.219499322243891</v>
      </c>
      <c r="AO136" s="14">
        <v>67.219499322243891</v>
      </c>
      <c r="AP136" s="14">
        <v>67.219499322243891</v>
      </c>
      <c r="AQ136" s="14">
        <v>67.219499322243891</v>
      </c>
      <c r="AR136" s="14">
        <v>71.314569277777778</v>
      </c>
      <c r="AS136" s="14">
        <v>83.967589188258899</v>
      </c>
    </row>
    <row r="137" spans="1:45" x14ac:dyDescent="0.35">
      <c r="A137" s="16">
        <v>3842.3331840000001</v>
      </c>
      <c r="B137" s="14">
        <v>4.1048998277777766</v>
      </c>
      <c r="C137" s="14">
        <v>4.131438827777778</v>
      </c>
      <c r="D137" s="14">
        <v>4.1689408277777789</v>
      </c>
      <c r="E137" s="14">
        <v>4.2328388277777762</v>
      </c>
      <c r="F137" s="14">
        <v>4.8894668222222233</v>
      </c>
      <c r="G137" s="14">
        <v>13.062129755555555</v>
      </c>
      <c r="H137" s="14">
        <v>42.444079500000001</v>
      </c>
      <c r="I137" s="14">
        <v>63.850549333333333</v>
      </c>
      <c r="J137" s="14">
        <v>68.580879333333343</v>
      </c>
      <c r="K137" s="14">
        <v>65.934609333333327</v>
      </c>
      <c r="L137" s="14">
        <v>64.372299333333331</v>
      </c>
      <c r="M137" s="14">
        <v>64.878189333333324</v>
      </c>
      <c r="N137" s="14">
        <v>65.920229333333339</v>
      </c>
      <c r="O137" s="14">
        <v>66.53533933333334</v>
      </c>
      <c r="P137" s="14">
        <v>67.638739333333334</v>
      </c>
      <c r="Q137" s="14">
        <v>71.256709277777773</v>
      </c>
      <c r="R137" s="15">
        <v>83.906479188747781</v>
      </c>
      <c r="S137" s="14">
        <v>54.548119423615006</v>
      </c>
      <c r="T137" s="14">
        <v>54.548119423615006</v>
      </c>
      <c r="U137" s="14">
        <v>54.548119423615006</v>
      </c>
      <c r="V137" s="14">
        <v>54.548119423615006</v>
      </c>
      <c r="W137" s="14">
        <v>54.548119423615006</v>
      </c>
      <c r="X137" s="14">
        <v>54.548119423615006</v>
      </c>
      <c r="Y137" s="14">
        <v>54.548119423615006</v>
      </c>
      <c r="Z137" s="14">
        <v>63.850549333333333</v>
      </c>
      <c r="AA137" s="14">
        <v>68.580879333333343</v>
      </c>
      <c r="AB137" s="14">
        <v>65.934609333333327</v>
      </c>
      <c r="AC137" s="14">
        <v>64.372299333333331</v>
      </c>
      <c r="AD137" s="14">
        <v>64.878189333333324</v>
      </c>
      <c r="AE137" s="14">
        <v>65.920229333333339</v>
      </c>
      <c r="AF137" s="14">
        <v>66.53533933333334</v>
      </c>
      <c r="AG137" s="14">
        <v>67.638739333333334</v>
      </c>
      <c r="AH137" s="14">
        <v>71.256709277777773</v>
      </c>
      <c r="AI137" s="15">
        <v>83.906479188747781</v>
      </c>
      <c r="AJ137" s="14">
        <v>67.171089322631104</v>
      </c>
      <c r="AK137" s="14">
        <v>67.171089322631104</v>
      </c>
      <c r="AL137" s="14">
        <v>67.171089322631104</v>
      </c>
      <c r="AM137" s="14">
        <v>67.171089322631104</v>
      </c>
      <c r="AN137" s="14">
        <v>67.171089322631104</v>
      </c>
      <c r="AO137" s="14">
        <v>67.171089322631104</v>
      </c>
      <c r="AP137" s="14">
        <v>67.171089322631104</v>
      </c>
      <c r="AQ137" s="14">
        <v>67.171089322631104</v>
      </c>
      <c r="AR137" s="14">
        <v>71.256709277777773</v>
      </c>
      <c r="AS137" s="14">
        <v>83.906479188747781</v>
      </c>
    </row>
    <row r="138" spans="1:45" x14ac:dyDescent="0.35">
      <c r="A138" s="16">
        <v>3880.433184</v>
      </c>
      <c r="B138" s="14">
        <v>4.1026798277777763</v>
      </c>
      <c r="C138" s="14">
        <v>4.1263548277777788</v>
      </c>
      <c r="D138" s="14">
        <v>4.1662108277777792</v>
      </c>
      <c r="E138" s="14">
        <v>4.2314458277777769</v>
      </c>
      <c r="F138" s="14">
        <v>4.8371308222222238</v>
      </c>
      <c r="G138" s="14">
        <v>12.574299761111114</v>
      </c>
      <c r="H138" s="14">
        <v>41.332109555555554</v>
      </c>
      <c r="I138" s="14">
        <v>63.255769333333333</v>
      </c>
      <c r="J138" s="14">
        <v>68.472739333333323</v>
      </c>
      <c r="K138" s="14">
        <v>65.91351933333334</v>
      </c>
      <c r="L138" s="14">
        <v>64.310669333333337</v>
      </c>
      <c r="M138" s="14">
        <v>64.807569333333333</v>
      </c>
      <c r="N138" s="14">
        <v>65.851199333333327</v>
      </c>
      <c r="O138" s="14">
        <v>66.467439333333331</v>
      </c>
      <c r="P138" s="14">
        <v>67.575549333333328</v>
      </c>
      <c r="Q138" s="14">
        <v>71.198639277777772</v>
      </c>
      <c r="R138" s="15">
        <v>83.845269189237229</v>
      </c>
      <c r="S138" s="14">
        <v>54.508609423931112</v>
      </c>
      <c r="T138" s="14">
        <v>54.508609423931112</v>
      </c>
      <c r="U138" s="14">
        <v>54.508609423931112</v>
      </c>
      <c r="V138" s="14">
        <v>54.508609423931112</v>
      </c>
      <c r="W138" s="14">
        <v>54.508609423931112</v>
      </c>
      <c r="X138" s="14">
        <v>54.508609423931112</v>
      </c>
      <c r="Y138" s="14">
        <v>54.508609423931112</v>
      </c>
      <c r="Z138" s="14">
        <v>63.255769333333333</v>
      </c>
      <c r="AA138" s="14">
        <v>68.472739333333323</v>
      </c>
      <c r="AB138" s="14">
        <v>65.91351933333334</v>
      </c>
      <c r="AC138" s="14">
        <v>64.310669333333337</v>
      </c>
      <c r="AD138" s="14">
        <v>64.807569333333333</v>
      </c>
      <c r="AE138" s="14">
        <v>65.851199333333327</v>
      </c>
      <c r="AF138" s="14">
        <v>66.467439333333331</v>
      </c>
      <c r="AG138" s="14">
        <v>67.575549333333328</v>
      </c>
      <c r="AH138" s="14">
        <v>71.198639277777772</v>
      </c>
      <c r="AI138" s="15">
        <v>83.845269189237229</v>
      </c>
      <c r="AJ138" s="14">
        <v>67.12252932301945</v>
      </c>
      <c r="AK138" s="14">
        <v>67.12252932301945</v>
      </c>
      <c r="AL138" s="14">
        <v>67.12252932301945</v>
      </c>
      <c r="AM138" s="14">
        <v>67.12252932301945</v>
      </c>
      <c r="AN138" s="14">
        <v>67.12252932301945</v>
      </c>
      <c r="AO138" s="14">
        <v>67.12252932301945</v>
      </c>
      <c r="AP138" s="14">
        <v>67.12252932301945</v>
      </c>
      <c r="AQ138" s="14">
        <v>67.12252932301945</v>
      </c>
      <c r="AR138" s="14">
        <v>71.198639277777772</v>
      </c>
      <c r="AS138" s="14">
        <v>83.845269189237229</v>
      </c>
    </row>
    <row r="139" spans="1:45" x14ac:dyDescent="0.35">
      <c r="A139" s="16">
        <v>3918.5331840000003</v>
      </c>
      <c r="B139" s="14">
        <v>4.1006468277777781</v>
      </c>
      <c r="C139" s="14">
        <v>4.1209068277777776</v>
      </c>
      <c r="D139" s="14">
        <v>4.1632658277777779</v>
      </c>
      <c r="E139" s="14">
        <v>4.2298818277777768</v>
      </c>
      <c r="F139" s="14">
        <v>4.7890368222222239</v>
      </c>
      <c r="G139" s="14">
        <v>12.11071976111111</v>
      </c>
      <c r="H139" s="14">
        <v>40.230649555555551</v>
      </c>
      <c r="I139" s="14">
        <v>62.637199333333328</v>
      </c>
      <c r="J139" s="14">
        <v>68.356879333333339</v>
      </c>
      <c r="K139" s="14">
        <v>65.89154933333333</v>
      </c>
      <c r="L139" s="14">
        <v>64.249239333333335</v>
      </c>
      <c r="M139" s="14">
        <v>64.73671933333334</v>
      </c>
      <c r="N139" s="14">
        <v>65.781929333333338</v>
      </c>
      <c r="O139" s="14">
        <v>66.399329333333341</v>
      </c>
      <c r="P139" s="14">
        <v>67.512119333333331</v>
      </c>
      <c r="Q139" s="14">
        <v>71.140359277777776</v>
      </c>
      <c r="R139" s="15">
        <v>83.783939189728329</v>
      </c>
      <c r="S139" s="14">
        <v>54.469809424241106</v>
      </c>
      <c r="T139" s="14">
        <v>54.469809424241106</v>
      </c>
      <c r="U139" s="14">
        <v>54.469809424241106</v>
      </c>
      <c r="V139" s="14">
        <v>54.469809424241106</v>
      </c>
      <c r="W139" s="14">
        <v>54.469809424241106</v>
      </c>
      <c r="X139" s="14">
        <v>54.469809424241106</v>
      </c>
      <c r="Y139" s="14">
        <v>54.469809424241106</v>
      </c>
      <c r="Z139" s="14">
        <v>62.637199333333328</v>
      </c>
      <c r="AA139" s="14">
        <v>68.356879333333339</v>
      </c>
      <c r="AB139" s="14">
        <v>65.89154933333333</v>
      </c>
      <c r="AC139" s="14">
        <v>64.249239333333335</v>
      </c>
      <c r="AD139" s="14">
        <v>64.73671933333334</v>
      </c>
      <c r="AE139" s="14">
        <v>65.781929333333338</v>
      </c>
      <c r="AF139" s="14">
        <v>66.399329333333341</v>
      </c>
      <c r="AG139" s="14">
        <v>67.512119333333331</v>
      </c>
      <c r="AH139" s="14">
        <v>71.140359277777776</v>
      </c>
      <c r="AI139" s="15">
        <v>83.783939189728329</v>
      </c>
      <c r="AJ139" s="14">
        <v>67.073719323409989</v>
      </c>
      <c r="AK139" s="14">
        <v>67.073719323409989</v>
      </c>
      <c r="AL139" s="14">
        <v>67.073719323409989</v>
      </c>
      <c r="AM139" s="14">
        <v>67.073719323409989</v>
      </c>
      <c r="AN139" s="14">
        <v>67.073719323409989</v>
      </c>
      <c r="AO139" s="14">
        <v>67.073719323409989</v>
      </c>
      <c r="AP139" s="14">
        <v>67.073719323409989</v>
      </c>
      <c r="AQ139" s="14">
        <v>67.073719323409989</v>
      </c>
      <c r="AR139" s="14">
        <v>71.140359277777776</v>
      </c>
      <c r="AS139" s="14">
        <v>83.783939189728329</v>
      </c>
    </row>
    <row r="140" spans="1:45" x14ac:dyDescent="0.35">
      <c r="A140" s="16">
        <v>3956.6331840000003</v>
      </c>
      <c r="B140" s="14">
        <v>4.0973068277777793</v>
      </c>
      <c r="C140" s="14">
        <v>4.11642482777778</v>
      </c>
      <c r="D140" s="14">
        <v>4.1613308277777765</v>
      </c>
      <c r="E140" s="14">
        <v>4.2294168277777784</v>
      </c>
      <c r="F140" s="14">
        <v>4.746131822222222</v>
      </c>
      <c r="G140" s="14">
        <v>11.671609766666668</v>
      </c>
      <c r="H140" s="14">
        <v>39.142319555555559</v>
      </c>
      <c r="I140" s="14">
        <v>61.998599388888884</v>
      </c>
      <c r="J140" s="14">
        <v>68.23465933333334</v>
      </c>
      <c r="K140" s="14">
        <v>65.870309333333324</v>
      </c>
      <c r="L140" s="14">
        <v>64.189679333333331</v>
      </c>
      <c r="M140" s="14">
        <v>64.667329333333328</v>
      </c>
      <c r="N140" s="14">
        <v>65.714119333333343</v>
      </c>
      <c r="O140" s="14">
        <v>66.332729333333347</v>
      </c>
      <c r="P140" s="14">
        <v>67.450179333333324</v>
      </c>
      <c r="Q140" s="14">
        <v>71.083639277777777</v>
      </c>
      <c r="R140" s="15">
        <v>83.724399190204451</v>
      </c>
      <c r="S140" s="14">
        <v>54.429389424564448</v>
      </c>
      <c r="T140" s="14">
        <v>54.429389424564448</v>
      </c>
      <c r="U140" s="14">
        <v>54.429389424564448</v>
      </c>
      <c r="V140" s="14">
        <v>54.429389424564448</v>
      </c>
      <c r="W140" s="14">
        <v>54.429389424564448</v>
      </c>
      <c r="X140" s="14">
        <v>54.429389424564448</v>
      </c>
      <c r="Y140" s="14">
        <v>54.429389424564448</v>
      </c>
      <c r="Z140" s="14">
        <v>61.998599388888884</v>
      </c>
      <c r="AA140" s="14">
        <v>68.23465933333334</v>
      </c>
      <c r="AB140" s="14">
        <v>65.870309333333324</v>
      </c>
      <c r="AC140" s="14">
        <v>64.189679333333331</v>
      </c>
      <c r="AD140" s="14">
        <v>64.667329333333328</v>
      </c>
      <c r="AE140" s="14">
        <v>65.714119333333343</v>
      </c>
      <c r="AF140" s="14">
        <v>66.332729333333347</v>
      </c>
      <c r="AG140" s="14">
        <v>67.450179333333324</v>
      </c>
      <c r="AH140" s="14">
        <v>71.083639277777777</v>
      </c>
      <c r="AI140" s="15">
        <v>83.724399190204451</v>
      </c>
      <c r="AJ140" s="14">
        <v>67.025489323795554</v>
      </c>
      <c r="AK140" s="14">
        <v>67.025489323795554</v>
      </c>
      <c r="AL140" s="14">
        <v>67.025489323795554</v>
      </c>
      <c r="AM140" s="14">
        <v>67.025489323795554</v>
      </c>
      <c r="AN140" s="14">
        <v>67.025489323795554</v>
      </c>
      <c r="AO140" s="14">
        <v>67.025489323795554</v>
      </c>
      <c r="AP140" s="14">
        <v>67.025489323795554</v>
      </c>
      <c r="AQ140" s="14">
        <v>67.025489323795554</v>
      </c>
      <c r="AR140" s="14">
        <v>71.083639277777777</v>
      </c>
      <c r="AS140" s="14">
        <v>83.724399190204451</v>
      </c>
    </row>
    <row r="141" spans="1:45" x14ac:dyDescent="0.35">
      <c r="A141" s="16">
        <v>3994.7331840000002</v>
      </c>
      <c r="B141" s="14">
        <v>4.0927258277777767</v>
      </c>
      <c r="C141" s="14">
        <v>4.1129608277777763</v>
      </c>
      <c r="D141" s="14">
        <v>4.1603238277777796</v>
      </c>
      <c r="E141" s="14">
        <v>4.2300108277777762</v>
      </c>
      <c r="F141" s="14">
        <v>4.7080868222222234</v>
      </c>
      <c r="G141" s="14">
        <v>11.255709772222223</v>
      </c>
      <c r="H141" s="14">
        <v>38.068889555555558</v>
      </c>
      <c r="I141" s="14">
        <v>61.339919388888887</v>
      </c>
      <c r="J141" s="14">
        <v>68.105729333333329</v>
      </c>
      <c r="K141" s="14">
        <v>65.849729333333329</v>
      </c>
      <c r="L141" s="14">
        <v>64.131979333333334</v>
      </c>
      <c r="M141" s="14">
        <v>64.599379333333331</v>
      </c>
      <c r="N141" s="14">
        <v>65.647779333333332</v>
      </c>
      <c r="O141" s="14">
        <v>66.267629333333332</v>
      </c>
      <c r="P141" s="14">
        <v>67.389739333333338</v>
      </c>
      <c r="Q141" s="14">
        <v>71.028479277777777</v>
      </c>
      <c r="R141" s="15">
        <v>83.666499190667793</v>
      </c>
      <c r="S141" s="14">
        <v>54.391249424869997</v>
      </c>
      <c r="T141" s="14">
        <v>54.391249424869997</v>
      </c>
      <c r="U141" s="14">
        <v>54.391249424869997</v>
      </c>
      <c r="V141" s="14">
        <v>54.391249424869997</v>
      </c>
      <c r="W141" s="14">
        <v>54.391249424869997</v>
      </c>
      <c r="X141" s="14">
        <v>54.391249424869997</v>
      </c>
      <c r="Y141" s="14">
        <v>54.391249424869997</v>
      </c>
      <c r="Z141" s="14">
        <v>61.339919388888887</v>
      </c>
      <c r="AA141" s="14">
        <v>68.105729333333329</v>
      </c>
      <c r="AB141" s="14">
        <v>65.849729333333329</v>
      </c>
      <c r="AC141" s="14">
        <v>64.131979333333334</v>
      </c>
      <c r="AD141" s="14">
        <v>64.599379333333331</v>
      </c>
      <c r="AE141" s="14">
        <v>65.647779333333332</v>
      </c>
      <c r="AF141" s="14">
        <v>66.267629333333332</v>
      </c>
      <c r="AG141" s="14">
        <v>67.389739333333338</v>
      </c>
      <c r="AH141" s="14">
        <v>71.028479277777777</v>
      </c>
      <c r="AI141" s="15">
        <v>83.666499190667793</v>
      </c>
      <c r="AJ141" s="14">
        <v>66.97905932416721</v>
      </c>
      <c r="AK141" s="14">
        <v>66.97905932416721</v>
      </c>
      <c r="AL141" s="14">
        <v>66.97905932416721</v>
      </c>
      <c r="AM141" s="14">
        <v>66.97905932416721</v>
      </c>
      <c r="AN141" s="14">
        <v>66.97905932416721</v>
      </c>
      <c r="AO141" s="14">
        <v>66.97905932416721</v>
      </c>
      <c r="AP141" s="14">
        <v>66.97905932416721</v>
      </c>
      <c r="AQ141" s="14">
        <v>66.97905932416721</v>
      </c>
      <c r="AR141" s="14">
        <v>71.028479277777777</v>
      </c>
      <c r="AS141" s="14">
        <v>83.666499190667793</v>
      </c>
    </row>
    <row r="142" spans="1:45" x14ac:dyDescent="0.35">
      <c r="A142" s="16">
        <v>4032.8331840000001</v>
      </c>
      <c r="B142" s="14">
        <v>4.0874858277777788</v>
      </c>
      <c r="C142" s="14">
        <v>4.1100408277777785</v>
      </c>
      <c r="D142" s="14">
        <v>4.1596208277777791</v>
      </c>
      <c r="E142" s="14">
        <v>4.2310568277777785</v>
      </c>
      <c r="F142" s="14">
        <v>4.6740168222222227</v>
      </c>
      <c r="G142" s="14">
        <v>10.860129772222223</v>
      </c>
      <c r="H142" s="14">
        <v>37.009879566666669</v>
      </c>
      <c r="I142" s="14">
        <v>60.65900938888889</v>
      </c>
      <c r="J142" s="14">
        <v>67.969019333333335</v>
      </c>
      <c r="K142" s="14">
        <v>65.828999333333343</v>
      </c>
      <c r="L142" s="14">
        <v>64.075429333333332</v>
      </c>
      <c r="M142" s="14">
        <v>64.532139333333333</v>
      </c>
      <c r="N142" s="14">
        <v>65.582119333333324</v>
      </c>
      <c r="O142" s="14">
        <v>66.203279333333342</v>
      </c>
      <c r="P142" s="14">
        <v>67.33001933333334</v>
      </c>
      <c r="Q142" s="14">
        <v>70.974089277777779</v>
      </c>
      <c r="R142" s="15">
        <v>83.609429191124434</v>
      </c>
      <c r="S142" s="14">
        <v>54.353439425172233</v>
      </c>
      <c r="T142" s="14">
        <v>54.353439425172233</v>
      </c>
      <c r="U142" s="14">
        <v>54.353439425172233</v>
      </c>
      <c r="V142" s="14">
        <v>54.353439425172233</v>
      </c>
      <c r="W142" s="14">
        <v>54.353439425172233</v>
      </c>
      <c r="X142" s="14">
        <v>54.353439425172233</v>
      </c>
      <c r="Y142" s="14">
        <v>54.353439425172233</v>
      </c>
      <c r="Z142" s="14">
        <v>60.65900938888889</v>
      </c>
      <c r="AA142" s="14">
        <v>67.969019333333335</v>
      </c>
      <c r="AB142" s="14">
        <v>65.828999333333343</v>
      </c>
      <c r="AC142" s="14">
        <v>64.075429333333332</v>
      </c>
      <c r="AD142" s="14">
        <v>64.532139333333333</v>
      </c>
      <c r="AE142" s="14">
        <v>65.582119333333324</v>
      </c>
      <c r="AF142" s="14">
        <v>66.203279333333342</v>
      </c>
      <c r="AG142" s="14">
        <v>67.33001933333334</v>
      </c>
      <c r="AH142" s="14">
        <v>70.974089277777779</v>
      </c>
      <c r="AI142" s="15">
        <v>83.609429191124434</v>
      </c>
      <c r="AJ142" s="14">
        <v>66.933109324534996</v>
      </c>
      <c r="AK142" s="14">
        <v>66.933109324534996</v>
      </c>
      <c r="AL142" s="14">
        <v>66.933109324534996</v>
      </c>
      <c r="AM142" s="14">
        <v>66.933109324534996</v>
      </c>
      <c r="AN142" s="14">
        <v>66.933109324534996</v>
      </c>
      <c r="AO142" s="14">
        <v>66.933109324534996</v>
      </c>
      <c r="AP142" s="14">
        <v>66.933109324534996</v>
      </c>
      <c r="AQ142" s="14">
        <v>66.933109324534996</v>
      </c>
      <c r="AR142" s="14">
        <v>70.974089277777779</v>
      </c>
      <c r="AS142" s="14">
        <v>83.609429191124434</v>
      </c>
    </row>
    <row r="143" spans="1:45" x14ac:dyDescent="0.35">
      <c r="A143" s="16">
        <v>4070.933184</v>
      </c>
      <c r="B143" s="14">
        <v>4.0816808277777774</v>
      </c>
      <c r="C143" s="14">
        <v>4.1076878277777791</v>
      </c>
      <c r="D143" s="14">
        <v>4.1591898277777792</v>
      </c>
      <c r="E143" s="14">
        <v>4.2325298277777774</v>
      </c>
      <c r="F143" s="14">
        <v>4.6436418222222207</v>
      </c>
      <c r="G143" s="14">
        <v>10.485499777777779</v>
      </c>
      <c r="H143" s="14">
        <v>35.967989572222223</v>
      </c>
      <c r="I143" s="14">
        <v>59.957349388888893</v>
      </c>
      <c r="J143" s="14">
        <v>67.824109333333325</v>
      </c>
      <c r="K143" s="14">
        <v>65.808059333333333</v>
      </c>
      <c r="L143" s="14">
        <v>64.020019333333323</v>
      </c>
      <c r="M143" s="14">
        <v>64.465609333333333</v>
      </c>
      <c r="N143" s="14">
        <v>65.516969333333336</v>
      </c>
      <c r="O143" s="14">
        <v>66.139659333333327</v>
      </c>
      <c r="P143" s="14">
        <v>67.271029333333345</v>
      </c>
      <c r="Q143" s="14">
        <v>70.920479277777787</v>
      </c>
      <c r="R143" s="15">
        <v>83.553289191573342</v>
      </c>
      <c r="S143" s="14">
        <v>54.316399425468326</v>
      </c>
      <c r="T143" s="14">
        <v>54.316399425468326</v>
      </c>
      <c r="U143" s="14">
        <v>54.316399425468326</v>
      </c>
      <c r="V143" s="14">
        <v>54.316399425468326</v>
      </c>
      <c r="W143" s="14">
        <v>54.316399425468326</v>
      </c>
      <c r="X143" s="14">
        <v>54.316399425468326</v>
      </c>
      <c r="Y143" s="14">
        <v>54.316399425468326</v>
      </c>
      <c r="Z143" s="14">
        <v>59.957349388888893</v>
      </c>
      <c r="AA143" s="14">
        <v>67.824109333333325</v>
      </c>
      <c r="AB143" s="14">
        <v>65.808059333333333</v>
      </c>
      <c r="AC143" s="14">
        <v>64.020019333333323</v>
      </c>
      <c r="AD143" s="14">
        <v>64.465609333333333</v>
      </c>
      <c r="AE143" s="14">
        <v>65.516969333333336</v>
      </c>
      <c r="AF143" s="14">
        <v>66.139659333333327</v>
      </c>
      <c r="AG143" s="14">
        <v>67.271029333333345</v>
      </c>
      <c r="AH143" s="14">
        <v>70.920479277777787</v>
      </c>
      <c r="AI143" s="15">
        <v>83.553289191573342</v>
      </c>
      <c r="AJ143" s="14">
        <v>66.888159324894445</v>
      </c>
      <c r="AK143" s="14">
        <v>66.888159324894445</v>
      </c>
      <c r="AL143" s="14">
        <v>66.888159324894445</v>
      </c>
      <c r="AM143" s="14">
        <v>66.888159324894445</v>
      </c>
      <c r="AN143" s="14">
        <v>66.888159324894445</v>
      </c>
      <c r="AO143" s="14">
        <v>66.888159324894445</v>
      </c>
      <c r="AP143" s="14">
        <v>66.888159324894445</v>
      </c>
      <c r="AQ143" s="14">
        <v>66.888159324894445</v>
      </c>
      <c r="AR143" s="14">
        <v>70.920479277777787</v>
      </c>
      <c r="AS143" s="14">
        <v>83.553289191573342</v>
      </c>
    </row>
    <row r="144" spans="1:45" x14ac:dyDescent="0.35">
      <c r="A144" s="16">
        <v>4109.0331839999999</v>
      </c>
      <c r="B144" s="14">
        <v>4.0762098277777765</v>
      </c>
      <c r="C144" s="14">
        <v>4.1050748277777771</v>
      </c>
      <c r="D144" s="14">
        <v>4.1581798277777793</v>
      </c>
      <c r="E144" s="14">
        <v>4.2335428277777769</v>
      </c>
      <c r="F144" s="14">
        <v>4.6158228222222224</v>
      </c>
      <c r="G144" s="14">
        <v>10.130419777777778</v>
      </c>
      <c r="H144" s="14">
        <v>34.941029577777776</v>
      </c>
      <c r="I144" s="14">
        <v>59.235459388888899</v>
      </c>
      <c r="J144" s="14">
        <v>67.668969333333337</v>
      </c>
      <c r="K144" s="14">
        <v>65.785689333333323</v>
      </c>
      <c r="L144" s="14">
        <v>63.964649333333341</v>
      </c>
      <c r="M144" s="14">
        <v>64.398679333333334</v>
      </c>
      <c r="N144" s="14">
        <v>65.451259333333326</v>
      </c>
      <c r="O144" s="14">
        <v>66.07561933333335</v>
      </c>
      <c r="P144" s="14">
        <v>67.211579333333333</v>
      </c>
      <c r="Q144" s="14">
        <v>70.866449277777789</v>
      </c>
      <c r="R144" s="15">
        <v>83.496819192025015</v>
      </c>
      <c r="S144" s="14">
        <v>54.279599425762775</v>
      </c>
      <c r="T144" s="14">
        <v>54.279599425762775</v>
      </c>
      <c r="U144" s="14">
        <v>54.279599425762775</v>
      </c>
      <c r="V144" s="14">
        <v>54.279599425762775</v>
      </c>
      <c r="W144" s="14">
        <v>54.279599425762775</v>
      </c>
      <c r="X144" s="14">
        <v>54.279599425762775</v>
      </c>
      <c r="Y144" s="14">
        <v>54.279599425762775</v>
      </c>
      <c r="Z144" s="14">
        <v>59.235459388888899</v>
      </c>
      <c r="AA144" s="14">
        <v>67.668969333333337</v>
      </c>
      <c r="AB144" s="14">
        <v>65.785689333333323</v>
      </c>
      <c r="AC144" s="14">
        <v>63.964649333333341</v>
      </c>
      <c r="AD144" s="14">
        <v>64.398679333333334</v>
      </c>
      <c r="AE144" s="14">
        <v>65.451259333333326</v>
      </c>
      <c r="AF144" s="14">
        <v>66.07561933333335</v>
      </c>
      <c r="AG144" s="14">
        <v>67.211579333333333</v>
      </c>
      <c r="AH144" s="14">
        <v>70.866449277777789</v>
      </c>
      <c r="AI144" s="15">
        <v>83.496819192025015</v>
      </c>
      <c r="AJ144" s="14">
        <v>66.842819325257224</v>
      </c>
      <c r="AK144" s="14">
        <v>66.842819325257224</v>
      </c>
      <c r="AL144" s="14">
        <v>66.842819325257224</v>
      </c>
      <c r="AM144" s="14">
        <v>66.842819325257224</v>
      </c>
      <c r="AN144" s="14">
        <v>66.842819325257224</v>
      </c>
      <c r="AO144" s="14">
        <v>66.842819325257224</v>
      </c>
      <c r="AP144" s="14">
        <v>66.842819325257224</v>
      </c>
      <c r="AQ144" s="14">
        <v>66.842819325257224</v>
      </c>
      <c r="AR144" s="14">
        <v>70.866449277777789</v>
      </c>
      <c r="AS144" s="14">
        <v>83.496819192025015</v>
      </c>
    </row>
    <row r="145" spans="1:45" x14ac:dyDescent="0.35">
      <c r="A145" s="16">
        <v>4147.1331840000003</v>
      </c>
      <c r="B145" s="14">
        <v>4.071371827777778</v>
      </c>
      <c r="C145" s="14">
        <v>4.1021878277777786</v>
      </c>
      <c r="D145" s="14">
        <v>4.1566328277777762</v>
      </c>
      <c r="E145" s="14">
        <v>4.2340938277777775</v>
      </c>
      <c r="F145" s="14">
        <v>4.5903208222222212</v>
      </c>
      <c r="G145" s="14">
        <v>9.793945783333335</v>
      </c>
      <c r="H145" s="14">
        <v>33.932779588888884</v>
      </c>
      <c r="I145" s="14">
        <v>58.492629388888901</v>
      </c>
      <c r="J145" s="14">
        <v>67.503879333333344</v>
      </c>
      <c r="K145" s="14">
        <v>65.761839333333327</v>
      </c>
      <c r="L145" s="14">
        <v>63.909319333333329</v>
      </c>
      <c r="M145" s="14">
        <v>64.331339333333332</v>
      </c>
      <c r="N145" s="14">
        <v>65.385109333333332</v>
      </c>
      <c r="O145" s="14">
        <v>66.011159333333339</v>
      </c>
      <c r="P145" s="14">
        <v>67.151689333333337</v>
      </c>
      <c r="Q145" s="14">
        <v>70.81200927777779</v>
      </c>
      <c r="R145" s="15">
        <v>83.439999192479434</v>
      </c>
      <c r="S145" s="14">
        <v>54.246329426028886</v>
      </c>
      <c r="T145" s="14">
        <v>54.246329426028886</v>
      </c>
      <c r="U145" s="14">
        <v>54.246329426028886</v>
      </c>
      <c r="V145" s="14">
        <v>54.246329426028886</v>
      </c>
      <c r="W145" s="14">
        <v>54.246329426028886</v>
      </c>
      <c r="X145" s="14">
        <v>54.246329426028886</v>
      </c>
      <c r="Y145" s="14">
        <v>54.246329426028886</v>
      </c>
      <c r="Z145" s="14">
        <v>58.492629388888901</v>
      </c>
      <c r="AA145" s="14">
        <v>67.503879333333344</v>
      </c>
      <c r="AB145" s="14">
        <v>65.761839333333327</v>
      </c>
      <c r="AC145" s="14">
        <v>63.909319333333329</v>
      </c>
      <c r="AD145" s="14">
        <v>64.331339333333332</v>
      </c>
      <c r="AE145" s="14">
        <v>65.385109333333332</v>
      </c>
      <c r="AF145" s="14">
        <v>66.011159333333339</v>
      </c>
      <c r="AG145" s="14">
        <v>67.151689333333337</v>
      </c>
      <c r="AH145" s="14">
        <v>70.81200927777779</v>
      </c>
      <c r="AI145" s="15">
        <v>83.439999192479434</v>
      </c>
      <c r="AJ145" s="14">
        <v>66.798539325611671</v>
      </c>
      <c r="AK145" s="14">
        <v>66.798539325611671</v>
      </c>
      <c r="AL145" s="14">
        <v>66.798539325611671</v>
      </c>
      <c r="AM145" s="14">
        <v>66.798539325611671</v>
      </c>
      <c r="AN145" s="14">
        <v>66.798539325611671</v>
      </c>
      <c r="AO145" s="14">
        <v>66.798539325611671</v>
      </c>
      <c r="AP145" s="14">
        <v>66.798539325611671</v>
      </c>
      <c r="AQ145" s="14">
        <v>66.798539325611671</v>
      </c>
      <c r="AR145" s="14">
        <v>70.81200927777779</v>
      </c>
      <c r="AS145" s="14">
        <v>83.439999192479434</v>
      </c>
    </row>
    <row r="146" spans="1:45" x14ac:dyDescent="0.35">
      <c r="A146" s="16">
        <v>4185.2331840000006</v>
      </c>
      <c r="B146" s="14">
        <v>4.0680448277777774</v>
      </c>
      <c r="C146" s="14">
        <v>4.0984488277777782</v>
      </c>
      <c r="D146" s="14">
        <v>4.1540288277777764</v>
      </c>
      <c r="E146" s="14">
        <v>4.2335778277777791</v>
      </c>
      <c r="F146" s="14">
        <v>4.5662948222222219</v>
      </c>
      <c r="G146" s="14">
        <v>9.474518783333334</v>
      </c>
      <c r="H146" s="14">
        <v>32.939779594444445</v>
      </c>
      <c r="I146" s="14">
        <v>57.728929388888886</v>
      </c>
      <c r="J146" s="14">
        <v>67.327729333333338</v>
      </c>
      <c r="K146" s="14">
        <v>65.735629333333335</v>
      </c>
      <c r="L146" s="14">
        <v>63.853239333333327</v>
      </c>
      <c r="M146" s="14">
        <v>64.262809333333337</v>
      </c>
      <c r="N146" s="14">
        <v>65.317699333333337</v>
      </c>
      <c r="O146" s="14">
        <v>65.945449333333329</v>
      </c>
      <c r="P146" s="14">
        <v>67.090519333333347</v>
      </c>
      <c r="Q146" s="14">
        <v>70.756319277777777</v>
      </c>
      <c r="R146" s="15">
        <v>83.38192919294444</v>
      </c>
      <c r="S146" s="14">
        <v>54.230549426155548</v>
      </c>
      <c r="T146" s="14">
        <v>54.230549426155548</v>
      </c>
      <c r="U146" s="14">
        <v>54.230549426155548</v>
      </c>
      <c r="V146" s="14">
        <v>54.230549426155548</v>
      </c>
      <c r="W146" s="14">
        <v>54.230549426155548</v>
      </c>
      <c r="X146" s="14">
        <v>54.230549426155548</v>
      </c>
      <c r="Y146" s="14">
        <v>54.230549426155548</v>
      </c>
      <c r="Z146" s="14">
        <v>57.728929388888886</v>
      </c>
      <c r="AA146" s="14">
        <v>67.327729333333338</v>
      </c>
      <c r="AB146" s="14">
        <v>65.735629333333335</v>
      </c>
      <c r="AC146" s="14">
        <v>63.853239333333327</v>
      </c>
      <c r="AD146" s="14">
        <v>64.262809333333337</v>
      </c>
      <c r="AE146" s="14">
        <v>65.317699333333337</v>
      </c>
      <c r="AF146" s="14">
        <v>65.945449333333329</v>
      </c>
      <c r="AG146" s="14">
        <v>67.090519333333347</v>
      </c>
      <c r="AH146" s="14">
        <v>70.756319277777777</v>
      </c>
      <c r="AI146" s="15">
        <v>83.38192919294444</v>
      </c>
      <c r="AJ146" s="14">
        <v>66.758899325928326</v>
      </c>
      <c r="AK146" s="14">
        <v>66.758899325928326</v>
      </c>
      <c r="AL146" s="14">
        <v>66.758899325928326</v>
      </c>
      <c r="AM146" s="14">
        <v>66.758899325928326</v>
      </c>
      <c r="AN146" s="14">
        <v>66.758899325928326</v>
      </c>
      <c r="AO146" s="14">
        <v>66.758899325928326</v>
      </c>
      <c r="AP146" s="14">
        <v>66.758899325928326</v>
      </c>
      <c r="AQ146" s="14">
        <v>66.758899325928326</v>
      </c>
      <c r="AR146" s="14">
        <v>70.756319277777777</v>
      </c>
      <c r="AS146" s="14">
        <v>83.38192919294444</v>
      </c>
    </row>
    <row r="147" spans="1:45" x14ac:dyDescent="0.35">
      <c r="A147" s="16">
        <v>4223.3331840000001</v>
      </c>
      <c r="B147" s="14">
        <v>4.0749158277777768</v>
      </c>
      <c r="C147" s="14">
        <v>4.0944928277777768</v>
      </c>
      <c r="D147" s="14">
        <v>4.1507648277777776</v>
      </c>
      <c r="E147" s="14">
        <v>4.2320808277777759</v>
      </c>
      <c r="F147" s="14">
        <v>4.5435638222222217</v>
      </c>
      <c r="G147" s="14">
        <v>9.1713217888888892</v>
      </c>
      <c r="H147" s="14">
        <v>31.966509605555554</v>
      </c>
      <c r="I147" s="14">
        <v>56.9466693888889</v>
      </c>
      <c r="J147" s="14">
        <v>67.140209333333331</v>
      </c>
      <c r="K147" s="14">
        <v>65.706979333333337</v>
      </c>
      <c r="L147" s="14">
        <v>63.796429333333336</v>
      </c>
      <c r="M147" s="14">
        <v>64.193089333333347</v>
      </c>
      <c r="N147" s="14">
        <v>65.249049333333332</v>
      </c>
      <c r="O147" s="14">
        <v>65.878509333333326</v>
      </c>
      <c r="P147" s="14">
        <v>67.028069333333335</v>
      </c>
      <c r="Q147" s="14">
        <v>70.699379277777766</v>
      </c>
      <c r="R147" s="15">
        <v>83.322589193418878</v>
      </c>
      <c r="S147" s="14">
        <v>54.301229425589995</v>
      </c>
      <c r="T147" s="14">
        <v>54.301229425589995</v>
      </c>
      <c r="U147" s="14">
        <v>54.301229425589995</v>
      </c>
      <c r="V147" s="14">
        <v>54.301229425589995</v>
      </c>
      <c r="W147" s="14">
        <v>54.301229425589995</v>
      </c>
      <c r="X147" s="14">
        <v>54.301229425589995</v>
      </c>
      <c r="Y147" s="14">
        <v>54.301229425589995</v>
      </c>
      <c r="Z147" s="14">
        <v>56.9466693888889</v>
      </c>
      <c r="AA147" s="14">
        <v>67.140209333333331</v>
      </c>
      <c r="AB147" s="14">
        <v>65.706979333333337</v>
      </c>
      <c r="AC147" s="14">
        <v>63.796429333333336</v>
      </c>
      <c r="AD147" s="14">
        <v>64.193089333333347</v>
      </c>
      <c r="AE147" s="14">
        <v>65.249049333333332</v>
      </c>
      <c r="AF147" s="14">
        <v>65.878509333333326</v>
      </c>
      <c r="AG147" s="14">
        <v>67.028069333333335</v>
      </c>
      <c r="AH147" s="14">
        <v>70.699379277777766</v>
      </c>
      <c r="AI147" s="15">
        <v>83.322589193418878</v>
      </c>
      <c r="AJ147" s="14">
        <v>66.777939325776117</v>
      </c>
      <c r="AK147" s="14">
        <v>66.777939325776117</v>
      </c>
      <c r="AL147" s="14">
        <v>66.777939325776117</v>
      </c>
      <c r="AM147" s="14">
        <v>66.777939325776117</v>
      </c>
      <c r="AN147" s="14">
        <v>66.777939325776117</v>
      </c>
      <c r="AO147" s="14">
        <v>66.777939325776117</v>
      </c>
      <c r="AP147" s="14">
        <v>66.777939325776117</v>
      </c>
      <c r="AQ147" s="14">
        <v>66.777939325776117</v>
      </c>
      <c r="AR147" s="14">
        <v>70.699379277777766</v>
      </c>
      <c r="AS147" s="14">
        <v>83.322589193418878</v>
      </c>
    </row>
    <row r="148" spans="1:45" x14ac:dyDescent="0.35">
      <c r="A148" s="16">
        <v>4261.4331840000004</v>
      </c>
      <c r="B148" s="14">
        <v>4.0638738277777779</v>
      </c>
      <c r="C148" s="14">
        <v>4.0887268277777782</v>
      </c>
      <c r="D148" s="14">
        <v>4.1459578277777789</v>
      </c>
      <c r="E148" s="14">
        <v>4.2291488277777765</v>
      </c>
      <c r="F148" s="14">
        <v>4.5215678222222202</v>
      </c>
      <c r="G148" s="14">
        <v>8.8828887888888914</v>
      </c>
      <c r="H148" s="14">
        <v>31.010409611111111</v>
      </c>
      <c r="I148" s="14">
        <v>56.14456938888889</v>
      </c>
      <c r="J148" s="14">
        <v>66.940559333333326</v>
      </c>
      <c r="K148" s="14">
        <v>65.675369333333336</v>
      </c>
      <c r="L148" s="14">
        <v>63.738439333333332</v>
      </c>
      <c r="M148" s="14">
        <v>64.121739333333323</v>
      </c>
      <c r="N148" s="14">
        <v>65.178679333333335</v>
      </c>
      <c r="O148" s="14">
        <v>65.809879333333328</v>
      </c>
      <c r="P148" s="14">
        <v>66.963879333333324</v>
      </c>
      <c r="Q148" s="14">
        <v>70.640719277777791</v>
      </c>
      <c r="R148" s="15">
        <v>83.261469193907786</v>
      </c>
      <c r="S148" s="14">
        <v>54.216389426268897</v>
      </c>
      <c r="T148" s="14">
        <v>54.216389426268897</v>
      </c>
      <c r="U148" s="14">
        <v>54.216389426268897</v>
      </c>
      <c r="V148" s="14">
        <v>54.216389426268897</v>
      </c>
      <c r="W148" s="14">
        <v>54.216389426268897</v>
      </c>
      <c r="X148" s="14">
        <v>54.216389426268897</v>
      </c>
      <c r="Y148" s="14">
        <v>54.216389426268897</v>
      </c>
      <c r="Z148" s="14">
        <v>56.14456938888889</v>
      </c>
      <c r="AA148" s="14">
        <v>66.940559333333326</v>
      </c>
      <c r="AB148" s="14">
        <v>65.675369333333336</v>
      </c>
      <c r="AC148" s="14">
        <v>63.738439333333332</v>
      </c>
      <c r="AD148" s="14">
        <v>64.121739333333323</v>
      </c>
      <c r="AE148" s="14">
        <v>65.178679333333335</v>
      </c>
      <c r="AF148" s="14">
        <v>65.809879333333328</v>
      </c>
      <c r="AG148" s="14">
        <v>66.963879333333324</v>
      </c>
      <c r="AH148" s="14">
        <v>70.640719277777791</v>
      </c>
      <c r="AI148" s="15">
        <v>83.261469193907786</v>
      </c>
      <c r="AJ148" s="14">
        <v>66.72065932623444</v>
      </c>
      <c r="AK148" s="14">
        <v>66.72065932623444</v>
      </c>
      <c r="AL148" s="14">
        <v>66.72065932623444</v>
      </c>
      <c r="AM148" s="14">
        <v>66.72065932623444</v>
      </c>
      <c r="AN148" s="14">
        <v>66.72065932623444</v>
      </c>
      <c r="AO148" s="14">
        <v>66.72065932623444</v>
      </c>
      <c r="AP148" s="14">
        <v>66.72065932623444</v>
      </c>
      <c r="AQ148" s="14">
        <v>66.72065932623444</v>
      </c>
      <c r="AR148" s="14">
        <v>70.640719277777791</v>
      </c>
      <c r="AS148" s="14">
        <v>83.261469193907786</v>
      </c>
    </row>
    <row r="149" spans="1:45" x14ac:dyDescent="0.35">
      <c r="A149" s="16">
        <v>4299.5331839999999</v>
      </c>
      <c r="B149" s="14">
        <v>4.0624418277777767</v>
      </c>
      <c r="C149" s="14">
        <v>4.0818918277777767</v>
      </c>
      <c r="D149" s="14">
        <v>4.1399908277777797</v>
      </c>
      <c r="E149" s="14">
        <v>4.2248658277777791</v>
      </c>
      <c r="F149" s="14">
        <v>4.5000348222222222</v>
      </c>
      <c r="G149" s="14">
        <v>8.607707788888888</v>
      </c>
      <c r="H149" s="14">
        <v>30.073569616666671</v>
      </c>
      <c r="I149" s="14">
        <v>55.324199444444453</v>
      </c>
      <c r="J149" s="14">
        <v>66.728459333333319</v>
      </c>
      <c r="K149" s="14">
        <v>65.640739333333329</v>
      </c>
      <c r="L149" s="14">
        <v>63.679289333333337</v>
      </c>
      <c r="M149" s="14">
        <v>64.04876933333334</v>
      </c>
      <c r="N149" s="14">
        <v>65.106619333333327</v>
      </c>
      <c r="O149" s="14">
        <v>65.739549333333343</v>
      </c>
      <c r="P149" s="14">
        <v>66.897969333333322</v>
      </c>
      <c r="Q149" s="14">
        <v>70.580349277777771</v>
      </c>
      <c r="R149" s="15">
        <v>83.198569194411107</v>
      </c>
      <c r="S149" s="14">
        <v>54.096919427224442</v>
      </c>
      <c r="T149" s="14">
        <v>54.096919427224442</v>
      </c>
      <c r="U149" s="14">
        <v>54.096919427224442</v>
      </c>
      <c r="V149" s="14">
        <v>54.096919427224442</v>
      </c>
      <c r="W149" s="14">
        <v>54.096919427224442</v>
      </c>
      <c r="X149" s="14">
        <v>54.096919427224442</v>
      </c>
      <c r="Y149" s="14">
        <v>54.096919427224442</v>
      </c>
      <c r="Z149" s="14">
        <v>55.324199444444453</v>
      </c>
      <c r="AA149" s="14">
        <v>66.728459333333319</v>
      </c>
      <c r="AB149" s="14">
        <v>65.640739333333329</v>
      </c>
      <c r="AC149" s="14">
        <v>63.679289333333337</v>
      </c>
      <c r="AD149" s="14">
        <v>64.04876933333334</v>
      </c>
      <c r="AE149" s="14">
        <v>65.106619333333327</v>
      </c>
      <c r="AF149" s="14">
        <v>65.739549333333343</v>
      </c>
      <c r="AG149" s="14">
        <v>66.897969333333322</v>
      </c>
      <c r="AH149" s="14">
        <v>70.580349277777771</v>
      </c>
      <c r="AI149" s="15">
        <v>83.198569194411107</v>
      </c>
      <c r="AJ149" s="14">
        <v>66.616059327071113</v>
      </c>
      <c r="AK149" s="14">
        <v>66.616059327071113</v>
      </c>
      <c r="AL149" s="14">
        <v>66.616059327071113</v>
      </c>
      <c r="AM149" s="14">
        <v>66.616059327071113</v>
      </c>
      <c r="AN149" s="14">
        <v>66.616059327071113</v>
      </c>
      <c r="AO149" s="14">
        <v>66.616059327071113</v>
      </c>
      <c r="AP149" s="14">
        <v>66.616059327071113</v>
      </c>
      <c r="AQ149" s="14">
        <v>66.616059327071113</v>
      </c>
      <c r="AR149" s="14">
        <v>70.580349277777771</v>
      </c>
      <c r="AS149" s="14">
        <v>83.198569194411107</v>
      </c>
    </row>
    <row r="150" spans="1:45" x14ac:dyDescent="0.35">
      <c r="A150" s="16">
        <v>4329.9423180000003</v>
      </c>
      <c r="B150" s="14">
        <v>4.0627278277777794</v>
      </c>
      <c r="C150" s="14">
        <v>4.0777168277777776</v>
      </c>
      <c r="D150" s="14">
        <v>4.1362698277777774</v>
      </c>
      <c r="E150" s="14">
        <v>4.2222448277777778</v>
      </c>
      <c r="F150" s="14">
        <v>4.4880128222222222</v>
      </c>
      <c r="G150" s="14">
        <v>8.449690794444443</v>
      </c>
      <c r="H150" s="14">
        <v>29.523569622222226</v>
      </c>
      <c r="I150" s="14">
        <v>54.830289444444446</v>
      </c>
      <c r="J150" s="14">
        <v>66.598529333333346</v>
      </c>
      <c r="K150" s="14">
        <v>65.620019333333332</v>
      </c>
      <c r="L150" s="14">
        <v>63.644659333333344</v>
      </c>
      <c r="M150" s="14">
        <v>64.005739333333338</v>
      </c>
      <c r="N150" s="14">
        <v>65.064089333333328</v>
      </c>
      <c r="O150" s="14">
        <v>65.698039333333327</v>
      </c>
      <c r="P150" s="14">
        <v>66.859099333333333</v>
      </c>
      <c r="Q150" s="14">
        <v>70.544749277777782</v>
      </c>
      <c r="R150" s="15">
        <v>83.161379194708331</v>
      </c>
      <c r="S150" s="14">
        <v>54.063019427495554</v>
      </c>
      <c r="T150" s="14">
        <v>54.063019427495554</v>
      </c>
      <c r="U150" s="14">
        <v>54.063019427495554</v>
      </c>
      <c r="V150" s="14">
        <v>54.063019427495554</v>
      </c>
      <c r="W150" s="14">
        <v>54.063019427495554</v>
      </c>
      <c r="X150" s="14">
        <v>54.063019427495554</v>
      </c>
      <c r="Y150" s="14">
        <v>54.063019427495554</v>
      </c>
      <c r="Z150" s="14">
        <v>54.830289444444446</v>
      </c>
      <c r="AA150" s="14">
        <v>66.598529333333346</v>
      </c>
      <c r="AB150" s="14">
        <v>65.620019333333332</v>
      </c>
      <c r="AC150" s="14">
        <v>63.644659333333344</v>
      </c>
      <c r="AD150" s="14">
        <v>64.005739333333338</v>
      </c>
      <c r="AE150" s="14">
        <v>65.064089333333328</v>
      </c>
      <c r="AF150" s="14">
        <v>65.698039333333327</v>
      </c>
      <c r="AG150" s="14">
        <v>66.859099333333333</v>
      </c>
      <c r="AH150" s="14">
        <v>70.544749277777782</v>
      </c>
      <c r="AI150" s="15">
        <v>83.161379194708331</v>
      </c>
      <c r="AJ150" s="14">
        <v>66.575839327392771</v>
      </c>
      <c r="AK150" s="14">
        <v>66.575839327392771</v>
      </c>
      <c r="AL150" s="14">
        <v>66.575839327392771</v>
      </c>
      <c r="AM150" s="14">
        <v>66.575839327392771</v>
      </c>
      <c r="AN150" s="14">
        <v>66.575839327392771</v>
      </c>
      <c r="AO150" s="14">
        <v>66.575839327392771</v>
      </c>
      <c r="AP150" s="14">
        <v>66.575839327392771</v>
      </c>
      <c r="AQ150" s="14">
        <v>66.575839327392771</v>
      </c>
      <c r="AR150" s="14">
        <v>70.544749277777782</v>
      </c>
      <c r="AS150" s="14">
        <v>83.161379194708331</v>
      </c>
    </row>
    <row r="151" spans="1:45" x14ac:dyDescent="0.35">
      <c r="A151" s="16">
        <v>4352.660586</v>
      </c>
      <c r="B151" s="14">
        <v>4.0633828277777795</v>
      </c>
      <c r="C151" s="14">
        <v>4.0733318277777757</v>
      </c>
      <c r="D151" s="14">
        <v>4.1322438277777787</v>
      </c>
      <c r="E151" s="14">
        <v>4.2190208277777765</v>
      </c>
      <c r="F151" s="14">
        <v>4.4757648222222217</v>
      </c>
      <c r="G151" s="14">
        <v>8.2958087944444472</v>
      </c>
      <c r="H151" s="14">
        <v>28.978319627777775</v>
      </c>
      <c r="I151" s="14">
        <v>54.330109444444446</v>
      </c>
      <c r="J151" s="14">
        <v>66.46334933333334</v>
      </c>
      <c r="K151" s="14">
        <v>65.597499333333332</v>
      </c>
      <c r="L151" s="14">
        <v>63.608899333333333</v>
      </c>
      <c r="M151" s="14">
        <v>63.961419333333339</v>
      </c>
      <c r="N151" s="14">
        <v>65.020259333333328</v>
      </c>
      <c r="O151" s="14">
        <v>65.65524933333333</v>
      </c>
      <c r="P151" s="14">
        <v>66.818919333333326</v>
      </c>
      <c r="Q151" s="14">
        <v>70.507899277777767</v>
      </c>
      <c r="R151" s="15">
        <v>83.12297919501556</v>
      </c>
      <c r="S151" s="14">
        <v>54.038529427691657</v>
      </c>
      <c r="T151" s="14">
        <v>54.038529427691657</v>
      </c>
      <c r="U151" s="14">
        <v>54.038529427691657</v>
      </c>
      <c r="V151" s="14">
        <v>54.038529427691657</v>
      </c>
      <c r="W151" s="14">
        <v>54.038529427691657</v>
      </c>
      <c r="X151" s="14">
        <v>54.038529427691657</v>
      </c>
      <c r="Y151" s="14">
        <v>54.038529427691657</v>
      </c>
      <c r="Z151" s="14">
        <v>54.330109444444446</v>
      </c>
      <c r="AA151" s="14">
        <v>66.46334933333334</v>
      </c>
      <c r="AB151" s="14">
        <v>65.597499333333332</v>
      </c>
      <c r="AC151" s="14">
        <v>63.608899333333333</v>
      </c>
      <c r="AD151" s="14">
        <v>63.961419333333339</v>
      </c>
      <c r="AE151" s="14">
        <v>65.020259333333328</v>
      </c>
      <c r="AF151" s="14">
        <v>65.65524933333333</v>
      </c>
      <c r="AG151" s="14">
        <v>66.818919333333326</v>
      </c>
      <c r="AH151" s="14">
        <v>70.507899277777767</v>
      </c>
      <c r="AI151" s="15">
        <v>83.12297919501556</v>
      </c>
      <c r="AJ151" s="14">
        <v>66.54502932763944</v>
      </c>
      <c r="AK151" s="14">
        <v>66.54502932763944</v>
      </c>
      <c r="AL151" s="14">
        <v>66.54502932763944</v>
      </c>
      <c r="AM151" s="14">
        <v>66.54502932763944</v>
      </c>
      <c r="AN151" s="14">
        <v>66.54502932763944</v>
      </c>
      <c r="AO151" s="14">
        <v>66.54502932763944</v>
      </c>
      <c r="AP151" s="14">
        <v>66.54502932763944</v>
      </c>
      <c r="AQ151" s="14">
        <v>66.54502932763944</v>
      </c>
      <c r="AR151" s="14">
        <v>70.507899277777767</v>
      </c>
      <c r="AS151" s="14">
        <v>83.12297919501556</v>
      </c>
    </row>
    <row r="152" spans="1:45" x14ac:dyDescent="0.35">
      <c r="A152" s="16">
        <v>4375.3773300000003</v>
      </c>
      <c r="B152" s="14">
        <v>4.0639988277777777</v>
      </c>
      <c r="C152" s="14">
        <v>4.0692058277777772</v>
      </c>
      <c r="D152" s="14">
        <v>4.1283648277777765</v>
      </c>
      <c r="E152" s="14">
        <v>4.215839827777776</v>
      </c>
      <c r="F152" s="14">
        <v>4.4641318222222202</v>
      </c>
      <c r="G152" s="14">
        <v>8.1471727944444439</v>
      </c>
      <c r="H152" s="14">
        <v>28.440559633333333</v>
      </c>
      <c r="I152" s="14">
        <v>53.823609444444443</v>
      </c>
      <c r="J152" s="14">
        <v>66.324199333333326</v>
      </c>
      <c r="K152" s="14">
        <v>65.574499333333335</v>
      </c>
      <c r="L152" s="14">
        <v>63.573369333333339</v>
      </c>
      <c r="M152" s="14">
        <v>63.91717933333333</v>
      </c>
      <c r="N152" s="14">
        <v>64.976509333333325</v>
      </c>
      <c r="O152" s="14">
        <v>65.612529333333342</v>
      </c>
      <c r="P152" s="14">
        <v>66.778799333333325</v>
      </c>
      <c r="Q152" s="14">
        <v>70.471119277777774</v>
      </c>
      <c r="R152" s="15">
        <v>83.084669195322221</v>
      </c>
      <c r="S152" s="14">
        <v>54.014429427884444</v>
      </c>
      <c r="T152" s="14">
        <v>54.014429427884444</v>
      </c>
      <c r="U152" s="14">
        <v>54.014429427884444</v>
      </c>
      <c r="V152" s="14">
        <v>54.014429427884444</v>
      </c>
      <c r="W152" s="14">
        <v>54.014429427884444</v>
      </c>
      <c r="X152" s="14">
        <v>54.014429427884444</v>
      </c>
      <c r="Y152" s="14">
        <v>54.014429427884444</v>
      </c>
      <c r="Z152" s="14">
        <v>54.014429427884444</v>
      </c>
      <c r="AA152" s="14">
        <v>66.324199333333326</v>
      </c>
      <c r="AB152" s="14">
        <v>65.574499333333335</v>
      </c>
      <c r="AC152" s="14">
        <v>63.573369333333339</v>
      </c>
      <c r="AD152" s="14">
        <v>63.91717933333333</v>
      </c>
      <c r="AE152" s="14">
        <v>64.976509333333325</v>
      </c>
      <c r="AF152" s="14">
        <v>65.612529333333342</v>
      </c>
      <c r="AG152" s="14">
        <v>66.778799333333325</v>
      </c>
      <c r="AH152" s="14">
        <v>70.471119277777774</v>
      </c>
      <c r="AI152" s="15">
        <v>83.084669195322221</v>
      </c>
      <c r="AJ152" s="14">
        <v>66.514929327880566</v>
      </c>
      <c r="AK152" s="14">
        <v>66.514929327880566</v>
      </c>
      <c r="AL152" s="14">
        <v>66.514929327880566</v>
      </c>
      <c r="AM152" s="14">
        <v>66.514929327880566</v>
      </c>
      <c r="AN152" s="14">
        <v>66.514929327880566</v>
      </c>
      <c r="AO152" s="14">
        <v>66.514929327880566</v>
      </c>
      <c r="AP152" s="14">
        <v>66.514929327880566</v>
      </c>
      <c r="AQ152" s="14">
        <v>66.514929327880566</v>
      </c>
      <c r="AR152" s="14">
        <v>70.471119277777774</v>
      </c>
      <c r="AS152" s="14">
        <v>83.084669195322221</v>
      </c>
    </row>
    <row r="153" spans="1:45" x14ac:dyDescent="0.35">
      <c r="A153" s="16">
        <v>4398.0925500000003</v>
      </c>
      <c r="B153" s="14">
        <v>4.0645578277777776</v>
      </c>
      <c r="C153" s="14">
        <v>4.0653588277777786</v>
      </c>
      <c r="D153" s="14">
        <v>4.124631827777776</v>
      </c>
      <c r="E153" s="14">
        <v>4.2127008277777769</v>
      </c>
      <c r="F153" s="14">
        <v>4.4530788222222224</v>
      </c>
      <c r="G153" s="14">
        <v>8.0036047944444437</v>
      </c>
      <c r="H153" s="14">
        <v>27.911169638888886</v>
      </c>
      <c r="I153" s="14">
        <v>53.312699444444441</v>
      </c>
      <c r="J153" s="14">
        <v>66.180989333333343</v>
      </c>
      <c r="K153" s="14">
        <v>65.550989333333334</v>
      </c>
      <c r="L153" s="14">
        <v>63.538079333333336</v>
      </c>
      <c r="M153" s="14">
        <v>63.873009333333329</v>
      </c>
      <c r="N153" s="14">
        <v>64.932819333333342</v>
      </c>
      <c r="O153" s="14">
        <v>65.569859333333341</v>
      </c>
      <c r="P153" s="14">
        <v>66.738739333333342</v>
      </c>
      <c r="Q153" s="14">
        <v>70.434429277777781</v>
      </c>
      <c r="R153" s="15">
        <v>83.046439195628338</v>
      </c>
      <c r="S153" s="14">
        <v>53.990219428077779</v>
      </c>
      <c r="T153" s="14">
        <v>53.990219428077779</v>
      </c>
      <c r="U153" s="14">
        <v>53.990219428077779</v>
      </c>
      <c r="V153" s="14">
        <v>53.990219428077779</v>
      </c>
      <c r="W153" s="14">
        <v>53.990219428077779</v>
      </c>
      <c r="X153" s="14">
        <v>53.990219428077779</v>
      </c>
      <c r="Y153" s="14">
        <v>53.990219428077779</v>
      </c>
      <c r="Z153" s="14">
        <v>53.990219428077779</v>
      </c>
      <c r="AA153" s="14">
        <v>66.180989333333343</v>
      </c>
      <c r="AB153" s="14">
        <v>65.550989333333334</v>
      </c>
      <c r="AC153" s="14">
        <v>63.538079333333336</v>
      </c>
      <c r="AD153" s="14">
        <v>63.873009333333329</v>
      </c>
      <c r="AE153" s="14">
        <v>64.932819333333342</v>
      </c>
      <c r="AF153" s="14">
        <v>65.569859333333341</v>
      </c>
      <c r="AG153" s="14">
        <v>66.738739333333342</v>
      </c>
      <c r="AH153" s="14">
        <v>70.434429277777781</v>
      </c>
      <c r="AI153" s="15">
        <v>83.046439195628338</v>
      </c>
      <c r="AJ153" s="14">
        <v>66.484699328122218</v>
      </c>
      <c r="AK153" s="14">
        <v>66.484699328122218</v>
      </c>
      <c r="AL153" s="14">
        <v>66.484699328122218</v>
      </c>
      <c r="AM153" s="14">
        <v>66.484699328122218</v>
      </c>
      <c r="AN153" s="14">
        <v>66.484699328122218</v>
      </c>
      <c r="AO153" s="14">
        <v>66.484699328122218</v>
      </c>
      <c r="AP153" s="14">
        <v>66.484699328122218</v>
      </c>
      <c r="AQ153" s="14">
        <v>66.484699328122218</v>
      </c>
      <c r="AR153" s="14">
        <v>70.434429277777781</v>
      </c>
      <c r="AS153" s="14">
        <v>83.046439195628338</v>
      </c>
    </row>
    <row r="154" spans="1:45" x14ac:dyDescent="0.35">
      <c r="A154" s="16">
        <v>4420.8054840000004</v>
      </c>
      <c r="B154" s="14">
        <v>4.0650048277777788</v>
      </c>
      <c r="C154" s="14">
        <v>4.0618628277777766</v>
      </c>
      <c r="D154" s="14">
        <v>4.1210988277777796</v>
      </c>
      <c r="E154" s="14">
        <v>4.209664827777778</v>
      </c>
      <c r="F154" s="14">
        <v>4.4426368222222239</v>
      </c>
      <c r="G154" s="14">
        <v>7.8650357944444425</v>
      </c>
      <c r="H154" s="14">
        <v>27.390199638888891</v>
      </c>
      <c r="I154" s="14">
        <v>52.798059444444448</v>
      </c>
      <c r="J154" s="14">
        <v>66.033749333333333</v>
      </c>
      <c r="K154" s="14">
        <v>65.526959333333323</v>
      </c>
      <c r="L154" s="14">
        <v>63.503079333333339</v>
      </c>
      <c r="M154" s="14">
        <v>63.82898933333334</v>
      </c>
      <c r="N154" s="14">
        <v>64.889269333333331</v>
      </c>
      <c r="O154" s="14">
        <v>65.527189333333325</v>
      </c>
      <c r="P154" s="14">
        <v>66.698819333333347</v>
      </c>
      <c r="Q154" s="14">
        <v>70.397889277777779</v>
      </c>
      <c r="R154" s="15">
        <v>83.008369195932787</v>
      </c>
      <c r="S154" s="14">
        <v>53.96610942827111</v>
      </c>
      <c r="T154" s="14">
        <v>53.96610942827111</v>
      </c>
      <c r="U154" s="14">
        <v>53.96610942827111</v>
      </c>
      <c r="V154" s="14">
        <v>53.96610942827111</v>
      </c>
      <c r="W154" s="14">
        <v>53.96610942827111</v>
      </c>
      <c r="X154" s="14">
        <v>53.96610942827111</v>
      </c>
      <c r="Y154" s="14">
        <v>53.96610942827111</v>
      </c>
      <c r="Z154" s="14">
        <v>53.96610942827111</v>
      </c>
      <c r="AA154" s="14">
        <v>66.033749333333333</v>
      </c>
      <c r="AB154" s="14">
        <v>65.526959333333323</v>
      </c>
      <c r="AC154" s="14">
        <v>63.503079333333339</v>
      </c>
      <c r="AD154" s="14">
        <v>63.82898933333334</v>
      </c>
      <c r="AE154" s="14">
        <v>64.889269333333331</v>
      </c>
      <c r="AF154" s="14">
        <v>65.527189333333325</v>
      </c>
      <c r="AG154" s="14">
        <v>66.698819333333347</v>
      </c>
      <c r="AH154" s="14">
        <v>70.397889277777779</v>
      </c>
      <c r="AI154" s="15">
        <v>83.008369195932787</v>
      </c>
      <c r="AJ154" s="14">
        <v>66.454689328362221</v>
      </c>
      <c r="AK154" s="14">
        <v>66.454689328362221</v>
      </c>
      <c r="AL154" s="14">
        <v>66.454689328362221</v>
      </c>
      <c r="AM154" s="14">
        <v>66.454689328362221</v>
      </c>
      <c r="AN154" s="14">
        <v>66.454689328362221</v>
      </c>
      <c r="AO154" s="14">
        <v>66.454689328362221</v>
      </c>
      <c r="AP154" s="14">
        <v>66.454689328362221</v>
      </c>
      <c r="AQ154" s="14">
        <v>66.454689328362221</v>
      </c>
      <c r="AR154" s="14">
        <v>70.397889277777779</v>
      </c>
      <c r="AS154" s="14">
        <v>83.008369195932787</v>
      </c>
    </row>
    <row r="155" spans="1:45" x14ac:dyDescent="0.35">
      <c r="A155" s="16">
        <v>4443.5161320000007</v>
      </c>
      <c r="B155" s="14">
        <v>4.0653488277777763</v>
      </c>
      <c r="C155" s="14">
        <v>4.0587258277777769</v>
      </c>
      <c r="D155" s="14">
        <v>4.1177638277777797</v>
      </c>
      <c r="E155" s="14">
        <v>4.2067308277777791</v>
      </c>
      <c r="F155" s="14">
        <v>4.4327718222222225</v>
      </c>
      <c r="G155" s="14">
        <v>7.7312887999999997</v>
      </c>
      <c r="H155" s="14">
        <v>26.876399644444444</v>
      </c>
      <c r="I155" s="14">
        <v>52.279679444444447</v>
      </c>
      <c r="J155" s="14">
        <v>65.882359333333341</v>
      </c>
      <c r="K155" s="14">
        <v>65.502469333333323</v>
      </c>
      <c r="L155" s="14">
        <v>63.468389333333334</v>
      </c>
      <c r="M155" s="14">
        <v>63.785109333333331</v>
      </c>
      <c r="N155" s="14">
        <v>64.845849333333319</v>
      </c>
      <c r="O155" s="14">
        <v>65.484599333333335</v>
      </c>
      <c r="P155" s="14">
        <v>66.659019333333333</v>
      </c>
      <c r="Q155" s="14">
        <v>70.361489277777792</v>
      </c>
      <c r="R155" s="15">
        <v>82.970449196236103</v>
      </c>
      <c r="S155" s="14">
        <v>53.941829428464999</v>
      </c>
      <c r="T155" s="14">
        <v>53.941829428464999</v>
      </c>
      <c r="U155" s="14">
        <v>53.941829428464999</v>
      </c>
      <c r="V155" s="14">
        <v>53.941829428464999</v>
      </c>
      <c r="W155" s="14">
        <v>53.941829428464999</v>
      </c>
      <c r="X155" s="14">
        <v>53.941829428464999</v>
      </c>
      <c r="Y155" s="14">
        <v>53.941829428464999</v>
      </c>
      <c r="Z155" s="14">
        <v>53.941829428464999</v>
      </c>
      <c r="AA155" s="14">
        <v>65.882359333333341</v>
      </c>
      <c r="AB155" s="14">
        <v>65.502469333333323</v>
      </c>
      <c r="AC155" s="14">
        <v>63.468389333333334</v>
      </c>
      <c r="AD155" s="14">
        <v>63.785109333333331</v>
      </c>
      <c r="AE155" s="14">
        <v>64.845849333333319</v>
      </c>
      <c r="AF155" s="14">
        <v>65.484599333333335</v>
      </c>
      <c r="AG155" s="14">
        <v>66.659019333333333</v>
      </c>
      <c r="AH155" s="14">
        <v>70.361489277777792</v>
      </c>
      <c r="AI155" s="15">
        <v>82.970449196236103</v>
      </c>
      <c r="AJ155" s="14">
        <v>66.424529328603342</v>
      </c>
      <c r="AK155" s="14">
        <v>66.424529328603342</v>
      </c>
      <c r="AL155" s="14">
        <v>66.424529328603342</v>
      </c>
      <c r="AM155" s="14">
        <v>66.424529328603342</v>
      </c>
      <c r="AN155" s="14">
        <v>66.424529328603342</v>
      </c>
      <c r="AO155" s="14">
        <v>66.424529328603342</v>
      </c>
      <c r="AP155" s="14">
        <v>66.424529328603342</v>
      </c>
      <c r="AQ155" s="14">
        <v>66.424529328603342</v>
      </c>
      <c r="AR155" s="14">
        <v>70.361489277777792</v>
      </c>
      <c r="AS155" s="14">
        <v>82.970449196236103</v>
      </c>
    </row>
    <row r="156" spans="1:45" x14ac:dyDescent="0.35">
      <c r="A156" s="16">
        <v>4466.2435440000008</v>
      </c>
      <c r="B156" s="14">
        <v>4.066193827777778</v>
      </c>
      <c r="C156" s="14">
        <v>4.0554548277777789</v>
      </c>
      <c r="D156" s="14">
        <v>4.1140938277777765</v>
      </c>
      <c r="E156" s="14">
        <v>4.2033528277777776</v>
      </c>
      <c r="F156" s="14">
        <v>4.4229008222222213</v>
      </c>
      <c r="G156" s="14">
        <v>7.6014988000000017</v>
      </c>
      <c r="H156" s="14">
        <v>26.368209649999997</v>
      </c>
      <c r="I156" s="14">
        <v>51.755199444444443</v>
      </c>
      <c r="J156" s="14">
        <v>65.725789333333353</v>
      </c>
      <c r="K156" s="14">
        <v>65.476749333333331</v>
      </c>
      <c r="L156" s="14">
        <v>63.433249333333329</v>
      </c>
      <c r="M156" s="14">
        <v>63.740609333333332</v>
      </c>
      <c r="N156" s="14">
        <v>64.801789333333332</v>
      </c>
      <c r="O156" s="14">
        <v>65.441359333333338</v>
      </c>
      <c r="P156" s="14">
        <v>66.61856933333334</v>
      </c>
      <c r="Q156" s="14">
        <v>70.324459277777777</v>
      </c>
      <c r="R156" s="15">
        <v>82.931839196545013</v>
      </c>
      <c r="S156" s="14">
        <v>53.916849428664996</v>
      </c>
      <c r="T156" s="14">
        <v>53.916849428664996</v>
      </c>
      <c r="U156" s="14">
        <v>53.916849428664996</v>
      </c>
      <c r="V156" s="14">
        <v>53.916849428664996</v>
      </c>
      <c r="W156" s="14">
        <v>53.916849428664996</v>
      </c>
      <c r="X156" s="14">
        <v>53.916849428664996</v>
      </c>
      <c r="Y156" s="14">
        <v>53.916849428664996</v>
      </c>
      <c r="Z156" s="14">
        <v>53.916849428664996</v>
      </c>
      <c r="AA156" s="14">
        <v>65.725789333333353</v>
      </c>
      <c r="AB156" s="14">
        <v>65.476749333333331</v>
      </c>
      <c r="AC156" s="14">
        <v>63.433249333333329</v>
      </c>
      <c r="AD156" s="14">
        <v>63.740609333333332</v>
      </c>
      <c r="AE156" s="14">
        <v>64.801789333333332</v>
      </c>
      <c r="AF156" s="14">
        <v>65.441359333333338</v>
      </c>
      <c r="AG156" s="14">
        <v>66.61856933333334</v>
      </c>
      <c r="AH156" s="14">
        <v>70.324459277777777</v>
      </c>
      <c r="AI156" s="15">
        <v>82.931839196545013</v>
      </c>
      <c r="AJ156" s="14">
        <v>66.393369328852771</v>
      </c>
      <c r="AK156" s="14">
        <v>66.393369328852771</v>
      </c>
      <c r="AL156" s="14">
        <v>66.393369328852771</v>
      </c>
      <c r="AM156" s="14">
        <v>66.393369328852771</v>
      </c>
      <c r="AN156" s="14">
        <v>66.393369328852771</v>
      </c>
      <c r="AO156" s="14">
        <v>66.393369328852771</v>
      </c>
      <c r="AP156" s="14">
        <v>66.393369328852771</v>
      </c>
      <c r="AQ156" s="14">
        <v>66.393369328852771</v>
      </c>
      <c r="AR156" s="14">
        <v>70.324459277777777</v>
      </c>
      <c r="AS156" s="14">
        <v>82.931839196545013</v>
      </c>
    </row>
    <row r="157" spans="1:45" x14ac:dyDescent="0.35">
      <c r="A157" s="16">
        <v>4488.9877200000001</v>
      </c>
      <c r="B157" s="14">
        <v>4.0675118277777775</v>
      </c>
      <c r="C157" s="14">
        <v>4.0521038277777777</v>
      </c>
      <c r="D157" s="14">
        <v>4.1101188277777787</v>
      </c>
      <c r="E157" s="14">
        <v>4.199541827777777</v>
      </c>
      <c r="F157" s="14">
        <v>4.4130218222222224</v>
      </c>
      <c r="G157" s="14">
        <v>7.4757027999999996</v>
      </c>
      <c r="H157" s="14">
        <v>25.86803965555556</v>
      </c>
      <c r="I157" s="14">
        <v>51.225879444444445</v>
      </c>
      <c r="J157" s="14">
        <v>65.564159333333322</v>
      </c>
      <c r="K157" s="14">
        <v>65.449809333333334</v>
      </c>
      <c r="L157" s="14">
        <v>63.397709333333331</v>
      </c>
      <c r="M157" s="14">
        <v>63.695549333333332</v>
      </c>
      <c r="N157" s="14">
        <v>64.757139333333328</v>
      </c>
      <c r="O157" s="14">
        <v>65.397529333333352</v>
      </c>
      <c r="P157" s="14">
        <v>66.577519333333328</v>
      </c>
      <c r="Q157" s="14">
        <v>70.286829277777784</v>
      </c>
      <c r="R157" s="15">
        <v>82.892599196858896</v>
      </c>
      <c r="S157" s="14">
        <v>53.891289428869442</v>
      </c>
      <c r="T157" s="14">
        <v>53.891289428869442</v>
      </c>
      <c r="U157" s="14">
        <v>53.891289428869442</v>
      </c>
      <c r="V157" s="14">
        <v>53.891289428869442</v>
      </c>
      <c r="W157" s="14">
        <v>53.891289428869442</v>
      </c>
      <c r="X157" s="14">
        <v>53.891289428869442</v>
      </c>
      <c r="Y157" s="14">
        <v>53.891289428869442</v>
      </c>
      <c r="Z157" s="14">
        <v>53.891289428869442</v>
      </c>
      <c r="AA157" s="14">
        <v>65.564159333333322</v>
      </c>
      <c r="AB157" s="14">
        <v>65.449809333333334</v>
      </c>
      <c r="AC157" s="14">
        <v>63.397709333333331</v>
      </c>
      <c r="AD157" s="14">
        <v>63.695549333333332</v>
      </c>
      <c r="AE157" s="14">
        <v>64.757139333333328</v>
      </c>
      <c r="AF157" s="14">
        <v>65.397529333333352</v>
      </c>
      <c r="AG157" s="14">
        <v>66.577519333333328</v>
      </c>
      <c r="AH157" s="14">
        <v>70.286829277777784</v>
      </c>
      <c r="AI157" s="15">
        <v>82.892599196858896</v>
      </c>
      <c r="AJ157" s="14">
        <v>66.361549329107234</v>
      </c>
      <c r="AK157" s="14">
        <v>66.361549329107234</v>
      </c>
      <c r="AL157" s="14">
        <v>66.361549329107234</v>
      </c>
      <c r="AM157" s="14">
        <v>66.361549329107234</v>
      </c>
      <c r="AN157" s="14">
        <v>66.361549329107234</v>
      </c>
      <c r="AO157" s="14">
        <v>66.361549329107234</v>
      </c>
      <c r="AP157" s="14">
        <v>66.361549329107234</v>
      </c>
      <c r="AQ157" s="14">
        <v>66.361549329107234</v>
      </c>
      <c r="AR157" s="14">
        <v>70.286829277777784</v>
      </c>
      <c r="AS157" s="14">
        <v>82.892599196858896</v>
      </c>
    </row>
    <row r="158" spans="1:45" x14ac:dyDescent="0.35">
      <c r="A158" s="16">
        <v>4511.7158940000008</v>
      </c>
      <c r="B158" s="14">
        <v>4.0683658277777788</v>
      </c>
      <c r="C158" s="14">
        <v>4.0495038277777775</v>
      </c>
      <c r="D158" s="14">
        <v>4.1066918277777766</v>
      </c>
      <c r="E158" s="14">
        <v>4.1961708277777792</v>
      </c>
      <c r="F158" s="14">
        <v>4.4039818222222218</v>
      </c>
      <c r="G158" s="14">
        <v>7.354789799999998</v>
      </c>
      <c r="H158" s="14">
        <v>25.377389655555554</v>
      </c>
      <c r="I158" s="14">
        <v>50.695039444444447</v>
      </c>
      <c r="J158" s="14">
        <v>65.398139333333333</v>
      </c>
      <c r="K158" s="14">
        <v>65.42279933333333</v>
      </c>
      <c r="L158" s="14">
        <v>63.36291933333333</v>
      </c>
      <c r="M158" s="14">
        <v>63.651109333333324</v>
      </c>
      <c r="N158" s="14">
        <v>64.713109333333321</v>
      </c>
      <c r="O158" s="14">
        <v>65.354319333333322</v>
      </c>
      <c r="P158" s="14">
        <v>66.537069333333335</v>
      </c>
      <c r="Q158" s="14">
        <v>70.249839277777767</v>
      </c>
      <c r="R158" s="15">
        <v>82.853999197167767</v>
      </c>
      <c r="S158" s="14">
        <v>53.865919429072228</v>
      </c>
      <c r="T158" s="14">
        <v>53.865919429072228</v>
      </c>
      <c r="U158" s="14">
        <v>53.865919429072228</v>
      </c>
      <c r="V158" s="14">
        <v>53.865919429072228</v>
      </c>
      <c r="W158" s="14">
        <v>53.865919429072228</v>
      </c>
      <c r="X158" s="14">
        <v>53.865919429072228</v>
      </c>
      <c r="Y158" s="14">
        <v>53.865919429072228</v>
      </c>
      <c r="Z158" s="14">
        <v>53.865919429072228</v>
      </c>
      <c r="AA158" s="14">
        <v>65.398139333333333</v>
      </c>
      <c r="AB158" s="14">
        <v>65.42279933333333</v>
      </c>
      <c r="AC158" s="14">
        <v>63.36291933333333</v>
      </c>
      <c r="AD158" s="14">
        <v>63.651109333333324</v>
      </c>
      <c r="AE158" s="14">
        <v>64.713109333333321</v>
      </c>
      <c r="AF158" s="14">
        <v>65.354319333333322</v>
      </c>
      <c r="AG158" s="14">
        <v>66.537069333333335</v>
      </c>
      <c r="AH158" s="14">
        <v>70.249839277777767</v>
      </c>
      <c r="AI158" s="15">
        <v>82.853999197167767</v>
      </c>
      <c r="AJ158" s="14">
        <v>66.329569329363324</v>
      </c>
      <c r="AK158" s="14">
        <v>66.329569329363324</v>
      </c>
      <c r="AL158" s="14">
        <v>66.329569329363324</v>
      </c>
      <c r="AM158" s="14">
        <v>66.329569329363324</v>
      </c>
      <c r="AN158" s="14">
        <v>66.329569329363324</v>
      </c>
      <c r="AO158" s="14">
        <v>66.329569329363324</v>
      </c>
      <c r="AP158" s="14">
        <v>66.329569329363324</v>
      </c>
      <c r="AQ158" s="14">
        <v>66.329569329363324</v>
      </c>
      <c r="AR158" s="14">
        <v>70.249839277777767</v>
      </c>
      <c r="AS158" s="14">
        <v>82.853999197167767</v>
      </c>
    </row>
    <row r="159" spans="1:45" x14ac:dyDescent="0.35">
      <c r="A159" s="16">
        <v>4534.4280660000004</v>
      </c>
      <c r="B159" s="14">
        <v>4.0687658277777787</v>
      </c>
      <c r="C159" s="14">
        <v>4.0476178277777759</v>
      </c>
      <c r="D159" s="14">
        <v>4.1037898277777769</v>
      </c>
      <c r="E159" s="14">
        <v>4.1932298277777766</v>
      </c>
      <c r="F159" s="14">
        <v>4.3957328222222243</v>
      </c>
      <c r="G159" s="14">
        <v>7.2384397999999992</v>
      </c>
      <c r="H159" s="14">
        <v>24.89529966111111</v>
      </c>
      <c r="I159" s="14">
        <v>50.162059444444445</v>
      </c>
      <c r="J159" s="14">
        <v>65.228159333333338</v>
      </c>
      <c r="K159" s="14">
        <v>65.395639333333335</v>
      </c>
      <c r="L159" s="14">
        <v>63.328829333333324</v>
      </c>
      <c r="M159" s="14">
        <v>63.60720933333333</v>
      </c>
      <c r="N159" s="14">
        <v>64.669629333333333</v>
      </c>
      <c r="O159" s="14">
        <v>65.311669333333327</v>
      </c>
      <c r="P159" s="14">
        <v>66.497179333333335</v>
      </c>
      <c r="Q159" s="14">
        <v>70.213419277777774</v>
      </c>
      <c r="R159" s="15">
        <v>82.816009197471658</v>
      </c>
      <c r="S159" s="14">
        <v>53.836249429309994</v>
      </c>
      <c r="T159" s="14">
        <v>53.836249429309994</v>
      </c>
      <c r="U159" s="14">
        <v>53.836249429309994</v>
      </c>
      <c r="V159" s="14">
        <v>53.836249429309994</v>
      </c>
      <c r="W159" s="14">
        <v>53.836249429309994</v>
      </c>
      <c r="X159" s="14">
        <v>53.836249429309994</v>
      </c>
      <c r="Y159" s="14">
        <v>53.836249429309994</v>
      </c>
      <c r="Z159" s="14">
        <v>53.836249429309994</v>
      </c>
      <c r="AA159" s="14">
        <v>65.228159333333338</v>
      </c>
      <c r="AB159" s="14">
        <v>65.395639333333335</v>
      </c>
      <c r="AC159" s="14">
        <v>63.328829333333324</v>
      </c>
      <c r="AD159" s="14">
        <v>63.60720933333333</v>
      </c>
      <c r="AE159" s="14">
        <v>64.669629333333333</v>
      </c>
      <c r="AF159" s="14">
        <v>65.311669333333327</v>
      </c>
      <c r="AG159" s="14">
        <v>66.497179333333335</v>
      </c>
      <c r="AH159" s="14">
        <v>70.213419277777774</v>
      </c>
      <c r="AI159" s="15">
        <v>82.816009197471658</v>
      </c>
      <c r="AJ159" s="14">
        <v>66.292519329659456</v>
      </c>
      <c r="AK159" s="14">
        <v>66.292519329659456</v>
      </c>
      <c r="AL159" s="14">
        <v>66.292519329659456</v>
      </c>
      <c r="AM159" s="14">
        <v>66.292519329659456</v>
      </c>
      <c r="AN159" s="14">
        <v>66.292519329659456</v>
      </c>
      <c r="AO159" s="14">
        <v>66.292519329659456</v>
      </c>
      <c r="AP159" s="14">
        <v>66.292519329659456</v>
      </c>
      <c r="AQ159" s="14">
        <v>66.292519329659456</v>
      </c>
      <c r="AR159" s="14">
        <v>70.213419277777774</v>
      </c>
      <c r="AS159" s="14">
        <v>82.816009197471658</v>
      </c>
    </row>
    <row r="160" spans="1:45" x14ac:dyDescent="0.35">
      <c r="A160" s="16">
        <v>4564.8341520000004</v>
      </c>
      <c r="B160" s="14">
        <v>4.0689528277777773</v>
      </c>
      <c r="C160" s="14">
        <v>4.0457088277777782</v>
      </c>
      <c r="D160" s="14">
        <v>4.0996398277777777</v>
      </c>
      <c r="E160" s="14">
        <v>4.1886188277777787</v>
      </c>
      <c r="F160" s="14">
        <v>4.3829058222222237</v>
      </c>
      <c r="G160" s="14">
        <v>7.0540488055555564</v>
      </c>
      <c r="H160" s="14">
        <v>24.105949666666667</v>
      </c>
      <c r="I160" s="14">
        <v>49.259529444444439</v>
      </c>
      <c r="J160" s="14">
        <v>64.929939333333337</v>
      </c>
      <c r="K160" s="14">
        <v>65.347899333333345</v>
      </c>
      <c r="L160" s="14">
        <v>63.271879333333331</v>
      </c>
      <c r="M160" s="14">
        <v>63.533429333333324</v>
      </c>
      <c r="N160" s="14">
        <v>64.596549333333343</v>
      </c>
      <c r="O160" s="14">
        <v>65.23999933333333</v>
      </c>
      <c r="P160" s="14">
        <v>66.430099333333331</v>
      </c>
      <c r="Q160" s="14">
        <v>70.152279277777765</v>
      </c>
      <c r="R160" s="15">
        <v>82.752289197981113</v>
      </c>
      <c r="S160" s="14">
        <v>53.812929429496108</v>
      </c>
      <c r="T160" s="14">
        <v>53.812929429496108</v>
      </c>
      <c r="U160" s="14">
        <v>53.812929429496108</v>
      </c>
      <c r="V160" s="14">
        <v>53.812929429496108</v>
      </c>
      <c r="W160" s="14">
        <v>53.812929429496108</v>
      </c>
      <c r="X160" s="14">
        <v>53.812929429496108</v>
      </c>
      <c r="Y160" s="14">
        <v>53.812929429496108</v>
      </c>
      <c r="Z160" s="14">
        <v>53.812929429496108</v>
      </c>
      <c r="AA160" s="14">
        <v>64.929939333333337</v>
      </c>
      <c r="AB160" s="14">
        <v>65.347899333333345</v>
      </c>
      <c r="AC160" s="14">
        <v>63.271879333333331</v>
      </c>
      <c r="AD160" s="14">
        <v>63.533429333333324</v>
      </c>
      <c r="AE160" s="14">
        <v>64.596549333333343</v>
      </c>
      <c r="AF160" s="14">
        <v>65.23999933333333</v>
      </c>
      <c r="AG160" s="14">
        <v>66.430099333333331</v>
      </c>
      <c r="AH160" s="14">
        <v>70.152279277777765</v>
      </c>
      <c r="AI160" s="15">
        <v>82.752289197981113</v>
      </c>
      <c r="AJ160" s="14">
        <v>66.25702932994335</v>
      </c>
      <c r="AK160" s="14">
        <v>66.25702932994335</v>
      </c>
      <c r="AL160" s="14">
        <v>66.25702932994335</v>
      </c>
      <c r="AM160" s="14">
        <v>66.25702932994335</v>
      </c>
      <c r="AN160" s="14">
        <v>66.25702932994335</v>
      </c>
      <c r="AO160" s="14">
        <v>66.25702932994335</v>
      </c>
      <c r="AP160" s="14">
        <v>66.25702932994335</v>
      </c>
      <c r="AQ160" s="14">
        <v>66.25702932994335</v>
      </c>
      <c r="AR160" s="14">
        <v>70.152279277777765</v>
      </c>
      <c r="AS160" s="14">
        <v>82.752289197981113</v>
      </c>
    </row>
    <row r="161" spans="1:45" x14ac:dyDescent="0.35">
      <c r="A161" s="16">
        <v>4602.9341519999998</v>
      </c>
      <c r="B161" s="14">
        <v>4.0700738277777759</v>
      </c>
      <c r="C161" s="14">
        <v>4.0449528277777782</v>
      </c>
      <c r="D161" s="14">
        <v>4.09611682777778</v>
      </c>
      <c r="E161" s="14">
        <v>4.184604827777779</v>
      </c>
      <c r="F161" s="14">
        <v>4.3717398277777795</v>
      </c>
      <c r="G161" s="14">
        <v>6.8813538055555572</v>
      </c>
      <c r="H161" s="14">
        <v>23.341059672222222</v>
      </c>
      <c r="I161" s="14">
        <v>48.3519595</v>
      </c>
      <c r="J161" s="14">
        <v>64.619749333333331</v>
      </c>
      <c r="K161" s="14">
        <v>65.299269333333342</v>
      </c>
      <c r="L161" s="14">
        <v>63.216489333333342</v>
      </c>
      <c r="M161" s="14">
        <v>63.460939333333322</v>
      </c>
      <c r="N161" s="14">
        <v>64.524719333333323</v>
      </c>
      <c r="O161" s="14">
        <v>65.169559333333325</v>
      </c>
      <c r="P161" s="14">
        <v>66.364249333333348</v>
      </c>
      <c r="Q161" s="14">
        <v>70.092349277777785</v>
      </c>
      <c r="R161" s="15">
        <v>82.689709198482234</v>
      </c>
      <c r="S161" s="14">
        <v>53.795959429632227</v>
      </c>
      <c r="T161" s="14">
        <v>53.795959429632227</v>
      </c>
      <c r="U161" s="14">
        <v>53.795959429632227</v>
      </c>
      <c r="V161" s="14">
        <v>53.795959429632227</v>
      </c>
      <c r="W161" s="14">
        <v>53.795959429632227</v>
      </c>
      <c r="X161" s="14">
        <v>53.795959429632227</v>
      </c>
      <c r="Y161" s="14">
        <v>53.795959429632227</v>
      </c>
      <c r="Z161" s="14">
        <v>53.795959429632227</v>
      </c>
      <c r="AA161" s="14">
        <v>64.619749333333331</v>
      </c>
      <c r="AB161" s="14">
        <v>65.299269333333342</v>
      </c>
      <c r="AC161" s="14">
        <v>63.216489333333342</v>
      </c>
      <c r="AD161" s="14">
        <v>63.460939333333322</v>
      </c>
      <c r="AE161" s="14">
        <v>64.524719333333323</v>
      </c>
      <c r="AF161" s="14">
        <v>65.169559333333325</v>
      </c>
      <c r="AG161" s="14">
        <v>66.364249333333348</v>
      </c>
      <c r="AH161" s="14">
        <v>70.092349277777785</v>
      </c>
      <c r="AI161" s="15">
        <v>82.689709198482234</v>
      </c>
      <c r="AJ161" s="14">
        <v>66.226409330188346</v>
      </c>
      <c r="AK161" s="14">
        <v>66.226409330188346</v>
      </c>
      <c r="AL161" s="14">
        <v>66.226409330188346</v>
      </c>
      <c r="AM161" s="14">
        <v>66.226409330188346</v>
      </c>
      <c r="AN161" s="14">
        <v>66.226409330188346</v>
      </c>
      <c r="AO161" s="14">
        <v>66.226409330188346</v>
      </c>
      <c r="AP161" s="14">
        <v>66.226409330188346</v>
      </c>
      <c r="AQ161" s="14">
        <v>66.226409330188346</v>
      </c>
      <c r="AR161" s="14">
        <v>70.092349277777785</v>
      </c>
      <c r="AS161" s="14">
        <v>82.689709198482234</v>
      </c>
    </row>
    <row r="162" spans="1:45" x14ac:dyDescent="0.35">
      <c r="A162" s="16">
        <v>4633.4118660000004</v>
      </c>
      <c r="B162" s="14">
        <v>4.069879827777779</v>
      </c>
      <c r="C162" s="14">
        <v>4.0436018277777759</v>
      </c>
      <c r="D162" s="14">
        <v>4.0929148277777792</v>
      </c>
      <c r="E162" s="14">
        <v>4.1812118277777763</v>
      </c>
      <c r="F162" s="14">
        <v>4.3645808277777771</v>
      </c>
      <c r="G162" s="14">
        <v>6.7810458055555536</v>
      </c>
      <c r="H162" s="14">
        <v>22.890389677777776</v>
      </c>
      <c r="I162" s="14">
        <v>47.805419499999999</v>
      </c>
      <c r="J162" s="14">
        <v>64.428119333333328</v>
      </c>
      <c r="K162" s="14">
        <v>65.268539333333322</v>
      </c>
      <c r="L162" s="14">
        <v>63.182689333333329</v>
      </c>
      <c r="M162" s="14">
        <v>63.41671933333334</v>
      </c>
      <c r="N162" s="14">
        <v>64.480819333333329</v>
      </c>
      <c r="O162" s="14">
        <v>65.126489333333339</v>
      </c>
      <c r="P162" s="14">
        <v>66.323909333333347</v>
      </c>
      <c r="Q162" s="14">
        <v>70.055369277777771</v>
      </c>
      <c r="R162" s="15">
        <v>82.651089198791112</v>
      </c>
      <c r="S162" s="14">
        <v>53.747239430021665</v>
      </c>
      <c r="T162" s="14">
        <v>53.747239430021665</v>
      </c>
      <c r="U162" s="14">
        <v>53.747239430021665</v>
      </c>
      <c r="V162" s="14">
        <v>53.747239430021665</v>
      </c>
      <c r="W162" s="14">
        <v>53.747239430021665</v>
      </c>
      <c r="X162" s="14">
        <v>53.747239430021665</v>
      </c>
      <c r="Y162" s="14">
        <v>53.747239430021665</v>
      </c>
      <c r="Z162" s="14">
        <v>53.747239430021665</v>
      </c>
      <c r="AA162" s="14">
        <v>64.428119333333328</v>
      </c>
      <c r="AB162" s="14">
        <v>65.268539333333322</v>
      </c>
      <c r="AC162" s="14">
        <v>63.182689333333329</v>
      </c>
      <c r="AD162" s="14">
        <v>63.41671933333334</v>
      </c>
      <c r="AE162" s="14">
        <v>64.480819333333329</v>
      </c>
      <c r="AF162" s="14">
        <v>65.126489333333339</v>
      </c>
      <c r="AG162" s="14">
        <v>66.323909333333347</v>
      </c>
      <c r="AH162" s="14">
        <v>70.055369277777771</v>
      </c>
      <c r="AI162" s="15">
        <v>82.651089198791112</v>
      </c>
      <c r="AJ162" s="14">
        <v>66.177089330582774</v>
      </c>
      <c r="AK162" s="14">
        <v>66.177089330582774</v>
      </c>
      <c r="AL162" s="14">
        <v>66.177089330582774</v>
      </c>
      <c r="AM162" s="14">
        <v>66.177089330582774</v>
      </c>
      <c r="AN162" s="14">
        <v>66.177089330582774</v>
      </c>
      <c r="AO162" s="14">
        <v>66.177089330582774</v>
      </c>
      <c r="AP162" s="14">
        <v>66.177089330582774</v>
      </c>
      <c r="AQ162" s="14">
        <v>66.177089330582774</v>
      </c>
      <c r="AR162" s="14">
        <v>70.055369277777771</v>
      </c>
      <c r="AS162" s="14">
        <v>82.651089198791112</v>
      </c>
    </row>
    <row r="163" spans="1:45" x14ac:dyDescent="0.35">
      <c r="A163" s="16">
        <v>4656.2672940000002</v>
      </c>
      <c r="B163" s="14">
        <v>4.0725318277777784</v>
      </c>
      <c r="C163" s="14">
        <v>4.0412798277777799</v>
      </c>
      <c r="D163" s="14">
        <v>4.0884818277777768</v>
      </c>
      <c r="E163" s="14">
        <v>4.1762588277777759</v>
      </c>
      <c r="F163" s="14">
        <v>4.3558888277777781</v>
      </c>
      <c r="G163" s="14">
        <v>6.6821348055555534</v>
      </c>
      <c r="H163" s="14">
        <v>22.444829677777776</v>
      </c>
      <c r="I163" s="14">
        <v>47.254299500000002</v>
      </c>
      <c r="J163" s="14">
        <v>64.229039333333333</v>
      </c>
      <c r="K163" s="14">
        <v>65.234419333333335</v>
      </c>
      <c r="L163" s="14">
        <v>63.146479333333332</v>
      </c>
      <c r="M163" s="14">
        <v>63.369949333333324</v>
      </c>
      <c r="N163" s="14">
        <v>64.434309333333331</v>
      </c>
      <c r="O163" s="14">
        <v>65.080789333333342</v>
      </c>
      <c r="P163" s="14">
        <v>66.280939333333336</v>
      </c>
      <c r="Q163" s="14">
        <v>70.015759277777775</v>
      </c>
      <c r="R163" s="15">
        <v>82.609779199121661</v>
      </c>
      <c r="S163" s="14">
        <v>53.704879430360549</v>
      </c>
      <c r="T163" s="14">
        <v>53.704879430360549</v>
      </c>
      <c r="U163" s="14">
        <v>53.704879430360549</v>
      </c>
      <c r="V163" s="14">
        <v>53.704879430360549</v>
      </c>
      <c r="W163" s="14">
        <v>53.704879430360549</v>
      </c>
      <c r="X163" s="14">
        <v>53.704879430360549</v>
      </c>
      <c r="Y163" s="14">
        <v>53.704879430360549</v>
      </c>
      <c r="Z163" s="14">
        <v>53.704879430360549</v>
      </c>
      <c r="AA163" s="14">
        <v>64.229039333333333</v>
      </c>
      <c r="AB163" s="14">
        <v>65.234419333333335</v>
      </c>
      <c r="AC163" s="14">
        <v>63.146479333333332</v>
      </c>
      <c r="AD163" s="14">
        <v>63.369949333333324</v>
      </c>
      <c r="AE163" s="14">
        <v>64.434309333333331</v>
      </c>
      <c r="AF163" s="14">
        <v>65.080789333333342</v>
      </c>
      <c r="AG163" s="14">
        <v>66.280939333333336</v>
      </c>
      <c r="AH163" s="14">
        <v>70.015759277777775</v>
      </c>
      <c r="AI163" s="15">
        <v>82.609779199121661</v>
      </c>
      <c r="AJ163" s="14">
        <v>66.129359330964988</v>
      </c>
      <c r="AK163" s="14">
        <v>66.129359330964988</v>
      </c>
      <c r="AL163" s="14">
        <v>66.129359330964988</v>
      </c>
      <c r="AM163" s="14">
        <v>66.129359330964988</v>
      </c>
      <c r="AN163" s="14">
        <v>66.129359330964988</v>
      </c>
      <c r="AO163" s="14">
        <v>66.129359330964988</v>
      </c>
      <c r="AP163" s="14">
        <v>66.129359330964988</v>
      </c>
      <c r="AQ163" s="14">
        <v>66.129359330964988</v>
      </c>
      <c r="AR163" s="14">
        <v>70.015759277777775</v>
      </c>
      <c r="AS163" s="14">
        <v>82.609779199121661</v>
      </c>
    </row>
    <row r="164" spans="1:45" x14ac:dyDescent="0.35">
      <c r="A164" s="16">
        <v>4686.7450079999999</v>
      </c>
      <c r="B164" s="14">
        <v>4.0737118277777755</v>
      </c>
      <c r="C164" s="14">
        <v>4.0410308277777789</v>
      </c>
      <c r="D164" s="14">
        <v>4.0843998277777791</v>
      </c>
      <c r="E164" s="14">
        <v>4.1709038277777761</v>
      </c>
      <c r="F164" s="14">
        <v>4.3446638277777794</v>
      </c>
      <c r="G164" s="14">
        <v>6.528261805555557</v>
      </c>
      <c r="H164" s="14">
        <v>21.724509688888887</v>
      </c>
      <c r="I164" s="14">
        <v>46.334679499999993</v>
      </c>
      <c r="J164" s="14">
        <v>63.886369333333342</v>
      </c>
      <c r="K164" s="14">
        <v>65.17825933333333</v>
      </c>
      <c r="L164" s="14">
        <v>63.089589333333343</v>
      </c>
      <c r="M164" s="14">
        <v>63.295029333333332</v>
      </c>
      <c r="N164" s="14">
        <v>64.35993933333333</v>
      </c>
      <c r="O164" s="14">
        <v>65.00781933333333</v>
      </c>
      <c r="P164" s="14">
        <v>66.212469333333331</v>
      </c>
      <c r="Q164" s="14">
        <v>69.953089277777778</v>
      </c>
      <c r="R164" s="15">
        <v>82.544519199643318</v>
      </c>
      <c r="S164" s="14">
        <v>53.676479430587783</v>
      </c>
      <c r="T164" s="14">
        <v>53.676479430587783</v>
      </c>
      <c r="U164" s="14">
        <v>53.676479430587783</v>
      </c>
      <c r="V164" s="14">
        <v>53.676479430587783</v>
      </c>
      <c r="W164" s="14">
        <v>53.676479430587783</v>
      </c>
      <c r="X164" s="14">
        <v>53.676479430587783</v>
      </c>
      <c r="Y164" s="14">
        <v>53.676479430587783</v>
      </c>
      <c r="Z164" s="14">
        <v>53.676479430587783</v>
      </c>
      <c r="AA164" s="14">
        <v>63.886369333333342</v>
      </c>
      <c r="AB164" s="14">
        <v>65.17825933333333</v>
      </c>
      <c r="AC164" s="14">
        <v>63.089589333333343</v>
      </c>
      <c r="AD164" s="14">
        <v>63.295029333333332</v>
      </c>
      <c r="AE164" s="14">
        <v>64.35993933333333</v>
      </c>
      <c r="AF164" s="14">
        <v>65.00781933333333</v>
      </c>
      <c r="AG164" s="14">
        <v>66.212469333333331</v>
      </c>
      <c r="AH164" s="14">
        <v>69.953089277777778</v>
      </c>
      <c r="AI164" s="15">
        <v>82.544519199643318</v>
      </c>
      <c r="AJ164" s="14">
        <v>66.090719331273888</v>
      </c>
      <c r="AK164" s="14">
        <v>66.090719331273888</v>
      </c>
      <c r="AL164" s="14">
        <v>66.090719331273888</v>
      </c>
      <c r="AM164" s="14">
        <v>66.090719331273888</v>
      </c>
      <c r="AN164" s="14">
        <v>66.090719331273888</v>
      </c>
      <c r="AO164" s="14">
        <v>66.090719331273888</v>
      </c>
      <c r="AP164" s="14">
        <v>66.090719331273888</v>
      </c>
      <c r="AQ164" s="14">
        <v>66.090719331273888</v>
      </c>
      <c r="AR164" s="14">
        <v>69.953089277777778</v>
      </c>
      <c r="AS164" s="14">
        <v>82.544519199643318</v>
      </c>
    </row>
    <row r="165" spans="1:45" x14ac:dyDescent="0.35">
      <c r="A165" s="16">
        <v>4724.8450080000002</v>
      </c>
      <c r="B165" s="14">
        <v>4.0734318277777763</v>
      </c>
      <c r="C165" s="14">
        <v>4.0425008277777783</v>
      </c>
      <c r="D165" s="14">
        <v>4.0819818277777777</v>
      </c>
      <c r="E165" s="14">
        <v>4.1672778277777782</v>
      </c>
      <c r="F165" s="14">
        <v>4.3359428277777763</v>
      </c>
      <c r="G165" s="14">
        <v>6.3852948111111099</v>
      </c>
      <c r="H165" s="14">
        <v>21.02967969444444</v>
      </c>
      <c r="I165" s="14">
        <v>45.417049499999997</v>
      </c>
      <c r="J165" s="14">
        <v>63.532159333333325</v>
      </c>
      <c r="K165" s="14">
        <v>65.122249333333329</v>
      </c>
      <c r="L165" s="14">
        <v>63.035789333333327</v>
      </c>
      <c r="M165" s="14">
        <v>63.222519333333338</v>
      </c>
      <c r="N165" s="14">
        <v>64.288249333333326</v>
      </c>
      <c r="O165" s="14">
        <v>64.937539333333334</v>
      </c>
      <c r="P165" s="14">
        <v>66.146679333333338</v>
      </c>
      <c r="Q165" s="14">
        <v>69.893149277777781</v>
      </c>
      <c r="R165" s="15">
        <v>82.481969200143894</v>
      </c>
      <c r="S165" s="14">
        <v>53.641039430871665</v>
      </c>
      <c r="T165" s="14">
        <v>53.641039430871665</v>
      </c>
      <c r="U165" s="14">
        <v>53.641039430871665</v>
      </c>
      <c r="V165" s="14">
        <v>53.641039430871665</v>
      </c>
      <c r="W165" s="14">
        <v>53.641039430871665</v>
      </c>
      <c r="X165" s="14">
        <v>53.641039430871665</v>
      </c>
      <c r="Y165" s="14">
        <v>53.641039430871665</v>
      </c>
      <c r="Z165" s="14">
        <v>53.641039430871665</v>
      </c>
      <c r="AA165" s="14">
        <v>63.532159333333325</v>
      </c>
      <c r="AB165" s="14">
        <v>65.122249333333329</v>
      </c>
      <c r="AC165" s="14">
        <v>63.035789333333327</v>
      </c>
      <c r="AD165" s="14">
        <v>63.222519333333338</v>
      </c>
      <c r="AE165" s="14">
        <v>64.288249333333326</v>
      </c>
      <c r="AF165" s="14">
        <v>64.937539333333334</v>
      </c>
      <c r="AG165" s="14">
        <v>66.146679333333338</v>
      </c>
      <c r="AH165" s="14">
        <v>69.893149277777781</v>
      </c>
      <c r="AI165" s="15">
        <v>82.481969200143894</v>
      </c>
      <c r="AJ165" s="14">
        <v>66.044369331644987</v>
      </c>
      <c r="AK165" s="14">
        <v>66.044369331644987</v>
      </c>
      <c r="AL165" s="14">
        <v>66.044369331644987</v>
      </c>
      <c r="AM165" s="14">
        <v>66.044369331644987</v>
      </c>
      <c r="AN165" s="14">
        <v>66.044369331644987</v>
      </c>
      <c r="AO165" s="14">
        <v>66.044369331644987</v>
      </c>
      <c r="AP165" s="14">
        <v>66.044369331644987</v>
      </c>
      <c r="AQ165" s="14">
        <v>66.044369331644987</v>
      </c>
      <c r="AR165" s="14">
        <v>69.893149277777781</v>
      </c>
      <c r="AS165" s="14">
        <v>82.481969200143894</v>
      </c>
    </row>
    <row r="166" spans="1:45" x14ac:dyDescent="0.35">
      <c r="A166" s="16">
        <v>4762.9450079999997</v>
      </c>
      <c r="B166" s="14">
        <v>4.0731718277777773</v>
      </c>
      <c r="C166" s="14">
        <v>4.0440578277777757</v>
      </c>
      <c r="D166" s="14">
        <v>4.079719827777776</v>
      </c>
      <c r="E166" s="14">
        <v>4.1637038277777769</v>
      </c>
      <c r="F166" s="14">
        <v>4.3277568277777769</v>
      </c>
      <c r="G166" s="14">
        <v>6.2509438111111102</v>
      </c>
      <c r="H166" s="14">
        <v>20.356899694444447</v>
      </c>
      <c r="I166" s="14">
        <v>44.497099499999997</v>
      </c>
      <c r="J166" s="14">
        <v>63.162889333333332</v>
      </c>
      <c r="K166" s="14">
        <v>65.063609333333332</v>
      </c>
      <c r="L166" s="14">
        <v>62.98238933333333</v>
      </c>
      <c r="M166" s="14">
        <v>63.150019333333326</v>
      </c>
      <c r="N166" s="14">
        <v>64.216529333333341</v>
      </c>
      <c r="O166" s="14">
        <v>64.867219333333324</v>
      </c>
      <c r="P166" s="14">
        <v>66.08083933333333</v>
      </c>
      <c r="Q166" s="14">
        <v>69.833209277777783</v>
      </c>
      <c r="R166" s="15">
        <v>82.419349200645001</v>
      </c>
      <c r="S166" s="14">
        <v>53.606449431148334</v>
      </c>
      <c r="T166" s="14">
        <v>53.606449431148334</v>
      </c>
      <c r="U166" s="14">
        <v>53.606449431148334</v>
      </c>
      <c r="V166" s="14">
        <v>53.606449431148334</v>
      </c>
      <c r="W166" s="14">
        <v>53.606449431148334</v>
      </c>
      <c r="X166" s="14">
        <v>53.606449431148334</v>
      </c>
      <c r="Y166" s="14">
        <v>53.606449431148334</v>
      </c>
      <c r="Z166" s="14">
        <v>53.606449431148334</v>
      </c>
      <c r="AA166" s="14">
        <v>63.162889333333332</v>
      </c>
      <c r="AB166" s="14">
        <v>65.063609333333332</v>
      </c>
      <c r="AC166" s="14">
        <v>62.98238933333333</v>
      </c>
      <c r="AD166" s="14">
        <v>63.150019333333326</v>
      </c>
      <c r="AE166" s="14">
        <v>64.216529333333341</v>
      </c>
      <c r="AF166" s="14">
        <v>64.867219333333324</v>
      </c>
      <c r="AG166" s="14">
        <v>66.08083933333333</v>
      </c>
      <c r="AH166" s="14">
        <v>69.833209277777783</v>
      </c>
      <c r="AI166" s="15">
        <v>82.419349200645001</v>
      </c>
      <c r="AJ166" s="14">
        <v>65.9972993320211</v>
      </c>
      <c r="AK166" s="14">
        <v>65.9972993320211</v>
      </c>
      <c r="AL166" s="14">
        <v>65.9972993320211</v>
      </c>
      <c r="AM166" s="14">
        <v>65.9972993320211</v>
      </c>
      <c r="AN166" s="14">
        <v>65.9972993320211</v>
      </c>
      <c r="AO166" s="14">
        <v>65.9972993320211</v>
      </c>
      <c r="AP166" s="14">
        <v>65.9972993320211</v>
      </c>
      <c r="AQ166" s="14">
        <v>65.9972993320211</v>
      </c>
      <c r="AR166" s="14">
        <v>69.833209277777783</v>
      </c>
      <c r="AS166" s="14">
        <v>82.419349200645001</v>
      </c>
    </row>
    <row r="167" spans="1:45" x14ac:dyDescent="0.35">
      <c r="A167" s="16">
        <v>4801.0450080000001</v>
      </c>
      <c r="B167" s="14">
        <v>4.0747178277777767</v>
      </c>
      <c r="C167" s="14">
        <v>4.0457258277777797</v>
      </c>
      <c r="D167" s="14">
        <v>4.0776668277777777</v>
      </c>
      <c r="E167" s="14">
        <v>4.1602008277777793</v>
      </c>
      <c r="F167" s="14">
        <v>4.320069827777778</v>
      </c>
      <c r="G167" s="14">
        <v>6.1247378111111122</v>
      </c>
      <c r="H167" s="14">
        <v>19.7034597</v>
      </c>
      <c r="I167" s="14">
        <v>43.578549499999994</v>
      </c>
      <c r="J167" s="14">
        <v>62.778349333333331</v>
      </c>
      <c r="K167" s="14">
        <v>65.002219333333329</v>
      </c>
      <c r="L167" s="14">
        <v>62.929379333333323</v>
      </c>
      <c r="M167" s="14">
        <v>63.077549333333337</v>
      </c>
      <c r="N167" s="14">
        <v>64.144789333333335</v>
      </c>
      <c r="O167" s="14">
        <v>64.796879333333337</v>
      </c>
      <c r="P167" s="14">
        <v>66.014939333333331</v>
      </c>
      <c r="Q167" s="14">
        <v>69.773269277777786</v>
      </c>
      <c r="R167" s="15">
        <v>82.356659201146101</v>
      </c>
      <c r="S167" s="14">
        <v>53.593619431250545</v>
      </c>
      <c r="T167" s="14">
        <v>53.593619431250545</v>
      </c>
      <c r="U167" s="14">
        <v>53.593619431250545</v>
      </c>
      <c r="V167" s="14">
        <v>53.593619431250545</v>
      </c>
      <c r="W167" s="14">
        <v>53.593619431250545</v>
      </c>
      <c r="X167" s="14">
        <v>53.593619431250545</v>
      </c>
      <c r="Y167" s="14">
        <v>53.593619431250545</v>
      </c>
      <c r="Z167" s="14">
        <v>53.593619431250545</v>
      </c>
      <c r="AA167" s="14">
        <v>62.778349333333331</v>
      </c>
      <c r="AB167" s="14">
        <v>65.002219333333329</v>
      </c>
      <c r="AC167" s="14">
        <v>62.929379333333323</v>
      </c>
      <c r="AD167" s="14">
        <v>63.077549333333337</v>
      </c>
      <c r="AE167" s="14">
        <v>64.144789333333335</v>
      </c>
      <c r="AF167" s="14">
        <v>64.796879333333337</v>
      </c>
      <c r="AG167" s="14">
        <v>66.014939333333331</v>
      </c>
      <c r="AH167" s="14">
        <v>69.773269277777786</v>
      </c>
      <c r="AI167" s="15">
        <v>82.356659201146101</v>
      </c>
      <c r="AJ167" s="14">
        <v>65.968959332247778</v>
      </c>
      <c r="AK167" s="14">
        <v>65.968959332247778</v>
      </c>
      <c r="AL167" s="14">
        <v>65.968959332247778</v>
      </c>
      <c r="AM167" s="14">
        <v>65.968959332247778</v>
      </c>
      <c r="AN167" s="14">
        <v>65.968959332247778</v>
      </c>
      <c r="AO167" s="14">
        <v>65.968959332247778</v>
      </c>
      <c r="AP167" s="14">
        <v>65.968959332247778</v>
      </c>
      <c r="AQ167" s="14">
        <v>65.968959332247778</v>
      </c>
      <c r="AR167" s="14">
        <v>69.773269277777786</v>
      </c>
      <c r="AS167" s="14">
        <v>82.356659201146101</v>
      </c>
    </row>
    <row r="168" spans="1:45" x14ac:dyDescent="0.35">
      <c r="A168" s="16">
        <v>4831.451094</v>
      </c>
      <c r="B168" s="14">
        <v>4.0727488277777759</v>
      </c>
      <c r="C168" s="14">
        <v>4.0464888277777789</v>
      </c>
      <c r="D168" s="14">
        <v>4.0763188277777793</v>
      </c>
      <c r="E168" s="14">
        <v>4.1581718277777764</v>
      </c>
      <c r="F168" s="14">
        <v>4.3159538277777783</v>
      </c>
      <c r="G168" s="14">
        <v>6.0529228111111131</v>
      </c>
      <c r="H168" s="14">
        <v>19.32251970555556</v>
      </c>
      <c r="I168" s="14">
        <v>43.032459499999995</v>
      </c>
      <c r="J168" s="14">
        <v>62.544589333333334</v>
      </c>
      <c r="K168" s="14">
        <v>64.965189333333328</v>
      </c>
      <c r="L168" s="14">
        <v>62.898529333333322</v>
      </c>
      <c r="M168" s="14">
        <v>63.034969333333343</v>
      </c>
      <c r="N168" s="14">
        <v>64.102589333333341</v>
      </c>
      <c r="O168" s="14">
        <v>64.755499333333347</v>
      </c>
      <c r="P168" s="14">
        <v>65.97620933333333</v>
      </c>
      <c r="Q168" s="14">
        <v>69.738069277777768</v>
      </c>
      <c r="R168" s="15">
        <v>82.319709201442222</v>
      </c>
      <c r="S168" s="14">
        <v>53.544379431644444</v>
      </c>
      <c r="T168" s="14">
        <v>53.544379431644444</v>
      </c>
      <c r="U168" s="14">
        <v>53.544379431644444</v>
      </c>
      <c r="V168" s="14">
        <v>53.544379431644444</v>
      </c>
      <c r="W168" s="14">
        <v>53.544379431644444</v>
      </c>
      <c r="X168" s="14">
        <v>53.544379431644444</v>
      </c>
      <c r="Y168" s="14">
        <v>53.544379431644444</v>
      </c>
      <c r="Z168" s="14">
        <v>53.544379431644444</v>
      </c>
      <c r="AA168" s="14">
        <v>62.544589333333334</v>
      </c>
      <c r="AB168" s="14">
        <v>64.965189333333328</v>
      </c>
      <c r="AC168" s="14">
        <v>62.898529333333322</v>
      </c>
      <c r="AD168" s="14">
        <v>63.034969333333343</v>
      </c>
      <c r="AE168" s="14">
        <v>64.102589333333341</v>
      </c>
      <c r="AF168" s="14">
        <v>64.755499333333347</v>
      </c>
      <c r="AG168" s="14">
        <v>65.97620933333333</v>
      </c>
      <c r="AH168" s="14">
        <v>69.738069277777768</v>
      </c>
      <c r="AI168" s="15">
        <v>82.319709201442222</v>
      </c>
      <c r="AJ168" s="14">
        <v>65.919889332640565</v>
      </c>
      <c r="AK168" s="14">
        <v>65.919889332640565</v>
      </c>
      <c r="AL168" s="14">
        <v>65.919889332640565</v>
      </c>
      <c r="AM168" s="14">
        <v>65.919889332640565</v>
      </c>
      <c r="AN168" s="14">
        <v>65.919889332640565</v>
      </c>
      <c r="AO168" s="14">
        <v>65.919889332640565</v>
      </c>
      <c r="AP168" s="14">
        <v>65.919889332640565</v>
      </c>
      <c r="AQ168" s="14">
        <v>65.919889332640565</v>
      </c>
      <c r="AR168" s="14">
        <v>69.738069277777768</v>
      </c>
      <c r="AS168" s="14">
        <v>82.319709201442222</v>
      </c>
    </row>
    <row r="169" spans="1:45" x14ac:dyDescent="0.35">
      <c r="A169" s="16">
        <v>4854.1632660000005</v>
      </c>
      <c r="B169" s="14">
        <v>4.0731358277777794</v>
      </c>
      <c r="C169" s="14">
        <v>4.0468738277777776</v>
      </c>
      <c r="D169" s="14">
        <v>4.074651827777779</v>
      </c>
      <c r="E169" s="14">
        <v>4.1555938277777766</v>
      </c>
      <c r="F169" s="14">
        <v>4.311179827777778</v>
      </c>
      <c r="G169" s="14">
        <v>5.9827038111111124</v>
      </c>
      <c r="H169" s="14">
        <v>18.947889711111106</v>
      </c>
      <c r="I169" s="14">
        <v>42.484329500000001</v>
      </c>
      <c r="J169" s="14">
        <v>62.304389388888886</v>
      </c>
      <c r="K169" s="14">
        <v>64.925869333333324</v>
      </c>
      <c r="L169" s="14">
        <v>62.866519333333336</v>
      </c>
      <c r="M169" s="14">
        <v>62.991119333333323</v>
      </c>
      <c r="N169" s="14">
        <v>64.059099333333336</v>
      </c>
      <c r="O169" s="14">
        <v>64.712839333333321</v>
      </c>
      <c r="P169" s="14">
        <v>65.936169333333339</v>
      </c>
      <c r="Q169" s="14">
        <v>69.70161927777778</v>
      </c>
      <c r="R169" s="15">
        <v>82.28151920174723</v>
      </c>
      <c r="S169" s="14">
        <v>53.501859431985004</v>
      </c>
      <c r="T169" s="14">
        <v>53.501859431985004</v>
      </c>
      <c r="U169" s="14">
        <v>53.501859431985004</v>
      </c>
      <c r="V169" s="14">
        <v>53.501859431985004</v>
      </c>
      <c r="W169" s="14">
        <v>53.501859431985004</v>
      </c>
      <c r="X169" s="14">
        <v>53.501859431985004</v>
      </c>
      <c r="Y169" s="14">
        <v>53.501859431985004</v>
      </c>
      <c r="Z169" s="14">
        <v>53.501859431985004</v>
      </c>
      <c r="AA169" s="14">
        <v>62.304389388888886</v>
      </c>
      <c r="AB169" s="14">
        <v>64.925869333333324</v>
      </c>
      <c r="AC169" s="14">
        <v>62.866519333333336</v>
      </c>
      <c r="AD169" s="14">
        <v>62.991119333333323</v>
      </c>
      <c r="AE169" s="14">
        <v>64.059099333333336</v>
      </c>
      <c r="AF169" s="14">
        <v>64.712839333333321</v>
      </c>
      <c r="AG169" s="14">
        <v>65.936169333333339</v>
      </c>
      <c r="AH169" s="14">
        <v>69.70161927777778</v>
      </c>
      <c r="AI169" s="15">
        <v>82.28151920174723</v>
      </c>
      <c r="AJ169" s="14">
        <v>65.872609333018886</v>
      </c>
      <c r="AK169" s="14">
        <v>65.872609333018886</v>
      </c>
      <c r="AL169" s="14">
        <v>65.872609333018886</v>
      </c>
      <c r="AM169" s="14">
        <v>65.872609333018886</v>
      </c>
      <c r="AN169" s="14">
        <v>65.872609333018886</v>
      </c>
      <c r="AO169" s="14">
        <v>65.872609333018886</v>
      </c>
      <c r="AP169" s="14">
        <v>65.872609333018886</v>
      </c>
      <c r="AQ169" s="14">
        <v>65.872609333018886</v>
      </c>
      <c r="AR169" s="14">
        <v>69.70161927777778</v>
      </c>
      <c r="AS169" s="14">
        <v>82.28151920174723</v>
      </c>
    </row>
    <row r="170" spans="1:45" x14ac:dyDescent="0.35">
      <c r="A170" s="16">
        <v>4884.5693520000004</v>
      </c>
      <c r="B170" s="14">
        <v>4.0733668277777788</v>
      </c>
      <c r="C170" s="14">
        <v>4.0480458277777762</v>
      </c>
      <c r="D170" s="14">
        <v>4.0726298277777788</v>
      </c>
      <c r="E170" s="14">
        <v>4.1517728277777781</v>
      </c>
      <c r="F170" s="14">
        <v>4.3037468277777791</v>
      </c>
      <c r="G170" s="14">
        <v>5.8722028111111122</v>
      </c>
      <c r="H170" s="14">
        <v>18.340229711111117</v>
      </c>
      <c r="I170" s="14">
        <v>41.569029500000006</v>
      </c>
      <c r="J170" s="14">
        <v>61.886679388888879</v>
      </c>
      <c r="K170" s="14">
        <v>64.856879333333325</v>
      </c>
      <c r="L170" s="14">
        <v>62.813189333333334</v>
      </c>
      <c r="M170" s="14">
        <v>62.917589333333325</v>
      </c>
      <c r="N170" s="14">
        <v>63.986149333333323</v>
      </c>
      <c r="O170" s="14">
        <v>64.641289333333333</v>
      </c>
      <c r="P170" s="14">
        <v>65.868989333333332</v>
      </c>
      <c r="Q170" s="14">
        <v>69.640559277777783</v>
      </c>
      <c r="R170" s="15">
        <v>82.217599202258896</v>
      </c>
      <c r="S170" s="14">
        <v>53.48327943213333</v>
      </c>
      <c r="T170" s="14">
        <v>53.48327943213333</v>
      </c>
      <c r="U170" s="14">
        <v>53.48327943213333</v>
      </c>
      <c r="V170" s="14">
        <v>53.48327943213333</v>
      </c>
      <c r="W170" s="14">
        <v>53.48327943213333</v>
      </c>
      <c r="X170" s="14">
        <v>53.48327943213333</v>
      </c>
      <c r="Y170" s="14">
        <v>53.48327943213333</v>
      </c>
      <c r="Z170" s="14">
        <v>53.48327943213333</v>
      </c>
      <c r="AA170" s="14">
        <v>61.886679388888879</v>
      </c>
      <c r="AB170" s="14">
        <v>64.856879333333325</v>
      </c>
      <c r="AC170" s="14">
        <v>62.813189333333334</v>
      </c>
      <c r="AD170" s="14">
        <v>62.917589333333325</v>
      </c>
      <c r="AE170" s="14">
        <v>63.986149333333323</v>
      </c>
      <c r="AF170" s="14">
        <v>64.641289333333333</v>
      </c>
      <c r="AG170" s="14">
        <v>65.868989333333332</v>
      </c>
      <c r="AH170" s="14">
        <v>69.640559277777783</v>
      </c>
      <c r="AI170" s="15">
        <v>82.217599202258896</v>
      </c>
      <c r="AJ170" s="14">
        <v>65.839759333281663</v>
      </c>
      <c r="AK170" s="14">
        <v>65.839759333281663</v>
      </c>
      <c r="AL170" s="14">
        <v>65.839759333281663</v>
      </c>
      <c r="AM170" s="14">
        <v>65.839759333281663</v>
      </c>
      <c r="AN170" s="14">
        <v>65.839759333281663</v>
      </c>
      <c r="AO170" s="14">
        <v>65.839759333281663</v>
      </c>
      <c r="AP170" s="14">
        <v>65.839759333281663</v>
      </c>
      <c r="AQ170" s="14">
        <v>65.839759333281663</v>
      </c>
      <c r="AR170" s="14">
        <v>69.640559277777783</v>
      </c>
      <c r="AS170" s="14">
        <v>82.217599202258896</v>
      </c>
    </row>
    <row r="171" spans="1:45" x14ac:dyDescent="0.35">
      <c r="A171" s="16">
        <v>4922.6693519999999</v>
      </c>
      <c r="B171" s="14">
        <v>4.0756758277777765</v>
      </c>
      <c r="C171" s="14">
        <v>4.0496858277777763</v>
      </c>
      <c r="D171" s="14">
        <v>4.0712948277777787</v>
      </c>
      <c r="E171" s="14">
        <v>4.1487108277777791</v>
      </c>
      <c r="F171" s="14">
        <v>4.2975978277777767</v>
      </c>
      <c r="G171" s="14">
        <v>5.7722838111111114</v>
      </c>
      <c r="H171" s="14">
        <v>17.753669716666668</v>
      </c>
      <c r="I171" s="14">
        <v>40.660279555555555</v>
      </c>
      <c r="J171" s="14">
        <v>61.455399388888885</v>
      </c>
      <c r="K171" s="14">
        <v>64.786099333333325</v>
      </c>
      <c r="L171" s="14">
        <v>62.761599333333344</v>
      </c>
      <c r="M171" s="14">
        <v>62.845509333333339</v>
      </c>
      <c r="N171" s="14">
        <v>63.914569333333333</v>
      </c>
      <c r="O171" s="14">
        <v>64.571099333333322</v>
      </c>
      <c r="P171" s="14">
        <v>65.803149333333337</v>
      </c>
      <c r="Q171" s="14">
        <v>69.580889277777786</v>
      </c>
      <c r="R171" s="15">
        <v>82.154969202760014</v>
      </c>
      <c r="S171" s="14">
        <v>53.484019432127781</v>
      </c>
      <c r="T171" s="14">
        <v>53.484019432127781</v>
      </c>
      <c r="U171" s="14">
        <v>53.484019432127781</v>
      </c>
      <c r="V171" s="14">
        <v>53.484019432127781</v>
      </c>
      <c r="W171" s="14">
        <v>53.484019432127781</v>
      </c>
      <c r="X171" s="14">
        <v>53.484019432127781</v>
      </c>
      <c r="Y171" s="14">
        <v>53.484019432127781</v>
      </c>
      <c r="Z171" s="14">
        <v>53.484019432127781</v>
      </c>
      <c r="AA171" s="14">
        <v>61.455399388888885</v>
      </c>
      <c r="AB171" s="14">
        <v>64.786099333333325</v>
      </c>
      <c r="AC171" s="14">
        <v>62.761599333333344</v>
      </c>
      <c r="AD171" s="14">
        <v>62.845509333333339</v>
      </c>
      <c r="AE171" s="14">
        <v>63.914569333333333</v>
      </c>
      <c r="AF171" s="14">
        <v>64.571099333333322</v>
      </c>
      <c r="AG171" s="14">
        <v>65.803149333333337</v>
      </c>
      <c r="AH171" s="14">
        <v>69.580889277777786</v>
      </c>
      <c r="AI171" s="15">
        <v>82.154969202760014</v>
      </c>
      <c r="AJ171" s="14">
        <v>65.822089333422767</v>
      </c>
      <c r="AK171" s="14">
        <v>65.822089333422767</v>
      </c>
      <c r="AL171" s="14">
        <v>65.822089333422767</v>
      </c>
      <c r="AM171" s="14">
        <v>65.822089333422767</v>
      </c>
      <c r="AN171" s="14">
        <v>65.822089333422767</v>
      </c>
      <c r="AO171" s="14">
        <v>65.822089333422767</v>
      </c>
      <c r="AP171" s="14">
        <v>65.822089333422767</v>
      </c>
      <c r="AQ171" s="14">
        <v>65.822089333422767</v>
      </c>
      <c r="AR171" s="14">
        <v>69.580889277777786</v>
      </c>
      <c r="AS171" s="14">
        <v>82.154969202760014</v>
      </c>
    </row>
    <row r="172" spans="1:45" x14ac:dyDescent="0.35">
      <c r="A172" s="16">
        <v>4953.0777239999998</v>
      </c>
      <c r="B172" s="14">
        <v>4.0727648277777782</v>
      </c>
      <c r="C172" s="14">
        <v>4.050225827777779</v>
      </c>
      <c r="D172" s="14">
        <v>4.0702298277777791</v>
      </c>
      <c r="E172" s="14">
        <v>4.1468288277777772</v>
      </c>
      <c r="F172" s="14">
        <v>4.2942368277777767</v>
      </c>
      <c r="G172" s="14">
        <v>5.7155518166666672</v>
      </c>
      <c r="H172" s="14">
        <v>17.411289722222225</v>
      </c>
      <c r="I172" s="14">
        <v>40.119119555555557</v>
      </c>
      <c r="J172" s="14">
        <v>61.19334938888889</v>
      </c>
      <c r="K172" s="14">
        <v>64.74317933333333</v>
      </c>
      <c r="L172" s="14">
        <v>62.731419333333328</v>
      </c>
      <c r="M172" s="14">
        <v>62.803019333333346</v>
      </c>
      <c r="N172" s="14">
        <v>63.872309333333341</v>
      </c>
      <c r="O172" s="14">
        <v>64.529649333333339</v>
      </c>
      <c r="P172" s="14">
        <v>65.764289333333338</v>
      </c>
      <c r="Q172" s="14">
        <v>69.545679277777779</v>
      </c>
      <c r="R172" s="15">
        <v>82.117879203056674</v>
      </c>
      <c r="S172" s="14">
        <v>53.433049432535555</v>
      </c>
      <c r="T172" s="14">
        <v>53.433049432535555</v>
      </c>
      <c r="U172" s="14">
        <v>53.433049432535555</v>
      </c>
      <c r="V172" s="14">
        <v>53.433049432535555</v>
      </c>
      <c r="W172" s="14">
        <v>53.433049432535555</v>
      </c>
      <c r="X172" s="14">
        <v>53.433049432535555</v>
      </c>
      <c r="Y172" s="14">
        <v>53.433049432535555</v>
      </c>
      <c r="Z172" s="14">
        <v>53.433049432535555</v>
      </c>
      <c r="AA172" s="14">
        <v>61.19334938888889</v>
      </c>
      <c r="AB172" s="14">
        <v>64.74317933333333</v>
      </c>
      <c r="AC172" s="14">
        <v>62.731419333333328</v>
      </c>
      <c r="AD172" s="14">
        <v>62.803019333333346</v>
      </c>
      <c r="AE172" s="14">
        <v>63.872309333333341</v>
      </c>
      <c r="AF172" s="14">
        <v>64.529649333333339</v>
      </c>
      <c r="AG172" s="14">
        <v>65.764289333333338</v>
      </c>
      <c r="AH172" s="14">
        <v>69.545679277777779</v>
      </c>
      <c r="AI172" s="15">
        <v>82.117879203056674</v>
      </c>
      <c r="AJ172" s="14">
        <v>65.774439333804438</v>
      </c>
      <c r="AK172" s="14">
        <v>65.774439333804438</v>
      </c>
      <c r="AL172" s="14">
        <v>65.774439333804438</v>
      </c>
      <c r="AM172" s="14">
        <v>65.774439333804438</v>
      </c>
      <c r="AN172" s="14">
        <v>65.774439333804438</v>
      </c>
      <c r="AO172" s="14">
        <v>65.774439333804438</v>
      </c>
      <c r="AP172" s="14">
        <v>65.774439333804438</v>
      </c>
      <c r="AQ172" s="14">
        <v>65.774439333804438</v>
      </c>
      <c r="AR172" s="14">
        <v>69.545679277777779</v>
      </c>
      <c r="AS172" s="14">
        <v>82.117879203056674</v>
      </c>
    </row>
    <row r="173" spans="1:45" x14ac:dyDescent="0.35">
      <c r="A173" s="16">
        <v>4975.7944680000001</v>
      </c>
      <c r="B173" s="14">
        <v>4.0733058277777765</v>
      </c>
      <c r="C173" s="14">
        <v>4.0501978277777795</v>
      </c>
      <c r="D173" s="14">
        <v>4.06868582777778</v>
      </c>
      <c r="E173" s="14">
        <v>4.1442468277777778</v>
      </c>
      <c r="F173" s="14">
        <v>4.2900078277777789</v>
      </c>
      <c r="G173" s="14">
        <v>5.6597468166666651</v>
      </c>
      <c r="H173" s="14">
        <v>17.074589722222225</v>
      </c>
      <c r="I173" s="14">
        <v>39.57914955555556</v>
      </c>
      <c r="J173" s="14">
        <v>60.923869388888889</v>
      </c>
      <c r="K173" s="14">
        <v>64.697599333333329</v>
      </c>
      <c r="L173" s="14">
        <v>62.699869333333332</v>
      </c>
      <c r="M173" s="14">
        <v>62.759049333333337</v>
      </c>
      <c r="N173" s="14">
        <v>63.828549333333321</v>
      </c>
      <c r="O173" s="14">
        <v>64.486709333333337</v>
      </c>
      <c r="P173" s="14">
        <v>65.723919333333342</v>
      </c>
      <c r="Q173" s="14">
        <v>69.508999277777789</v>
      </c>
      <c r="R173" s="15">
        <v>82.079289203365562</v>
      </c>
      <c r="S173" s="14">
        <v>53.382029432943341</v>
      </c>
      <c r="T173" s="14">
        <v>53.382029432943341</v>
      </c>
      <c r="U173" s="14">
        <v>53.382029432943341</v>
      </c>
      <c r="V173" s="14">
        <v>53.382029432943341</v>
      </c>
      <c r="W173" s="14">
        <v>53.382029432943341</v>
      </c>
      <c r="X173" s="14">
        <v>53.382029432943341</v>
      </c>
      <c r="Y173" s="14">
        <v>53.382029432943341</v>
      </c>
      <c r="Z173" s="14">
        <v>53.382029432943341</v>
      </c>
      <c r="AA173" s="14">
        <v>60.923869388888889</v>
      </c>
      <c r="AB173" s="14">
        <v>64.697599333333329</v>
      </c>
      <c r="AC173" s="14">
        <v>62.699869333333332</v>
      </c>
      <c r="AD173" s="14">
        <v>62.759049333333337</v>
      </c>
      <c r="AE173" s="14">
        <v>63.828549333333321</v>
      </c>
      <c r="AF173" s="14">
        <v>64.486709333333337</v>
      </c>
      <c r="AG173" s="14">
        <v>65.723919333333342</v>
      </c>
      <c r="AH173" s="14">
        <v>69.508999277777789</v>
      </c>
      <c r="AI173" s="15">
        <v>82.079289203365562</v>
      </c>
      <c r="AJ173" s="14">
        <v>65.724379334204443</v>
      </c>
      <c r="AK173" s="14">
        <v>65.724379334204443</v>
      </c>
      <c r="AL173" s="14">
        <v>65.724379334204443</v>
      </c>
      <c r="AM173" s="14">
        <v>65.724379334204443</v>
      </c>
      <c r="AN173" s="14">
        <v>65.724379334204443</v>
      </c>
      <c r="AO173" s="14">
        <v>65.724379334204443</v>
      </c>
      <c r="AP173" s="14">
        <v>65.724379334204443</v>
      </c>
      <c r="AQ173" s="14">
        <v>65.724379334204443</v>
      </c>
      <c r="AR173" s="14">
        <v>69.508999277777789</v>
      </c>
      <c r="AS173" s="14">
        <v>82.079289203365562</v>
      </c>
    </row>
    <row r="174" spans="1:45" x14ac:dyDescent="0.35">
      <c r="A174" s="16">
        <v>4998.5134979999993</v>
      </c>
      <c r="B174" s="14">
        <v>4.0740448277777794</v>
      </c>
      <c r="C174" s="14">
        <v>4.0500998277777791</v>
      </c>
      <c r="D174" s="14">
        <v>4.0671598277777772</v>
      </c>
      <c r="E174" s="14">
        <v>4.1416438277777781</v>
      </c>
      <c r="F174" s="14">
        <v>4.2858268277777771</v>
      </c>
      <c r="G174" s="14">
        <v>5.605964816666666</v>
      </c>
      <c r="H174" s="14">
        <v>16.74503972777778</v>
      </c>
      <c r="I174" s="14">
        <v>39.041729555555563</v>
      </c>
      <c r="J174" s="14">
        <v>60.648309388888897</v>
      </c>
      <c r="K174" s="14">
        <v>64.650709333333339</v>
      </c>
      <c r="L174" s="14">
        <v>62.668349333333332</v>
      </c>
      <c r="M174" s="14">
        <v>62.715019333333345</v>
      </c>
      <c r="N174" s="14">
        <v>63.784689333333326</v>
      </c>
      <c r="O174" s="14">
        <v>64.443659333333329</v>
      </c>
      <c r="P174" s="14">
        <v>65.683429333333322</v>
      </c>
      <c r="Q174" s="14">
        <v>69.472229277777785</v>
      </c>
      <c r="R174" s="15">
        <v>82.040569203675005</v>
      </c>
      <c r="S174" s="14">
        <v>53.358369433132772</v>
      </c>
      <c r="T174" s="14">
        <v>53.358369433132772</v>
      </c>
      <c r="U174" s="14">
        <v>53.358369433132772</v>
      </c>
      <c r="V174" s="14">
        <v>53.358369433132772</v>
      </c>
      <c r="W174" s="14">
        <v>53.358369433132772</v>
      </c>
      <c r="X174" s="14">
        <v>53.358369433132772</v>
      </c>
      <c r="Y174" s="14">
        <v>53.358369433132772</v>
      </c>
      <c r="Z174" s="14">
        <v>53.358369433132772</v>
      </c>
      <c r="AA174" s="14">
        <v>60.648309388888897</v>
      </c>
      <c r="AB174" s="14">
        <v>64.650709333333339</v>
      </c>
      <c r="AC174" s="14">
        <v>62.668349333333332</v>
      </c>
      <c r="AD174" s="14">
        <v>62.715019333333345</v>
      </c>
      <c r="AE174" s="14">
        <v>63.784689333333326</v>
      </c>
      <c r="AF174" s="14">
        <v>64.443659333333329</v>
      </c>
      <c r="AG174" s="14">
        <v>65.683429333333322</v>
      </c>
      <c r="AH174" s="14">
        <v>69.472229277777785</v>
      </c>
      <c r="AI174" s="15">
        <v>82.040569203675005</v>
      </c>
      <c r="AJ174" s="14">
        <v>65.694899334440549</v>
      </c>
      <c r="AK174" s="14">
        <v>65.694899334440549</v>
      </c>
      <c r="AL174" s="14">
        <v>65.694899334440549</v>
      </c>
      <c r="AM174" s="14">
        <v>65.694899334440549</v>
      </c>
      <c r="AN174" s="14">
        <v>65.694899334440549</v>
      </c>
      <c r="AO174" s="14">
        <v>65.694899334440549</v>
      </c>
      <c r="AP174" s="14">
        <v>65.694899334440549</v>
      </c>
      <c r="AQ174" s="14">
        <v>65.694899334440549</v>
      </c>
      <c r="AR174" s="14">
        <v>69.472229277777785</v>
      </c>
      <c r="AS174" s="14">
        <v>82.040569203675005</v>
      </c>
    </row>
    <row r="175" spans="1:45" x14ac:dyDescent="0.35">
      <c r="A175" s="16">
        <v>5021.2348140000004</v>
      </c>
      <c r="B175" s="14">
        <v>4.0748598277777779</v>
      </c>
      <c r="C175" s="14">
        <v>4.0499308277777777</v>
      </c>
      <c r="D175" s="14">
        <v>4.0656528277777761</v>
      </c>
      <c r="E175" s="14">
        <v>4.1390218277777775</v>
      </c>
      <c r="F175" s="14">
        <v>4.28169182777778</v>
      </c>
      <c r="G175" s="14">
        <v>5.5541018166666669</v>
      </c>
      <c r="H175" s="14">
        <v>16.422549727777778</v>
      </c>
      <c r="I175" s="14">
        <v>38.506919555555555</v>
      </c>
      <c r="J175" s="14">
        <v>60.367449388888886</v>
      </c>
      <c r="K175" s="14">
        <v>64.602499333333327</v>
      </c>
      <c r="L175" s="14">
        <v>62.636859333333327</v>
      </c>
      <c r="M175" s="14">
        <v>62.670909333333334</v>
      </c>
      <c r="N175" s="14">
        <v>63.740729333333334</v>
      </c>
      <c r="O175" s="14">
        <v>64.400529333333338</v>
      </c>
      <c r="P175" s="14">
        <v>65.642839333333342</v>
      </c>
      <c r="Q175" s="14">
        <v>69.435379277777784</v>
      </c>
      <c r="R175" s="15">
        <v>82.001729203985562</v>
      </c>
      <c r="S175" s="14">
        <v>53.33357943333111</v>
      </c>
      <c r="T175" s="14">
        <v>53.33357943333111</v>
      </c>
      <c r="U175" s="14">
        <v>53.33357943333111</v>
      </c>
      <c r="V175" s="14">
        <v>53.33357943333111</v>
      </c>
      <c r="W175" s="14">
        <v>53.33357943333111</v>
      </c>
      <c r="X175" s="14">
        <v>53.33357943333111</v>
      </c>
      <c r="Y175" s="14">
        <v>53.33357943333111</v>
      </c>
      <c r="Z175" s="14">
        <v>53.33357943333111</v>
      </c>
      <c r="AA175" s="14">
        <v>60.367449388888886</v>
      </c>
      <c r="AB175" s="14">
        <v>64.602499333333327</v>
      </c>
      <c r="AC175" s="14">
        <v>62.636859333333327</v>
      </c>
      <c r="AD175" s="14">
        <v>62.670909333333334</v>
      </c>
      <c r="AE175" s="14">
        <v>63.740729333333334</v>
      </c>
      <c r="AF175" s="14">
        <v>64.400529333333338</v>
      </c>
      <c r="AG175" s="14">
        <v>65.642839333333342</v>
      </c>
      <c r="AH175" s="14">
        <v>69.435379277777784</v>
      </c>
      <c r="AI175" s="15">
        <v>82.001729203985562</v>
      </c>
      <c r="AJ175" s="14">
        <v>65.66400933468779</v>
      </c>
      <c r="AK175" s="14">
        <v>65.66400933468779</v>
      </c>
      <c r="AL175" s="14">
        <v>65.66400933468779</v>
      </c>
      <c r="AM175" s="14">
        <v>65.66400933468779</v>
      </c>
      <c r="AN175" s="14">
        <v>65.66400933468779</v>
      </c>
      <c r="AO175" s="14">
        <v>65.66400933468779</v>
      </c>
      <c r="AP175" s="14">
        <v>65.66400933468779</v>
      </c>
      <c r="AQ175" s="14">
        <v>65.66400933468779</v>
      </c>
      <c r="AR175" s="14">
        <v>69.435379277777784</v>
      </c>
      <c r="AS175" s="14">
        <v>82.001729203985562</v>
      </c>
    </row>
    <row r="176" spans="1:45" x14ac:dyDescent="0.35">
      <c r="A176" s="16">
        <v>5043.9607020000003</v>
      </c>
      <c r="B176" s="14">
        <v>4.07578382777778</v>
      </c>
      <c r="C176" s="14">
        <v>4.0496748277777783</v>
      </c>
      <c r="D176" s="14">
        <v>4.0641438277777793</v>
      </c>
      <c r="E176" s="14">
        <v>4.1363588277777792</v>
      </c>
      <c r="F176" s="14">
        <v>4.2775688277777766</v>
      </c>
      <c r="G176" s="14">
        <v>5.5040148166666665</v>
      </c>
      <c r="H176" s="14">
        <v>16.106849733333334</v>
      </c>
      <c r="I176" s="14">
        <v>37.972759555555555</v>
      </c>
      <c r="J176" s="14">
        <v>60.08112938888889</v>
      </c>
      <c r="K176" s="14">
        <v>64.55288933333334</v>
      </c>
      <c r="L176" s="14">
        <v>62.605359333333325</v>
      </c>
      <c r="M176" s="14">
        <v>62.626679333333328</v>
      </c>
      <c r="N176" s="14">
        <v>63.696639333333323</v>
      </c>
      <c r="O176" s="14">
        <v>64.357249333333328</v>
      </c>
      <c r="P176" s="14">
        <v>65.602089333333325</v>
      </c>
      <c r="Q176" s="14">
        <v>69.398409277777773</v>
      </c>
      <c r="R176" s="15">
        <v>81.962739204297776</v>
      </c>
      <c r="S176" s="14">
        <v>53.308529433531675</v>
      </c>
      <c r="T176" s="14">
        <v>53.308529433531675</v>
      </c>
      <c r="U176" s="14">
        <v>53.308529433531675</v>
      </c>
      <c r="V176" s="14">
        <v>53.308529433531675</v>
      </c>
      <c r="W176" s="14">
        <v>53.308529433531675</v>
      </c>
      <c r="X176" s="14">
        <v>53.308529433531675</v>
      </c>
      <c r="Y176" s="14">
        <v>53.308529433531675</v>
      </c>
      <c r="Z176" s="14">
        <v>53.308529433531675</v>
      </c>
      <c r="AA176" s="14">
        <v>60.08112938888889</v>
      </c>
      <c r="AB176" s="14">
        <v>64.55288933333334</v>
      </c>
      <c r="AC176" s="14">
        <v>62.605359333333325</v>
      </c>
      <c r="AD176" s="14">
        <v>62.626679333333328</v>
      </c>
      <c r="AE176" s="14">
        <v>63.696639333333323</v>
      </c>
      <c r="AF176" s="14">
        <v>64.357249333333328</v>
      </c>
      <c r="AG176" s="14">
        <v>65.602089333333325</v>
      </c>
      <c r="AH176" s="14">
        <v>69.398409277777773</v>
      </c>
      <c r="AI176" s="15">
        <v>81.962739204297776</v>
      </c>
      <c r="AJ176" s="14">
        <v>65.633019334935568</v>
      </c>
      <c r="AK176" s="14">
        <v>65.633019334935568</v>
      </c>
      <c r="AL176" s="14">
        <v>65.633019334935568</v>
      </c>
      <c r="AM176" s="14">
        <v>65.633019334935568</v>
      </c>
      <c r="AN176" s="14">
        <v>65.633019334935568</v>
      </c>
      <c r="AO176" s="14">
        <v>65.633019334935568</v>
      </c>
      <c r="AP176" s="14">
        <v>65.633019334935568</v>
      </c>
      <c r="AQ176" s="14">
        <v>65.633019334935568</v>
      </c>
      <c r="AR176" s="14">
        <v>69.398409277777773</v>
      </c>
      <c r="AS176" s="14">
        <v>81.962739204297776</v>
      </c>
    </row>
    <row r="177" spans="1:45" x14ac:dyDescent="0.35">
      <c r="A177" s="16">
        <v>5066.6911620000001</v>
      </c>
      <c r="B177" s="14">
        <v>4.0768238277777789</v>
      </c>
      <c r="C177" s="14">
        <v>4.0493398277777795</v>
      </c>
      <c r="D177" s="14">
        <v>4.0626358277777781</v>
      </c>
      <c r="E177" s="14">
        <v>4.1336588277777784</v>
      </c>
      <c r="F177" s="14">
        <v>4.2734558277777763</v>
      </c>
      <c r="G177" s="14">
        <v>5.4556488166666659</v>
      </c>
      <c r="H177" s="14">
        <v>15.797859733333333</v>
      </c>
      <c r="I177" s="14">
        <v>37.441389561111109</v>
      </c>
      <c r="J177" s="14">
        <v>59.789449388888883</v>
      </c>
      <c r="K177" s="14">
        <v>64.501859333333343</v>
      </c>
      <c r="L177" s="14">
        <v>62.573849333333328</v>
      </c>
      <c r="M177" s="14">
        <v>62.582359333333343</v>
      </c>
      <c r="N177" s="14">
        <v>63.65242933333333</v>
      </c>
      <c r="O177" s="14">
        <v>64.313859333333326</v>
      </c>
      <c r="P177" s="14">
        <v>65.561199333333334</v>
      </c>
      <c r="Q177" s="14">
        <v>69.361319277777781</v>
      </c>
      <c r="R177" s="15">
        <v>81.923599204611108</v>
      </c>
      <c r="S177" s="14">
        <v>53.282599433738888</v>
      </c>
      <c r="T177" s="14">
        <v>53.282599433738888</v>
      </c>
      <c r="U177" s="14">
        <v>53.282599433738888</v>
      </c>
      <c r="V177" s="14">
        <v>53.282599433738888</v>
      </c>
      <c r="W177" s="14">
        <v>53.282599433738888</v>
      </c>
      <c r="X177" s="14">
        <v>53.282599433738888</v>
      </c>
      <c r="Y177" s="14">
        <v>53.282599433738888</v>
      </c>
      <c r="Z177" s="14">
        <v>53.282599433738888</v>
      </c>
      <c r="AA177" s="14">
        <v>59.789449388888883</v>
      </c>
      <c r="AB177" s="14">
        <v>64.501859333333343</v>
      </c>
      <c r="AC177" s="14">
        <v>62.573849333333328</v>
      </c>
      <c r="AD177" s="14">
        <v>62.582359333333343</v>
      </c>
      <c r="AE177" s="14">
        <v>63.65242933333333</v>
      </c>
      <c r="AF177" s="14">
        <v>64.313859333333326</v>
      </c>
      <c r="AG177" s="14">
        <v>65.561199333333334</v>
      </c>
      <c r="AH177" s="14">
        <v>69.361319277777781</v>
      </c>
      <c r="AI177" s="15">
        <v>81.923599204611108</v>
      </c>
      <c r="AJ177" s="14">
        <v>65.601029335191654</v>
      </c>
      <c r="AK177" s="14">
        <v>65.601029335191654</v>
      </c>
      <c r="AL177" s="14">
        <v>65.601029335191654</v>
      </c>
      <c r="AM177" s="14">
        <v>65.601029335191654</v>
      </c>
      <c r="AN177" s="14">
        <v>65.601029335191654</v>
      </c>
      <c r="AO177" s="14">
        <v>65.601029335191654</v>
      </c>
      <c r="AP177" s="14">
        <v>65.601029335191654</v>
      </c>
      <c r="AQ177" s="14">
        <v>65.601029335191654</v>
      </c>
      <c r="AR177" s="14">
        <v>69.361319277777781</v>
      </c>
      <c r="AS177" s="14">
        <v>81.923599204611108</v>
      </c>
    </row>
    <row r="178" spans="1:45" x14ac:dyDescent="0.35">
      <c r="A178" s="16">
        <v>5089.4246700000003</v>
      </c>
      <c r="B178" s="14">
        <v>4.077978827777776</v>
      </c>
      <c r="C178" s="14">
        <v>4.0489588277777795</v>
      </c>
      <c r="D178" s="14">
        <v>4.0611528277777769</v>
      </c>
      <c r="E178" s="14">
        <v>4.1309438277777764</v>
      </c>
      <c r="F178" s="14">
        <v>4.2693638277777763</v>
      </c>
      <c r="G178" s="14">
        <v>5.4089428166666664</v>
      </c>
      <c r="H178" s="14">
        <v>15.494339733333334</v>
      </c>
      <c r="I178" s="14">
        <v>36.913359566666671</v>
      </c>
      <c r="J178" s="14">
        <v>59.492329388888884</v>
      </c>
      <c r="K178" s="14">
        <v>64.449389333333329</v>
      </c>
      <c r="L178" s="14">
        <v>62.542349333333327</v>
      </c>
      <c r="M178" s="14">
        <v>62.537979333333318</v>
      </c>
      <c r="N178" s="14">
        <v>63.608119333333335</v>
      </c>
      <c r="O178" s="14">
        <v>64.270349333333328</v>
      </c>
      <c r="P178" s="14">
        <v>65.520019333333323</v>
      </c>
      <c r="Q178" s="14">
        <v>69.324129277777786</v>
      </c>
      <c r="R178" s="15">
        <v>81.884339204924999</v>
      </c>
      <c r="S178" s="14">
        <v>53.255929433952225</v>
      </c>
      <c r="T178" s="14">
        <v>53.255929433952225</v>
      </c>
      <c r="U178" s="14">
        <v>53.255929433952225</v>
      </c>
      <c r="V178" s="14">
        <v>53.255929433952225</v>
      </c>
      <c r="W178" s="14">
        <v>53.255929433952225</v>
      </c>
      <c r="X178" s="14">
        <v>53.255929433952225</v>
      </c>
      <c r="Y178" s="14">
        <v>53.255929433952225</v>
      </c>
      <c r="Z178" s="14">
        <v>53.255929433952225</v>
      </c>
      <c r="AA178" s="14">
        <v>59.492329388888884</v>
      </c>
      <c r="AB178" s="14">
        <v>64.449389333333329</v>
      </c>
      <c r="AC178" s="14">
        <v>62.542349333333327</v>
      </c>
      <c r="AD178" s="14">
        <v>62.537979333333318</v>
      </c>
      <c r="AE178" s="14">
        <v>63.608119333333335</v>
      </c>
      <c r="AF178" s="14">
        <v>64.270349333333328</v>
      </c>
      <c r="AG178" s="14">
        <v>65.520019333333323</v>
      </c>
      <c r="AH178" s="14">
        <v>69.324129277777786</v>
      </c>
      <c r="AI178" s="15">
        <v>81.884339204924999</v>
      </c>
      <c r="AJ178" s="14">
        <v>65.56732933546111</v>
      </c>
      <c r="AK178" s="14">
        <v>65.56732933546111</v>
      </c>
      <c r="AL178" s="14">
        <v>65.56732933546111</v>
      </c>
      <c r="AM178" s="14">
        <v>65.56732933546111</v>
      </c>
      <c r="AN178" s="14">
        <v>65.56732933546111</v>
      </c>
      <c r="AO178" s="14">
        <v>65.56732933546111</v>
      </c>
      <c r="AP178" s="14">
        <v>65.56732933546111</v>
      </c>
      <c r="AQ178" s="14">
        <v>65.56732933546111</v>
      </c>
      <c r="AR178" s="14">
        <v>69.324129277777786</v>
      </c>
      <c r="AS178" s="14">
        <v>81.884339204924999</v>
      </c>
    </row>
    <row r="179" spans="1:45" x14ac:dyDescent="0.35">
      <c r="A179" s="16">
        <v>5112.1612260000002</v>
      </c>
      <c r="B179" s="14">
        <v>4.0793088277777771</v>
      </c>
      <c r="C179" s="14">
        <v>4.0485478277777771</v>
      </c>
      <c r="D179" s="14">
        <v>4.0596988277777788</v>
      </c>
      <c r="E179" s="14">
        <v>4.1282158277777761</v>
      </c>
      <c r="F179" s="14">
        <v>4.2652898277777771</v>
      </c>
      <c r="G179" s="14">
        <v>5.3638538166666665</v>
      </c>
      <c r="H179" s="14">
        <v>15.197039738888886</v>
      </c>
      <c r="I179" s="14">
        <v>36.388839566666668</v>
      </c>
      <c r="J179" s="14">
        <v>59.189829388888889</v>
      </c>
      <c r="K179" s="14">
        <v>64.395459333333335</v>
      </c>
      <c r="L179" s="14">
        <v>62.510859333333329</v>
      </c>
      <c r="M179" s="14">
        <v>62.493539333333338</v>
      </c>
      <c r="N179" s="14">
        <v>63.563709333333335</v>
      </c>
      <c r="O179" s="14">
        <v>64.226749333333331</v>
      </c>
      <c r="P179" s="14">
        <v>65.478699333333324</v>
      </c>
      <c r="Q179" s="14">
        <v>69.286859333333325</v>
      </c>
      <c r="R179" s="15">
        <v>81.844979205240008</v>
      </c>
      <c r="S179" s="14">
        <v>53.230369434156664</v>
      </c>
      <c r="T179" s="14">
        <v>53.230369434156664</v>
      </c>
      <c r="U179" s="14">
        <v>53.230369434156664</v>
      </c>
      <c r="V179" s="14">
        <v>53.230369434156664</v>
      </c>
      <c r="W179" s="14">
        <v>53.230369434156664</v>
      </c>
      <c r="X179" s="14">
        <v>53.230369434156664</v>
      </c>
      <c r="Y179" s="14">
        <v>53.230369434156664</v>
      </c>
      <c r="Z179" s="14">
        <v>53.230369434156664</v>
      </c>
      <c r="AA179" s="14">
        <v>59.189829388888889</v>
      </c>
      <c r="AB179" s="14">
        <v>64.395459333333335</v>
      </c>
      <c r="AC179" s="14">
        <v>62.510859333333329</v>
      </c>
      <c r="AD179" s="14">
        <v>62.493539333333338</v>
      </c>
      <c r="AE179" s="14">
        <v>63.563709333333335</v>
      </c>
      <c r="AF179" s="14">
        <v>64.226749333333331</v>
      </c>
      <c r="AG179" s="14">
        <v>65.478699333333324</v>
      </c>
      <c r="AH179" s="14">
        <v>69.286859333333325</v>
      </c>
      <c r="AI179" s="15">
        <v>81.844979205240008</v>
      </c>
      <c r="AJ179" s="14">
        <v>65.531619335746669</v>
      </c>
      <c r="AK179" s="14">
        <v>65.531619335746669</v>
      </c>
      <c r="AL179" s="14">
        <v>65.531619335746669</v>
      </c>
      <c r="AM179" s="14">
        <v>65.531619335746669</v>
      </c>
      <c r="AN179" s="14">
        <v>65.531619335746669</v>
      </c>
      <c r="AO179" s="14">
        <v>65.531619335746669</v>
      </c>
      <c r="AP179" s="14">
        <v>65.531619335746669</v>
      </c>
      <c r="AQ179" s="14">
        <v>65.531619335746669</v>
      </c>
      <c r="AR179" s="14">
        <v>69.286859333333325</v>
      </c>
      <c r="AS179" s="14">
        <v>81.844979205240008</v>
      </c>
    </row>
    <row r="180" spans="1:45" x14ac:dyDescent="0.35">
      <c r="A180" s="16">
        <v>5142.5795040000003</v>
      </c>
      <c r="B180" s="14">
        <v>4.0804528277777763</v>
      </c>
      <c r="C180" s="14">
        <v>4.0491118277777796</v>
      </c>
      <c r="D180" s="14">
        <v>4.0587108277777793</v>
      </c>
      <c r="E180" s="14">
        <v>4.1248578277777765</v>
      </c>
      <c r="F180" s="14">
        <v>4.2595018277777781</v>
      </c>
      <c r="G180" s="14">
        <v>5.2933258166666679</v>
      </c>
      <c r="H180" s="14">
        <v>14.717789744444445</v>
      </c>
      <c r="I180" s="14">
        <v>35.518359577777773</v>
      </c>
      <c r="J180" s="14">
        <v>58.668319388888875</v>
      </c>
      <c r="K180" s="14">
        <v>64.301949333333326</v>
      </c>
      <c r="L180" s="14">
        <v>62.459179333333317</v>
      </c>
      <c r="M180" s="14">
        <v>62.420039333333335</v>
      </c>
      <c r="N180" s="14">
        <v>63.49017933333333</v>
      </c>
      <c r="O180" s="14">
        <v>64.154589333333334</v>
      </c>
      <c r="P180" s="14">
        <v>65.410349333333329</v>
      </c>
      <c r="Q180" s="14">
        <v>69.225429333333352</v>
      </c>
      <c r="R180" s="15">
        <v>81.780209205757785</v>
      </c>
      <c r="S180" s="14">
        <v>53.213059434294991</v>
      </c>
      <c r="T180" s="14">
        <v>53.213059434294991</v>
      </c>
      <c r="U180" s="14">
        <v>53.213059434294991</v>
      </c>
      <c r="V180" s="14">
        <v>53.213059434294991</v>
      </c>
      <c r="W180" s="14">
        <v>53.213059434294991</v>
      </c>
      <c r="X180" s="14">
        <v>53.213059434294991</v>
      </c>
      <c r="Y180" s="14">
        <v>53.213059434294991</v>
      </c>
      <c r="Z180" s="14">
        <v>53.213059434294991</v>
      </c>
      <c r="AA180" s="14">
        <v>58.668319388888875</v>
      </c>
      <c r="AB180" s="14">
        <v>64.301949333333326</v>
      </c>
      <c r="AC180" s="14">
        <v>62.459179333333317</v>
      </c>
      <c r="AD180" s="14">
        <v>62.420039333333335</v>
      </c>
      <c r="AE180" s="14">
        <v>63.49017933333333</v>
      </c>
      <c r="AF180" s="14">
        <v>64.154589333333334</v>
      </c>
      <c r="AG180" s="14">
        <v>65.410349333333329</v>
      </c>
      <c r="AH180" s="14">
        <v>69.225429333333352</v>
      </c>
      <c r="AI180" s="15">
        <v>81.780209205757785</v>
      </c>
      <c r="AJ180" s="14">
        <v>65.49942933600444</v>
      </c>
      <c r="AK180" s="14">
        <v>65.49942933600444</v>
      </c>
      <c r="AL180" s="14">
        <v>65.49942933600444</v>
      </c>
      <c r="AM180" s="14">
        <v>65.49942933600444</v>
      </c>
      <c r="AN180" s="14">
        <v>65.49942933600444</v>
      </c>
      <c r="AO180" s="14">
        <v>65.49942933600444</v>
      </c>
      <c r="AP180" s="14">
        <v>65.49942933600444</v>
      </c>
      <c r="AQ180" s="14">
        <v>65.49942933600444</v>
      </c>
      <c r="AR180" s="14">
        <v>69.225429333333352</v>
      </c>
      <c r="AS180" s="14">
        <v>81.780209205757785</v>
      </c>
    </row>
    <row r="181" spans="1:45" x14ac:dyDescent="0.35">
      <c r="A181" s="16">
        <v>5180.6795039999997</v>
      </c>
      <c r="B181" s="14">
        <v>4.0890238277777788</v>
      </c>
      <c r="C181" s="14">
        <v>4.0508558277777791</v>
      </c>
      <c r="D181" s="14">
        <v>4.0587968277777779</v>
      </c>
      <c r="E181" s="14">
        <v>4.122528827777777</v>
      </c>
      <c r="F181" s="14">
        <v>4.2550428277777756</v>
      </c>
      <c r="G181" s="14">
        <v>5.2284508166666654</v>
      </c>
      <c r="H181" s="14">
        <v>14.258589744444444</v>
      </c>
      <c r="I181" s="14">
        <v>34.660049583333333</v>
      </c>
      <c r="J181" s="14">
        <v>58.132599388888899</v>
      </c>
      <c r="K181" s="14">
        <v>64.205929333333344</v>
      </c>
      <c r="L181" s="14">
        <v>62.409369333333338</v>
      </c>
      <c r="M181" s="14">
        <v>62.348319388888882</v>
      </c>
      <c r="N181" s="14">
        <v>63.418289333333327</v>
      </c>
      <c r="O181" s="14">
        <v>64.084069333333318</v>
      </c>
      <c r="P181" s="14">
        <v>65.34362933333334</v>
      </c>
      <c r="Q181" s="14">
        <v>69.165659333333338</v>
      </c>
      <c r="R181" s="15">
        <v>81.717069206263332</v>
      </c>
      <c r="S181" s="14">
        <v>53.218119434254994</v>
      </c>
      <c r="T181" s="14">
        <v>53.218119434254994</v>
      </c>
      <c r="U181" s="14">
        <v>53.218119434254994</v>
      </c>
      <c r="V181" s="14">
        <v>53.218119434254994</v>
      </c>
      <c r="W181" s="14">
        <v>53.218119434254994</v>
      </c>
      <c r="X181" s="14">
        <v>53.218119434254994</v>
      </c>
      <c r="Y181" s="14">
        <v>53.218119434254994</v>
      </c>
      <c r="Z181" s="14">
        <v>53.218119434254994</v>
      </c>
      <c r="AA181" s="14">
        <v>58.132599388888899</v>
      </c>
      <c r="AB181" s="14">
        <v>64.205929333333344</v>
      </c>
      <c r="AC181" s="14">
        <v>62.409369333333338</v>
      </c>
      <c r="AD181" s="14">
        <v>62.348319388888882</v>
      </c>
      <c r="AE181" s="14">
        <v>63.418289333333327</v>
      </c>
      <c r="AF181" s="14">
        <v>64.084069333333318</v>
      </c>
      <c r="AG181" s="14">
        <v>65.34362933333334</v>
      </c>
      <c r="AH181" s="14">
        <v>69.165659333333338</v>
      </c>
      <c r="AI181" s="15">
        <v>81.717069206263332</v>
      </c>
      <c r="AJ181" s="14">
        <v>65.484349336124993</v>
      </c>
      <c r="AK181" s="14">
        <v>65.484349336124993</v>
      </c>
      <c r="AL181" s="14">
        <v>65.484349336124993</v>
      </c>
      <c r="AM181" s="14">
        <v>65.484349336124993</v>
      </c>
      <c r="AN181" s="14">
        <v>65.484349336124993</v>
      </c>
      <c r="AO181" s="14">
        <v>65.484349336124993</v>
      </c>
      <c r="AP181" s="14">
        <v>65.484349336124993</v>
      </c>
      <c r="AQ181" s="14">
        <v>65.484349336124993</v>
      </c>
      <c r="AR181" s="14">
        <v>69.165659333333338</v>
      </c>
      <c r="AS181" s="14">
        <v>81.717069206263332</v>
      </c>
    </row>
    <row r="182" spans="1:45" x14ac:dyDescent="0.35">
      <c r="A182" s="16">
        <v>5211.0970200000011</v>
      </c>
      <c r="B182" s="14">
        <v>4.080058827777779</v>
      </c>
      <c r="C182" s="14">
        <v>4.0510708277777772</v>
      </c>
      <c r="D182" s="14">
        <v>4.0582608277777785</v>
      </c>
      <c r="E182" s="14">
        <v>4.1208808277777784</v>
      </c>
      <c r="F182" s="14">
        <v>4.2524378277777766</v>
      </c>
      <c r="G182" s="14">
        <v>5.191472816666665</v>
      </c>
      <c r="H182" s="14">
        <v>13.991639749999999</v>
      </c>
      <c r="I182" s="14">
        <v>34.152409588888887</v>
      </c>
      <c r="J182" s="14">
        <v>57.808179388888888</v>
      </c>
      <c r="K182" s="14">
        <v>64.147299333333336</v>
      </c>
      <c r="L182" s="14">
        <v>62.379939333333333</v>
      </c>
      <c r="M182" s="14">
        <v>62.305749388888898</v>
      </c>
      <c r="N182" s="14">
        <v>63.375549333333339</v>
      </c>
      <c r="O182" s="14">
        <v>64.042149333333342</v>
      </c>
      <c r="P182" s="14">
        <v>65.303969333333342</v>
      </c>
      <c r="Q182" s="14">
        <v>69.13011933333334</v>
      </c>
      <c r="R182" s="15">
        <v>81.679369206564445</v>
      </c>
      <c r="S182" s="14">
        <v>53.158189434734446</v>
      </c>
      <c r="T182" s="14">
        <v>53.158189434734446</v>
      </c>
      <c r="U182" s="14">
        <v>53.158189434734446</v>
      </c>
      <c r="V182" s="14">
        <v>53.158189434734446</v>
      </c>
      <c r="W182" s="14">
        <v>53.158189434734446</v>
      </c>
      <c r="X182" s="14">
        <v>53.158189434734446</v>
      </c>
      <c r="Y182" s="14">
        <v>53.158189434734446</v>
      </c>
      <c r="Z182" s="14">
        <v>53.158189434734446</v>
      </c>
      <c r="AA182" s="14">
        <v>57.808179388888888</v>
      </c>
      <c r="AB182" s="14">
        <v>64.147299333333336</v>
      </c>
      <c r="AC182" s="14">
        <v>62.379939333333333</v>
      </c>
      <c r="AD182" s="14">
        <v>62.305749388888898</v>
      </c>
      <c r="AE182" s="14">
        <v>63.375549333333339</v>
      </c>
      <c r="AF182" s="14">
        <v>64.042149333333342</v>
      </c>
      <c r="AG182" s="14">
        <v>65.303969333333342</v>
      </c>
      <c r="AH182" s="14">
        <v>69.13011933333334</v>
      </c>
      <c r="AI182" s="15">
        <v>81.679369206564445</v>
      </c>
      <c r="AJ182" s="14">
        <v>65.430419336556099</v>
      </c>
      <c r="AK182" s="14">
        <v>65.430419336556099</v>
      </c>
      <c r="AL182" s="14">
        <v>65.430419336556099</v>
      </c>
      <c r="AM182" s="14">
        <v>65.430419336556099</v>
      </c>
      <c r="AN182" s="14">
        <v>65.430419336556099</v>
      </c>
      <c r="AO182" s="14">
        <v>65.430419336556099</v>
      </c>
      <c r="AP182" s="14">
        <v>65.430419336556099</v>
      </c>
      <c r="AQ182" s="14">
        <v>65.430419336556099</v>
      </c>
      <c r="AR182" s="14">
        <v>69.13011933333334</v>
      </c>
      <c r="AS182" s="14">
        <v>81.679369206564445</v>
      </c>
    </row>
    <row r="183" spans="1:45" x14ac:dyDescent="0.35">
      <c r="A183" s="16">
        <v>5233.8320520000007</v>
      </c>
      <c r="B183" s="14">
        <v>4.081085827777776</v>
      </c>
      <c r="C183" s="14">
        <v>4.0507298277777792</v>
      </c>
      <c r="D183" s="14">
        <v>4.0571598277777774</v>
      </c>
      <c r="E183" s="14">
        <v>4.1184578277777781</v>
      </c>
      <c r="F183" s="14">
        <v>4.2488158277777783</v>
      </c>
      <c r="G183" s="14">
        <v>5.1545358166666668</v>
      </c>
      <c r="H183" s="14">
        <v>13.729059749999998</v>
      </c>
      <c r="I183" s="14">
        <v>33.646329588888889</v>
      </c>
      <c r="J183" s="14">
        <v>57.4771593888889</v>
      </c>
      <c r="K183" s="14">
        <v>64.085529333333341</v>
      </c>
      <c r="L183" s="14">
        <v>62.348979388888893</v>
      </c>
      <c r="M183" s="14">
        <v>62.261599388888889</v>
      </c>
      <c r="N183" s="14">
        <v>63.331199333333331</v>
      </c>
      <c r="O183" s="14">
        <v>63.998609333333334</v>
      </c>
      <c r="P183" s="14">
        <v>65.262679333333324</v>
      </c>
      <c r="Q183" s="14">
        <v>69.092989333333335</v>
      </c>
      <c r="R183" s="15">
        <v>81.640069206878877</v>
      </c>
      <c r="S183" s="14">
        <v>53.107829435137219</v>
      </c>
      <c r="T183" s="14">
        <v>53.107829435137219</v>
      </c>
      <c r="U183" s="14">
        <v>53.107829435137219</v>
      </c>
      <c r="V183" s="14">
        <v>53.107829435137219</v>
      </c>
      <c r="W183" s="14">
        <v>53.107829435137219</v>
      </c>
      <c r="X183" s="14">
        <v>53.107829435137219</v>
      </c>
      <c r="Y183" s="14">
        <v>53.107829435137219</v>
      </c>
      <c r="Z183" s="14">
        <v>53.107829435137219</v>
      </c>
      <c r="AA183" s="14">
        <v>57.4771593888889</v>
      </c>
      <c r="AB183" s="14">
        <v>64.085529333333341</v>
      </c>
      <c r="AC183" s="14">
        <v>62.348979388888893</v>
      </c>
      <c r="AD183" s="14">
        <v>62.261599388888889</v>
      </c>
      <c r="AE183" s="14">
        <v>63.331199333333331</v>
      </c>
      <c r="AF183" s="14">
        <v>63.998609333333334</v>
      </c>
      <c r="AG183" s="14">
        <v>65.262679333333324</v>
      </c>
      <c r="AH183" s="14">
        <v>69.092989333333335</v>
      </c>
      <c r="AI183" s="15">
        <v>81.640069206878877</v>
      </c>
      <c r="AJ183" s="14">
        <v>65.380559336955002</v>
      </c>
      <c r="AK183" s="14">
        <v>65.380559336955002</v>
      </c>
      <c r="AL183" s="14">
        <v>65.380559336955002</v>
      </c>
      <c r="AM183" s="14">
        <v>65.380559336955002</v>
      </c>
      <c r="AN183" s="14">
        <v>65.380559336955002</v>
      </c>
      <c r="AO183" s="14">
        <v>65.380559336955002</v>
      </c>
      <c r="AP183" s="14">
        <v>65.380559336955002</v>
      </c>
      <c r="AQ183" s="14">
        <v>65.380559336955002</v>
      </c>
      <c r="AR183" s="14">
        <v>69.092989333333335</v>
      </c>
      <c r="AS183" s="14">
        <v>81.640069206878877</v>
      </c>
    </row>
    <row r="184" spans="1:45" x14ac:dyDescent="0.35">
      <c r="A184" s="16">
        <v>5256.563274000001</v>
      </c>
      <c r="B184" s="14">
        <v>4.0821388277777775</v>
      </c>
      <c r="C184" s="14">
        <v>4.0505708277777766</v>
      </c>
      <c r="D184" s="14">
        <v>4.0562208277777776</v>
      </c>
      <c r="E184" s="14">
        <v>4.116176827777779</v>
      </c>
      <c r="F184" s="14">
        <v>4.2453418277777759</v>
      </c>
      <c r="G184" s="14">
        <v>5.1190608166666687</v>
      </c>
      <c r="H184" s="14">
        <v>13.47261975</v>
      </c>
      <c r="I184" s="14">
        <v>33.143799594444445</v>
      </c>
      <c r="J184" s="14">
        <v>57.141359388888887</v>
      </c>
      <c r="K184" s="14">
        <v>64.022299333333351</v>
      </c>
      <c r="L184" s="14">
        <v>62.318189388888896</v>
      </c>
      <c r="M184" s="14">
        <v>62.217619388888892</v>
      </c>
      <c r="N184" s="14">
        <v>63.286939333333329</v>
      </c>
      <c r="O184" s="14">
        <v>63.955199333333326</v>
      </c>
      <c r="P184" s="14">
        <v>65.221489333333324</v>
      </c>
      <c r="Q184" s="14">
        <v>69.055989333333343</v>
      </c>
      <c r="R184" s="15">
        <v>81.600899207192214</v>
      </c>
      <c r="S184" s="14">
        <v>53.084049435327223</v>
      </c>
      <c r="T184" s="14">
        <v>53.084049435327223</v>
      </c>
      <c r="U184" s="14">
        <v>53.084049435327223</v>
      </c>
      <c r="V184" s="14">
        <v>53.084049435327223</v>
      </c>
      <c r="W184" s="14">
        <v>53.084049435327223</v>
      </c>
      <c r="X184" s="14">
        <v>53.084049435327223</v>
      </c>
      <c r="Y184" s="14">
        <v>53.084049435327223</v>
      </c>
      <c r="Z184" s="14">
        <v>53.084049435327223</v>
      </c>
      <c r="AA184" s="14">
        <v>57.141359388888887</v>
      </c>
      <c r="AB184" s="14">
        <v>64.022299333333351</v>
      </c>
      <c r="AC184" s="14">
        <v>62.318189388888896</v>
      </c>
      <c r="AD184" s="14">
        <v>62.217619388888892</v>
      </c>
      <c r="AE184" s="14">
        <v>63.286939333333329</v>
      </c>
      <c r="AF184" s="14">
        <v>63.955199333333326</v>
      </c>
      <c r="AG184" s="14">
        <v>65.221489333333324</v>
      </c>
      <c r="AH184" s="14">
        <v>69.055989333333343</v>
      </c>
      <c r="AI184" s="15">
        <v>81.600899207192214</v>
      </c>
      <c r="AJ184" s="14">
        <v>65.35086933719279</v>
      </c>
      <c r="AK184" s="14">
        <v>65.35086933719279</v>
      </c>
      <c r="AL184" s="14">
        <v>65.35086933719279</v>
      </c>
      <c r="AM184" s="14">
        <v>65.35086933719279</v>
      </c>
      <c r="AN184" s="14">
        <v>65.35086933719279</v>
      </c>
      <c r="AO184" s="14">
        <v>65.35086933719279</v>
      </c>
      <c r="AP184" s="14">
        <v>65.35086933719279</v>
      </c>
      <c r="AQ184" s="14">
        <v>65.35086933719279</v>
      </c>
      <c r="AR184" s="14">
        <v>69.055989333333343</v>
      </c>
      <c r="AS184" s="14">
        <v>81.600899207192214</v>
      </c>
    </row>
    <row r="185" spans="1:45" x14ac:dyDescent="0.35">
      <c r="A185" s="16">
        <v>5279.2906860000003</v>
      </c>
      <c r="B185" s="14">
        <v>4.0831008277777769</v>
      </c>
      <c r="C185" s="14">
        <v>4.050598827777776</v>
      </c>
      <c r="D185" s="14">
        <v>4.055435827777778</v>
      </c>
      <c r="E185" s="14">
        <v>4.1140368277777775</v>
      </c>
      <c r="F185" s="14">
        <v>4.2420108277777793</v>
      </c>
      <c r="G185" s="14">
        <v>5.0849838166666652</v>
      </c>
      <c r="H185" s="14">
        <v>13.221209755555556</v>
      </c>
      <c r="I185" s="14">
        <v>32.6461696</v>
      </c>
      <c r="J185" s="14">
        <v>56.800699388888887</v>
      </c>
      <c r="K185" s="14">
        <v>63.957549333333333</v>
      </c>
      <c r="L185" s="14">
        <v>62.287559388888894</v>
      </c>
      <c r="M185" s="14">
        <v>62.173779388888889</v>
      </c>
      <c r="N185" s="14">
        <v>63.242609333333334</v>
      </c>
      <c r="O185" s="14">
        <v>63.911879333333346</v>
      </c>
      <c r="P185" s="14">
        <v>65.18040933333333</v>
      </c>
      <c r="Q185" s="14">
        <v>69.019109333333347</v>
      </c>
      <c r="R185" s="15">
        <v>81.561839207504988</v>
      </c>
      <c r="S185" s="14">
        <v>53.059229435526106</v>
      </c>
      <c r="T185" s="14">
        <v>53.059229435526106</v>
      </c>
      <c r="U185" s="14">
        <v>53.059229435526106</v>
      </c>
      <c r="V185" s="14">
        <v>53.059229435526106</v>
      </c>
      <c r="W185" s="14">
        <v>53.059229435526106</v>
      </c>
      <c r="X185" s="14">
        <v>53.059229435526106</v>
      </c>
      <c r="Y185" s="14">
        <v>53.059229435526106</v>
      </c>
      <c r="Z185" s="14">
        <v>53.059229435526106</v>
      </c>
      <c r="AA185" s="14">
        <v>56.800699388888887</v>
      </c>
      <c r="AB185" s="14">
        <v>63.957549333333333</v>
      </c>
      <c r="AC185" s="14">
        <v>62.287559388888894</v>
      </c>
      <c r="AD185" s="14">
        <v>62.173779388888889</v>
      </c>
      <c r="AE185" s="14">
        <v>63.242609333333334</v>
      </c>
      <c r="AF185" s="14">
        <v>63.911879333333346</v>
      </c>
      <c r="AG185" s="14">
        <v>65.18040933333333</v>
      </c>
      <c r="AH185" s="14">
        <v>69.019109333333347</v>
      </c>
      <c r="AI185" s="15">
        <v>81.561839207504988</v>
      </c>
      <c r="AJ185" s="14">
        <v>65.319699337442216</v>
      </c>
      <c r="AK185" s="14">
        <v>65.319699337442216</v>
      </c>
      <c r="AL185" s="14">
        <v>65.319699337442216</v>
      </c>
      <c r="AM185" s="14">
        <v>65.319699337442216</v>
      </c>
      <c r="AN185" s="14">
        <v>65.319699337442216</v>
      </c>
      <c r="AO185" s="14">
        <v>65.319699337442216</v>
      </c>
      <c r="AP185" s="14">
        <v>65.319699337442216</v>
      </c>
      <c r="AQ185" s="14">
        <v>65.319699337442216</v>
      </c>
      <c r="AR185" s="14">
        <v>69.019109333333347</v>
      </c>
      <c r="AS185" s="14">
        <v>81.561839207504988</v>
      </c>
    </row>
    <row r="186" spans="1:45" x14ac:dyDescent="0.35">
      <c r="A186" s="16">
        <v>5302.01505</v>
      </c>
      <c r="B186" s="14">
        <v>4.0839748277777783</v>
      </c>
      <c r="C186" s="14">
        <v>4.0508198277777767</v>
      </c>
      <c r="D186" s="14">
        <v>4.0548038277777785</v>
      </c>
      <c r="E186" s="14">
        <v>4.1120408277777782</v>
      </c>
      <c r="F186" s="14">
        <v>4.2388258277777764</v>
      </c>
      <c r="G186" s="14">
        <v>5.0522758222222208</v>
      </c>
      <c r="H186" s="14">
        <v>12.975769755555556</v>
      </c>
      <c r="I186" s="14">
        <v>32.153569600000004</v>
      </c>
      <c r="J186" s="14">
        <v>56.454939388888889</v>
      </c>
      <c r="K186" s="14">
        <v>63.891279333333337</v>
      </c>
      <c r="L186" s="14">
        <v>62.257109388888885</v>
      </c>
      <c r="M186" s="14">
        <v>62.13010938888889</v>
      </c>
      <c r="N186" s="14">
        <v>63.198399333333327</v>
      </c>
      <c r="O186" s="14">
        <v>63.868689333333336</v>
      </c>
      <c r="P186" s="14">
        <v>65.139429333333339</v>
      </c>
      <c r="Q186" s="14">
        <v>68.982369333333338</v>
      </c>
      <c r="R186" s="15">
        <v>81.522929207816105</v>
      </c>
      <c r="S186" s="14">
        <v>53.034959435720005</v>
      </c>
      <c r="T186" s="14">
        <v>53.034959435720005</v>
      </c>
      <c r="U186" s="14">
        <v>53.034959435720005</v>
      </c>
      <c r="V186" s="14">
        <v>53.034959435720005</v>
      </c>
      <c r="W186" s="14">
        <v>53.034959435720005</v>
      </c>
      <c r="X186" s="14">
        <v>53.034959435720005</v>
      </c>
      <c r="Y186" s="14">
        <v>53.034959435720005</v>
      </c>
      <c r="Z186" s="14">
        <v>53.034959435720005</v>
      </c>
      <c r="AA186" s="14">
        <v>56.454939388888889</v>
      </c>
      <c r="AB186" s="14">
        <v>63.891279333333337</v>
      </c>
      <c r="AC186" s="14">
        <v>62.257109388888885</v>
      </c>
      <c r="AD186" s="14">
        <v>62.13010938888889</v>
      </c>
      <c r="AE186" s="14">
        <v>63.198399333333327</v>
      </c>
      <c r="AF186" s="14">
        <v>63.868689333333336</v>
      </c>
      <c r="AG186" s="14">
        <v>65.139429333333339</v>
      </c>
      <c r="AH186" s="14">
        <v>68.982369333333338</v>
      </c>
      <c r="AI186" s="15">
        <v>81.522929207816105</v>
      </c>
      <c r="AJ186" s="14">
        <v>65.289299337685563</v>
      </c>
      <c r="AK186" s="14">
        <v>65.289299337685563</v>
      </c>
      <c r="AL186" s="14">
        <v>65.289299337685563</v>
      </c>
      <c r="AM186" s="14">
        <v>65.289299337685563</v>
      </c>
      <c r="AN186" s="14">
        <v>65.289299337685563</v>
      </c>
      <c r="AO186" s="14">
        <v>65.289299337685563</v>
      </c>
      <c r="AP186" s="14">
        <v>65.289299337685563</v>
      </c>
      <c r="AQ186" s="14">
        <v>65.289299337685563</v>
      </c>
      <c r="AR186" s="14">
        <v>68.982369333333338</v>
      </c>
      <c r="AS186" s="14">
        <v>81.522929207816105</v>
      </c>
    </row>
    <row r="187" spans="1:45" x14ac:dyDescent="0.35">
      <c r="A187" s="16">
        <v>5324.7363660000001</v>
      </c>
      <c r="B187" s="14">
        <v>4.0847618277777782</v>
      </c>
      <c r="C187" s="14">
        <v>4.0512288277777762</v>
      </c>
      <c r="D187" s="14">
        <v>4.0543188277777791</v>
      </c>
      <c r="E187" s="14">
        <v>4.1101868277777793</v>
      </c>
      <c r="F187" s="14">
        <v>4.2357848277777777</v>
      </c>
      <c r="G187" s="14">
        <v>5.0208788222222207</v>
      </c>
      <c r="H187" s="14">
        <v>12.736349755555555</v>
      </c>
      <c r="I187" s="14">
        <v>31.665729605555555</v>
      </c>
      <c r="J187" s="14">
        <v>56.103339388888884</v>
      </c>
      <c r="K187" s="14">
        <v>63.823419333333327</v>
      </c>
      <c r="L187" s="14">
        <v>62.226809388888881</v>
      </c>
      <c r="M187" s="14">
        <v>62.086599388888885</v>
      </c>
      <c r="N187" s="14">
        <v>63.15430933333333</v>
      </c>
      <c r="O187" s="14">
        <v>63.825599333333329</v>
      </c>
      <c r="P187" s="14">
        <v>65.098559333333327</v>
      </c>
      <c r="Q187" s="14">
        <v>68.945759333333342</v>
      </c>
      <c r="R187" s="15">
        <v>81.48412920812666</v>
      </c>
      <c r="S187" s="14">
        <v>53.010689435914436</v>
      </c>
      <c r="T187" s="14">
        <v>53.010689435914436</v>
      </c>
      <c r="U187" s="14">
        <v>53.010689435914436</v>
      </c>
      <c r="V187" s="14">
        <v>53.010689435914436</v>
      </c>
      <c r="W187" s="14">
        <v>53.010689435914436</v>
      </c>
      <c r="X187" s="14">
        <v>53.010689435914436</v>
      </c>
      <c r="Y187" s="14">
        <v>53.010689435914436</v>
      </c>
      <c r="Z187" s="14">
        <v>53.010689435914436</v>
      </c>
      <c r="AA187" s="14">
        <v>56.103339388888884</v>
      </c>
      <c r="AB187" s="14">
        <v>63.823419333333327</v>
      </c>
      <c r="AC187" s="14">
        <v>62.226809388888881</v>
      </c>
      <c r="AD187" s="14">
        <v>62.086599388888885</v>
      </c>
      <c r="AE187" s="14">
        <v>63.15430933333333</v>
      </c>
      <c r="AF187" s="14">
        <v>63.825599333333329</v>
      </c>
      <c r="AG187" s="14">
        <v>65.098559333333327</v>
      </c>
      <c r="AH187" s="14">
        <v>68.945759333333342</v>
      </c>
      <c r="AI187" s="15">
        <v>81.48412920812666</v>
      </c>
      <c r="AJ187" s="14">
        <v>65.258719337930017</v>
      </c>
      <c r="AK187" s="14">
        <v>65.258719337930017</v>
      </c>
      <c r="AL187" s="14">
        <v>65.258719337930017</v>
      </c>
      <c r="AM187" s="14">
        <v>65.258719337930017</v>
      </c>
      <c r="AN187" s="14">
        <v>65.258719337930017</v>
      </c>
      <c r="AO187" s="14">
        <v>65.258719337930017</v>
      </c>
      <c r="AP187" s="14">
        <v>65.258719337930017</v>
      </c>
      <c r="AQ187" s="14">
        <v>65.258719337930017</v>
      </c>
      <c r="AR187" s="14">
        <v>68.945759333333342</v>
      </c>
      <c r="AS187" s="14">
        <v>81.48412920812666</v>
      </c>
    </row>
    <row r="188" spans="1:45" x14ac:dyDescent="0.35">
      <c r="A188" s="16">
        <v>5347.453872</v>
      </c>
      <c r="B188" s="14">
        <v>4.0854288277777764</v>
      </c>
      <c r="C188" s="14">
        <v>4.0518448277777788</v>
      </c>
      <c r="D188" s="14">
        <v>4.0540168277777786</v>
      </c>
      <c r="E188" s="14">
        <v>4.1085158277777758</v>
      </c>
      <c r="F188" s="14">
        <v>4.2329288277777781</v>
      </c>
      <c r="G188" s="14">
        <v>4.9908088222222231</v>
      </c>
      <c r="H188" s="14">
        <v>12.502949761111113</v>
      </c>
      <c r="I188" s="14">
        <v>31.18114961111111</v>
      </c>
      <c r="J188" s="14">
        <v>55.747489388888894</v>
      </c>
      <c r="K188" s="14">
        <v>63.754019333333332</v>
      </c>
      <c r="L188" s="14">
        <v>62.196719388888887</v>
      </c>
      <c r="M188" s="14">
        <v>62.043319388888889</v>
      </c>
      <c r="N188" s="14">
        <v>63.110389333333323</v>
      </c>
      <c r="O188" s="14">
        <v>63.782689333333337</v>
      </c>
      <c r="P188" s="14">
        <v>65.057859333333326</v>
      </c>
      <c r="Q188" s="14">
        <v>68.909339333333335</v>
      </c>
      <c r="R188" s="15">
        <v>81.445539208435548</v>
      </c>
      <c r="S188" s="14">
        <v>52.987059436103337</v>
      </c>
      <c r="T188" s="14">
        <v>52.987059436103337</v>
      </c>
      <c r="U188" s="14">
        <v>52.987059436103337</v>
      </c>
      <c r="V188" s="14">
        <v>52.987059436103337</v>
      </c>
      <c r="W188" s="14">
        <v>52.987059436103337</v>
      </c>
      <c r="X188" s="14">
        <v>52.987059436103337</v>
      </c>
      <c r="Y188" s="14">
        <v>52.987059436103337</v>
      </c>
      <c r="Z188" s="14">
        <v>52.987059436103337</v>
      </c>
      <c r="AA188" s="14">
        <v>55.747489388888894</v>
      </c>
      <c r="AB188" s="14">
        <v>63.754019333333332</v>
      </c>
      <c r="AC188" s="14">
        <v>62.196719388888887</v>
      </c>
      <c r="AD188" s="14">
        <v>62.043319388888889</v>
      </c>
      <c r="AE188" s="14">
        <v>63.110389333333323</v>
      </c>
      <c r="AF188" s="14">
        <v>63.782689333333337</v>
      </c>
      <c r="AG188" s="14">
        <v>65.057859333333326</v>
      </c>
      <c r="AH188" s="14">
        <v>68.909339333333335</v>
      </c>
      <c r="AI188" s="15">
        <v>81.445539208435548</v>
      </c>
      <c r="AJ188" s="14">
        <v>65.228489338171656</v>
      </c>
      <c r="AK188" s="14">
        <v>65.228489338171656</v>
      </c>
      <c r="AL188" s="14">
        <v>65.228489338171656</v>
      </c>
      <c r="AM188" s="14">
        <v>65.228489338171656</v>
      </c>
      <c r="AN188" s="14">
        <v>65.228489338171656</v>
      </c>
      <c r="AO188" s="14">
        <v>65.228489338171656</v>
      </c>
      <c r="AP188" s="14">
        <v>65.228489338171656</v>
      </c>
      <c r="AQ188" s="14">
        <v>65.228489338171656</v>
      </c>
      <c r="AR188" s="14">
        <v>68.909339333333335</v>
      </c>
      <c r="AS188" s="14">
        <v>81.445539208435548</v>
      </c>
    </row>
    <row r="189" spans="1:45" x14ac:dyDescent="0.35">
      <c r="A189" s="16">
        <v>5370.1675679999998</v>
      </c>
      <c r="B189" s="14">
        <v>4.0860278277777775</v>
      </c>
      <c r="C189" s="14">
        <v>4.0526418277777765</v>
      </c>
      <c r="D189" s="14">
        <v>4.0538898277777786</v>
      </c>
      <c r="E189" s="14">
        <v>4.1070258277777763</v>
      </c>
      <c r="F189" s="14">
        <v>4.2302538277777773</v>
      </c>
      <c r="G189" s="14">
        <v>4.9619998222222215</v>
      </c>
      <c r="H189" s="14">
        <v>12.27534976111111</v>
      </c>
      <c r="I189" s="14">
        <v>30.701579616666663</v>
      </c>
      <c r="J189" s="14">
        <v>55.387309444444448</v>
      </c>
      <c r="K189" s="14">
        <v>63.683019333333341</v>
      </c>
      <c r="L189" s="14">
        <v>62.1668293888889</v>
      </c>
      <c r="M189" s="14">
        <v>62.000249388888882</v>
      </c>
      <c r="N189" s="14">
        <v>63.066639333333342</v>
      </c>
      <c r="O189" s="14">
        <v>63.739949333333342</v>
      </c>
      <c r="P189" s="14">
        <v>65.017319333333333</v>
      </c>
      <c r="Q189" s="14">
        <v>68.873109333333332</v>
      </c>
      <c r="R189" s="15">
        <v>81.407049208743331</v>
      </c>
      <c r="S189" s="14">
        <v>52.965139436278896</v>
      </c>
      <c r="T189" s="14">
        <v>52.965139436278896</v>
      </c>
      <c r="U189" s="14">
        <v>52.965139436278896</v>
      </c>
      <c r="V189" s="14">
        <v>52.965139436278896</v>
      </c>
      <c r="W189" s="14">
        <v>52.965139436278896</v>
      </c>
      <c r="X189" s="14">
        <v>52.965139436278896</v>
      </c>
      <c r="Y189" s="14">
        <v>52.965139436278896</v>
      </c>
      <c r="Z189" s="14">
        <v>52.965139436278896</v>
      </c>
      <c r="AA189" s="14">
        <v>55.387309444444448</v>
      </c>
      <c r="AB189" s="14">
        <v>63.683019333333341</v>
      </c>
      <c r="AC189" s="14">
        <v>62.1668293888889</v>
      </c>
      <c r="AD189" s="14">
        <v>62.000249388888882</v>
      </c>
      <c r="AE189" s="14">
        <v>63.066639333333342</v>
      </c>
      <c r="AF189" s="14">
        <v>63.739949333333342</v>
      </c>
      <c r="AG189" s="14">
        <v>65.017319333333333</v>
      </c>
      <c r="AH189" s="14">
        <v>68.873109333333332</v>
      </c>
      <c r="AI189" s="15">
        <v>81.407049208743331</v>
      </c>
      <c r="AJ189" s="14">
        <v>65.198739338410007</v>
      </c>
      <c r="AK189" s="14">
        <v>65.198739338410007</v>
      </c>
      <c r="AL189" s="14">
        <v>65.198739338410007</v>
      </c>
      <c r="AM189" s="14">
        <v>65.198739338410007</v>
      </c>
      <c r="AN189" s="14">
        <v>65.198739338410007</v>
      </c>
      <c r="AO189" s="14">
        <v>65.198739338410007</v>
      </c>
      <c r="AP189" s="14">
        <v>65.198739338410007</v>
      </c>
      <c r="AQ189" s="14">
        <v>65.198739338410007</v>
      </c>
      <c r="AR189" s="14">
        <v>68.873109333333332</v>
      </c>
      <c r="AS189" s="14">
        <v>81.407049208743331</v>
      </c>
    </row>
    <row r="190" spans="1:45" x14ac:dyDescent="0.35">
      <c r="A190" s="16">
        <v>5392.8957420000006</v>
      </c>
      <c r="B190" s="14">
        <v>4.0879378277777789</v>
      </c>
      <c r="C190" s="14">
        <v>4.0524178277777763</v>
      </c>
      <c r="D190" s="14">
        <v>4.0526978277777799</v>
      </c>
      <c r="E190" s="14">
        <v>4.1044358277777784</v>
      </c>
      <c r="F190" s="14">
        <v>4.2264698277777768</v>
      </c>
      <c r="G190" s="14">
        <v>4.9330888222222233</v>
      </c>
      <c r="H190" s="14">
        <v>12.05185976111111</v>
      </c>
      <c r="I190" s="14">
        <v>30.225409616666671</v>
      </c>
      <c r="J190" s="14">
        <v>55.020799444444449</v>
      </c>
      <c r="K190" s="14">
        <v>63.608639333333336</v>
      </c>
      <c r="L190" s="14">
        <v>62.135459388888904</v>
      </c>
      <c r="M190" s="14">
        <v>61.955669388888886</v>
      </c>
      <c r="N190" s="14">
        <v>63.021309333333342</v>
      </c>
      <c r="O190" s="14">
        <v>63.695619333333326</v>
      </c>
      <c r="P190" s="14">
        <v>64.975169333333326</v>
      </c>
      <c r="Q190" s="14">
        <v>68.835269333333329</v>
      </c>
      <c r="R190" s="15">
        <v>81.366739209065543</v>
      </c>
      <c r="S190" s="14">
        <v>52.946839436424995</v>
      </c>
      <c r="T190" s="14">
        <v>52.946839436424995</v>
      </c>
      <c r="U190" s="14">
        <v>52.946839436424995</v>
      </c>
      <c r="V190" s="14">
        <v>52.946839436424995</v>
      </c>
      <c r="W190" s="14">
        <v>52.946839436424995</v>
      </c>
      <c r="X190" s="14">
        <v>52.946839436424995</v>
      </c>
      <c r="Y190" s="14">
        <v>52.946839436424995</v>
      </c>
      <c r="Z190" s="14">
        <v>52.946839436424995</v>
      </c>
      <c r="AA190" s="14">
        <v>55.020799444444449</v>
      </c>
      <c r="AB190" s="14">
        <v>63.608639333333336</v>
      </c>
      <c r="AC190" s="14">
        <v>62.135459388888904</v>
      </c>
      <c r="AD190" s="14">
        <v>61.955669388888886</v>
      </c>
      <c r="AE190" s="14">
        <v>63.021309333333342</v>
      </c>
      <c r="AF190" s="14">
        <v>63.695619333333326</v>
      </c>
      <c r="AG190" s="14">
        <v>64.975169333333326</v>
      </c>
      <c r="AH190" s="14">
        <v>68.835269333333329</v>
      </c>
      <c r="AI190" s="15">
        <v>81.366739209065543</v>
      </c>
      <c r="AJ190" s="14">
        <v>65.169539338643347</v>
      </c>
      <c r="AK190" s="14">
        <v>65.169539338643347</v>
      </c>
      <c r="AL190" s="14">
        <v>65.169539338643347</v>
      </c>
      <c r="AM190" s="14">
        <v>65.169539338643347</v>
      </c>
      <c r="AN190" s="14">
        <v>65.169539338643347</v>
      </c>
      <c r="AO190" s="14">
        <v>65.169539338643347</v>
      </c>
      <c r="AP190" s="14">
        <v>65.169539338643347</v>
      </c>
      <c r="AQ190" s="14">
        <v>65.169539338643347</v>
      </c>
      <c r="AR190" s="14">
        <v>68.835269333333329</v>
      </c>
      <c r="AS190" s="14">
        <v>81.366739209065543</v>
      </c>
    </row>
    <row r="191" spans="1:45" x14ac:dyDescent="0.35">
      <c r="A191" s="16">
        <v>5415.6383939999996</v>
      </c>
      <c r="B191" s="14">
        <v>4.0910598277777765</v>
      </c>
      <c r="C191" s="14">
        <v>4.0512398277777786</v>
      </c>
      <c r="D191" s="14">
        <v>4.0504948277777766</v>
      </c>
      <c r="E191" s="14">
        <v>4.1007598277777761</v>
      </c>
      <c r="F191" s="14">
        <v>4.2215928277777772</v>
      </c>
      <c r="G191" s="14">
        <v>4.9041068222222215</v>
      </c>
      <c r="H191" s="14">
        <v>11.832619766666665</v>
      </c>
      <c r="I191" s="14">
        <v>29.753259622222224</v>
      </c>
      <c r="J191" s="14">
        <v>54.648459444444455</v>
      </c>
      <c r="K191" s="14">
        <v>63.530929333333333</v>
      </c>
      <c r="L191" s="14">
        <v>62.102629388888886</v>
      </c>
      <c r="M191" s="14">
        <v>61.909629388888888</v>
      </c>
      <c r="N191" s="14">
        <v>62.974459333333343</v>
      </c>
      <c r="O191" s="14">
        <v>63.649779333333335</v>
      </c>
      <c r="P191" s="14">
        <v>64.931489333333332</v>
      </c>
      <c r="Q191" s="14">
        <v>68.795889333333335</v>
      </c>
      <c r="R191" s="15">
        <v>81.324719209401664</v>
      </c>
      <c r="S191" s="14">
        <v>52.938409436492222</v>
      </c>
      <c r="T191" s="14">
        <v>52.938409436492222</v>
      </c>
      <c r="U191" s="14">
        <v>52.938409436492222</v>
      </c>
      <c r="V191" s="14">
        <v>52.938409436492222</v>
      </c>
      <c r="W191" s="14">
        <v>52.938409436492222</v>
      </c>
      <c r="X191" s="14">
        <v>52.938409436492222</v>
      </c>
      <c r="Y191" s="14">
        <v>52.938409436492222</v>
      </c>
      <c r="Z191" s="14">
        <v>52.938409436492222</v>
      </c>
      <c r="AA191" s="14">
        <v>54.648459444444455</v>
      </c>
      <c r="AB191" s="14">
        <v>63.530929333333333</v>
      </c>
      <c r="AC191" s="14">
        <v>62.102629388888886</v>
      </c>
      <c r="AD191" s="14">
        <v>61.909629388888888</v>
      </c>
      <c r="AE191" s="14">
        <v>62.974459333333343</v>
      </c>
      <c r="AF191" s="14">
        <v>63.649779333333335</v>
      </c>
      <c r="AG191" s="14">
        <v>64.931489333333332</v>
      </c>
      <c r="AH191" s="14">
        <v>68.795889333333335</v>
      </c>
      <c r="AI191" s="15">
        <v>81.324719209401664</v>
      </c>
      <c r="AJ191" s="14">
        <v>65.146489338827777</v>
      </c>
      <c r="AK191" s="14">
        <v>65.146489338827777</v>
      </c>
      <c r="AL191" s="14">
        <v>65.146489338827777</v>
      </c>
      <c r="AM191" s="14">
        <v>65.146489338827777</v>
      </c>
      <c r="AN191" s="14">
        <v>65.146489338827777</v>
      </c>
      <c r="AO191" s="14">
        <v>65.146489338827777</v>
      </c>
      <c r="AP191" s="14">
        <v>65.146489338827777</v>
      </c>
      <c r="AQ191" s="14">
        <v>65.146489338827777</v>
      </c>
      <c r="AR191" s="14">
        <v>68.795889333333335</v>
      </c>
      <c r="AS191" s="14">
        <v>81.324719209401664</v>
      </c>
    </row>
    <row r="192" spans="1:45" x14ac:dyDescent="0.35">
      <c r="A192" s="16">
        <v>5438.3650440000001</v>
      </c>
      <c r="B192" s="14">
        <v>4.0927118277777792</v>
      </c>
      <c r="C192" s="14">
        <v>4.0513598277777794</v>
      </c>
      <c r="D192" s="14">
        <v>4.0496348277777763</v>
      </c>
      <c r="E192" s="14">
        <v>4.0983998277777784</v>
      </c>
      <c r="F192" s="14">
        <v>4.2180208277777789</v>
      </c>
      <c r="G192" s="14">
        <v>4.8774528222222218</v>
      </c>
      <c r="H192" s="14">
        <v>11.620259766666669</v>
      </c>
      <c r="I192" s="14">
        <v>29.288029627777778</v>
      </c>
      <c r="J192" s="14">
        <v>54.273709444444449</v>
      </c>
      <c r="K192" s="14">
        <v>63.453029333333333</v>
      </c>
      <c r="L192" s="14">
        <v>62.071439388888884</v>
      </c>
      <c r="M192" s="14">
        <v>61.865329388888881</v>
      </c>
      <c r="N192" s="14">
        <v>62.929309333333336</v>
      </c>
      <c r="O192" s="14">
        <v>63.60561933333333</v>
      </c>
      <c r="P192" s="14">
        <v>64.889499333333333</v>
      </c>
      <c r="Q192" s="14">
        <v>68.758249333333339</v>
      </c>
      <c r="R192" s="15">
        <v>81.284589209722782</v>
      </c>
      <c r="S192" s="14">
        <v>52.952089436382778</v>
      </c>
      <c r="T192" s="14">
        <v>52.952089436382778</v>
      </c>
      <c r="U192" s="14">
        <v>52.952089436382778</v>
      </c>
      <c r="V192" s="14">
        <v>52.952089436382778</v>
      </c>
      <c r="W192" s="14">
        <v>52.952089436382778</v>
      </c>
      <c r="X192" s="14">
        <v>52.952089436382778</v>
      </c>
      <c r="Y192" s="14">
        <v>52.952089436382778</v>
      </c>
      <c r="Z192" s="14">
        <v>52.952089436382778</v>
      </c>
      <c r="AA192" s="14">
        <v>54.273709444444449</v>
      </c>
      <c r="AB192" s="14">
        <v>63.453029333333333</v>
      </c>
      <c r="AC192" s="14">
        <v>62.071439388888884</v>
      </c>
      <c r="AD192" s="14">
        <v>61.865329388888881</v>
      </c>
      <c r="AE192" s="14">
        <v>62.929309333333336</v>
      </c>
      <c r="AF192" s="14">
        <v>63.60561933333333</v>
      </c>
      <c r="AG192" s="14">
        <v>64.889499333333333</v>
      </c>
      <c r="AH192" s="14">
        <v>68.758249333333339</v>
      </c>
      <c r="AI192" s="15">
        <v>81.284589209722782</v>
      </c>
      <c r="AJ192" s="14">
        <v>65.149279338805556</v>
      </c>
      <c r="AK192" s="14">
        <v>65.149279338805556</v>
      </c>
      <c r="AL192" s="14">
        <v>65.149279338805556</v>
      </c>
      <c r="AM192" s="14">
        <v>65.149279338805556</v>
      </c>
      <c r="AN192" s="14">
        <v>65.149279338805556</v>
      </c>
      <c r="AO192" s="14">
        <v>65.149279338805556</v>
      </c>
      <c r="AP192" s="14">
        <v>65.149279338805556</v>
      </c>
      <c r="AQ192" s="14">
        <v>65.149279338805556</v>
      </c>
      <c r="AR192" s="14">
        <v>68.758249333333339</v>
      </c>
      <c r="AS192" s="14">
        <v>81.284589209722782</v>
      </c>
    </row>
    <row r="193" spans="1:45" x14ac:dyDescent="0.35">
      <c r="A193" s="16">
        <v>5461.0756920000003</v>
      </c>
      <c r="B193" s="14">
        <v>4.0928768277777765</v>
      </c>
      <c r="C193" s="14">
        <v>4.0526428277777766</v>
      </c>
      <c r="D193" s="14">
        <v>4.0500428277777765</v>
      </c>
      <c r="E193" s="14">
        <v>4.0973328277777794</v>
      </c>
      <c r="F193" s="14">
        <v>4.215726827777778</v>
      </c>
      <c r="G193" s="14">
        <v>4.8529878222222207</v>
      </c>
      <c r="H193" s="14">
        <v>11.414349766666668</v>
      </c>
      <c r="I193" s="14">
        <v>28.827719627777778</v>
      </c>
      <c r="J193" s="14">
        <v>53.89485944444445</v>
      </c>
      <c r="K193" s="14">
        <v>63.374759333333337</v>
      </c>
      <c r="L193" s="14">
        <v>62.041809388888886</v>
      </c>
      <c r="M193" s="14">
        <v>61.82266938888889</v>
      </c>
      <c r="N193" s="14">
        <v>62.88575933333334</v>
      </c>
      <c r="O193" s="14">
        <v>63.563069333333338</v>
      </c>
      <c r="P193" s="14">
        <v>64.849129333333337</v>
      </c>
      <c r="Q193" s="14">
        <v>68.722279333333333</v>
      </c>
      <c r="R193" s="15">
        <v>81.246289210029445</v>
      </c>
      <c r="S193" s="14">
        <v>52.863079437095003</v>
      </c>
      <c r="T193" s="14">
        <v>52.863079437095003</v>
      </c>
      <c r="U193" s="14">
        <v>52.863079437095003</v>
      </c>
      <c r="V193" s="14">
        <v>52.863079437095003</v>
      </c>
      <c r="W193" s="14">
        <v>52.863079437095003</v>
      </c>
      <c r="X193" s="14">
        <v>52.863079437095003</v>
      </c>
      <c r="Y193" s="14">
        <v>52.863079437095003</v>
      </c>
      <c r="Z193" s="14">
        <v>52.863079437095003</v>
      </c>
      <c r="AA193" s="14">
        <v>53.89485944444445</v>
      </c>
      <c r="AB193" s="14">
        <v>63.374759333333337</v>
      </c>
      <c r="AC193" s="14">
        <v>62.041809388888886</v>
      </c>
      <c r="AD193" s="14">
        <v>61.82266938888889</v>
      </c>
      <c r="AE193" s="14">
        <v>62.88575933333334</v>
      </c>
      <c r="AF193" s="14">
        <v>63.563069333333338</v>
      </c>
      <c r="AG193" s="14">
        <v>64.849129333333337</v>
      </c>
      <c r="AH193" s="14">
        <v>68.722279333333333</v>
      </c>
      <c r="AI193" s="15">
        <v>81.246289210029445</v>
      </c>
      <c r="AJ193" s="14">
        <v>65.072799339417216</v>
      </c>
      <c r="AK193" s="14">
        <v>65.072799339417216</v>
      </c>
      <c r="AL193" s="14">
        <v>65.072799339417216</v>
      </c>
      <c r="AM193" s="14">
        <v>65.072799339417216</v>
      </c>
      <c r="AN193" s="14">
        <v>65.072799339417216</v>
      </c>
      <c r="AO193" s="14">
        <v>65.072799339417216</v>
      </c>
      <c r="AP193" s="14">
        <v>65.072799339417216</v>
      </c>
      <c r="AQ193" s="14">
        <v>65.072799339417216</v>
      </c>
      <c r="AR193" s="14">
        <v>68.722279333333333</v>
      </c>
      <c r="AS193" s="14">
        <v>81.246289210029445</v>
      </c>
    </row>
    <row r="194" spans="1:45" x14ac:dyDescent="0.35">
      <c r="A194" s="16">
        <v>5483.7878640000008</v>
      </c>
      <c r="B194" s="14">
        <v>4.093305827777777</v>
      </c>
      <c r="C194" s="14">
        <v>4.0537758277777769</v>
      </c>
      <c r="D194" s="14">
        <v>4.0503948277777759</v>
      </c>
      <c r="E194" s="14">
        <v>4.0962308277777773</v>
      </c>
      <c r="F194" s="14">
        <v>4.2133938277777796</v>
      </c>
      <c r="G194" s="14">
        <v>4.8293778222222237</v>
      </c>
      <c r="H194" s="14">
        <v>11.21333977222222</v>
      </c>
      <c r="I194" s="14">
        <v>28.372859633333331</v>
      </c>
      <c r="J194" s="14">
        <v>53.511839444444455</v>
      </c>
      <c r="K194" s="14">
        <v>63.294369333333329</v>
      </c>
      <c r="L194" s="14">
        <v>62.012059388888879</v>
      </c>
      <c r="M194" s="14">
        <v>61.779959388888884</v>
      </c>
      <c r="N194" s="14">
        <v>62.84209933333333</v>
      </c>
      <c r="O194" s="14">
        <v>63.52039933333333</v>
      </c>
      <c r="P194" s="14">
        <v>64.808629333333329</v>
      </c>
      <c r="Q194" s="14">
        <v>68.686209333333338</v>
      </c>
      <c r="R194" s="15">
        <v>81.207859210336679</v>
      </c>
      <c r="S194" s="14">
        <v>52.839549437283331</v>
      </c>
      <c r="T194" s="14">
        <v>52.839549437283331</v>
      </c>
      <c r="U194" s="14">
        <v>52.839549437283331</v>
      </c>
      <c r="V194" s="14">
        <v>52.839549437283331</v>
      </c>
      <c r="W194" s="14">
        <v>52.839549437283331</v>
      </c>
      <c r="X194" s="14">
        <v>52.839549437283331</v>
      </c>
      <c r="Y194" s="14">
        <v>52.839549437283331</v>
      </c>
      <c r="Z194" s="14">
        <v>52.839549437283331</v>
      </c>
      <c r="AA194" s="14">
        <v>53.511839444444455</v>
      </c>
      <c r="AB194" s="14">
        <v>63.294369333333329</v>
      </c>
      <c r="AC194" s="14">
        <v>62.012059388888879</v>
      </c>
      <c r="AD194" s="14">
        <v>61.779959388888884</v>
      </c>
      <c r="AE194" s="14">
        <v>62.84209933333333</v>
      </c>
      <c r="AF194" s="14">
        <v>63.52039933333333</v>
      </c>
      <c r="AG194" s="14">
        <v>64.808629333333329</v>
      </c>
      <c r="AH194" s="14">
        <v>68.686209333333338</v>
      </c>
      <c r="AI194" s="15">
        <v>81.207859210336679</v>
      </c>
      <c r="AJ194" s="14">
        <v>65.043599339651109</v>
      </c>
      <c r="AK194" s="14">
        <v>65.043599339651109</v>
      </c>
      <c r="AL194" s="14">
        <v>65.043599339651109</v>
      </c>
      <c r="AM194" s="14">
        <v>65.043599339651109</v>
      </c>
      <c r="AN194" s="14">
        <v>65.043599339651109</v>
      </c>
      <c r="AO194" s="14">
        <v>65.043599339651109</v>
      </c>
      <c r="AP194" s="14">
        <v>65.043599339651109</v>
      </c>
      <c r="AQ194" s="14">
        <v>65.043599339651109</v>
      </c>
      <c r="AR194" s="14">
        <v>68.686209333333338</v>
      </c>
      <c r="AS194" s="14">
        <v>81.207859210336679</v>
      </c>
    </row>
    <row r="195" spans="1:45" x14ac:dyDescent="0.35">
      <c r="A195" s="16">
        <v>5506.5015600000006</v>
      </c>
      <c r="B195" s="14">
        <v>4.0938418277777764</v>
      </c>
      <c r="C195" s="14">
        <v>4.0547768277777783</v>
      </c>
      <c r="D195" s="14">
        <v>4.0506938277777769</v>
      </c>
      <c r="E195" s="14">
        <v>4.0950948277777774</v>
      </c>
      <c r="F195" s="14">
        <v>4.2110238277777787</v>
      </c>
      <c r="G195" s="14">
        <v>4.8065978222222228</v>
      </c>
      <c r="H195" s="14">
        <v>11.01644977222222</v>
      </c>
      <c r="I195" s="14">
        <v>27.923499638888892</v>
      </c>
      <c r="J195" s="14">
        <v>53.124939444444443</v>
      </c>
      <c r="K195" s="14">
        <v>63.211539333333334</v>
      </c>
      <c r="L195" s="14">
        <v>61.982159388888881</v>
      </c>
      <c r="M195" s="14">
        <v>61.73717938888889</v>
      </c>
      <c r="N195" s="14">
        <v>62.798319333333339</v>
      </c>
      <c r="O195" s="14">
        <v>63.477619333333337</v>
      </c>
      <c r="P195" s="14">
        <v>64.767999333333321</v>
      </c>
      <c r="Q195" s="14">
        <v>68.650029333333336</v>
      </c>
      <c r="R195" s="15">
        <v>81.169309210644997</v>
      </c>
      <c r="S195" s="14">
        <v>52.815059437479448</v>
      </c>
      <c r="T195" s="14">
        <v>52.815059437479448</v>
      </c>
      <c r="U195" s="14">
        <v>52.815059437479448</v>
      </c>
      <c r="V195" s="14">
        <v>52.815059437479448</v>
      </c>
      <c r="W195" s="14">
        <v>52.815059437479448</v>
      </c>
      <c r="X195" s="14">
        <v>52.815059437479448</v>
      </c>
      <c r="Y195" s="14">
        <v>52.815059437479448</v>
      </c>
      <c r="Z195" s="14">
        <v>52.815059437479448</v>
      </c>
      <c r="AA195" s="14">
        <v>53.124939444444443</v>
      </c>
      <c r="AB195" s="14">
        <v>63.211539333333334</v>
      </c>
      <c r="AC195" s="14">
        <v>61.982159388888881</v>
      </c>
      <c r="AD195" s="14">
        <v>61.73717938888889</v>
      </c>
      <c r="AE195" s="14">
        <v>62.798319333333339</v>
      </c>
      <c r="AF195" s="14">
        <v>63.477619333333337</v>
      </c>
      <c r="AG195" s="14">
        <v>64.767999333333321</v>
      </c>
      <c r="AH195" s="14">
        <v>68.650029333333336</v>
      </c>
      <c r="AI195" s="15">
        <v>81.169309210644997</v>
      </c>
      <c r="AJ195" s="14">
        <v>65.01290933989668</v>
      </c>
      <c r="AK195" s="14">
        <v>65.01290933989668</v>
      </c>
      <c r="AL195" s="14">
        <v>65.01290933989668</v>
      </c>
      <c r="AM195" s="14">
        <v>65.01290933989668</v>
      </c>
      <c r="AN195" s="14">
        <v>65.01290933989668</v>
      </c>
      <c r="AO195" s="14">
        <v>65.01290933989668</v>
      </c>
      <c r="AP195" s="14">
        <v>65.01290933989668</v>
      </c>
      <c r="AQ195" s="14">
        <v>65.01290933989668</v>
      </c>
      <c r="AR195" s="14">
        <v>68.650029333333336</v>
      </c>
      <c r="AS195" s="14">
        <v>81.169309210644997</v>
      </c>
    </row>
    <row r="196" spans="1:45" x14ac:dyDescent="0.35">
      <c r="A196" s="16">
        <v>5529.218304</v>
      </c>
      <c r="B196" s="14">
        <v>4.0944788277777793</v>
      </c>
      <c r="C196" s="14">
        <v>4.055669827777777</v>
      </c>
      <c r="D196" s="14">
        <v>4.0509448277777773</v>
      </c>
      <c r="E196" s="14">
        <v>4.0939268277777785</v>
      </c>
      <c r="F196" s="14">
        <v>4.2086158277777761</v>
      </c>
      <c r="G196" s="14">
        <v>4.7846048222222217</v>
      </c>
      <c r="H196" s="14">
        <v>10.824139772222223</v>
      </c>
      <c r="I196" s="14">
        <v>27.479489638888886</v>
      </c>
      <c r="J196" s="14">
        <v>52.73407944444444</v>
      </c>
      <c r="K196" s="14">
        <v>63.126509333333338</v>
      </c>
      <c r="L196" s="14">
        <v>61.952129388888892</v>
      </c>
      <c r="M196" s="14">
        <v>61.694349388888881</v>
      </c>
      <c r="N196" s="14">
        <v>62.754409333333328</v>
      </c>
      <c r="O196" s="14">
        <v>63.434699333333327</v>
      </c>
      <c r="P196" s="14">
        <v>64.727249333333319</v>
      </c>
      <c r="Q196" s="14">
        <v>68.613739333333342</v>
      </c>
      <c r="R196" s="15">
        <v>81.130639210954442</v>
      </c>
      <c r="S196" s="14">
        <v>52.790769437673333</v>
      </c>
      <c r="T196" s="14">
        <v>52.790769437673333</v>
      </c>
      <c r="U196" s="14">
        <v>52.790769437673333</v>
      </c>
      <c r="V196" s="14">
        <v>52.790769437673333</v>
      </c>
      <c r="W196" s="14">
        <v>52.790769437673333</v>
      </c>
      <c r="X196" s="14">
        <v>52.790769437673333</v>
      </c>
      <c r="Y196" s="14">
        <v>52.790769437673333</v>
      </c>
      <c r="Z196" s="14">
        <v>52.790769437673333</v>
      </c>
      <c r="AA196" s="14">
        <v>52.790769437673333</v>
      </c>
      <c r="AB196" s="14">
        <v>63.126509333333338</v>
      </c>
      <c r="AC196" s="14">
        <v>61.952129388888892</v>
      </c>
      <c r="AD196" s="14">
        <v>61.694349388888881</v>
      </c>
      <c r="AE196" s="14">
        <v>62.754409333333328</v>
      </c>
      <c r="AF196" s="14">
        <v>63.434699333333327</v>
      </c>
      <c r="AG196" s="14">
        <v>64.727249333333319</v>
      </c>
      <c r="AH196" s="14">
        <v>68.613739333333342</v>
      </c>
      <c r="AI196" s="15">
        <v>81.130639210954442</v>
      </c>
      <c r="AJ196" s="14">
        <v>64.982449340139993</v>
      </c>
      <c r="AK196" s="14">
        <v>64.982449340139993</v>
      </c>
      <c r="AL196" s="14">
        <v>64.982449340139993</v>
      </c>
      <c r="AM196" s="14">
        <v>64.982449340139993</v>
      </c>
      <c r="AN196" s="14">
        <v>64.982449340139993</v>
      </c>
      <c r="AO196" s="14">
        <v>64.982449340139993</v>
      </c>
      <c r="AP196" s="14">
        <v>64.982449340139993</v>
      </c>
      <c r="AQ196" s="14">
        <v>64.982449340139993</v>
      </c>
      <c r="AR196" s="14">
        <v>68.613739333333342</v>
      </c>
      <c r="AS196" s="14">
        <v>81.130639210954442</v>
      </c>
    </row>
    <row r="197" spans="1:45" x14ac:dyDescent="0.35">
      <c r="A197" s="16">
        <v>5551.9380960000008</v>
      </c>
      <c r="B197" s="14">
        <v>4.0952268277777764</v>
      </c>
      <c r="C197" s="14">
        <v>4.056482827777776</v>
      </c>
      <c r="D197" s="14">
        <v>4.0511488277777765</v>
      </c>
      <c r="E197" s="14">
        <v>4.0927278277777761</v>
      </c>
      <c r="F197" s="14">
        <v>4.206170827777779</v>
      </c>
      <c r="G197" s="14">
        <v>4.7633788222222231</v>
      </c>
      <c r="H197" s="14">
        <v>10.636699772222222</v>
      </c>
      <c r="I197" s="14">
        <v>27.040599644444445</v>
      </c>
      <c r="J197" s="14">
        <v>52.339439444444452</v>
      </c>
      <c r="K197" s="14">
        <v>63.039279333333333</v>
      </c>
      <c r="L197" s="14">
        <v>61.921949388888883</v>
      </c>
      <c r="M197" s="14">
        <v>61.651449388888899</v>
      </c>
      <c r="N197" s="14">
        <v>62.710389333333325</v>
      </c>
      <c r="O197" s="14">
        <v>63.391669333333326</v>
      </c>
      <c r="P197" s="14">
        <v>64.686369333333332</v>
      </c>
      <c r="Q197" s="14">
        <v>68.577349333333331</v>
      </c>
      <c r="R197" s="15">
        <v>81.091849211265</v>
      </c>
      <c r="S197" s="14">
        <v>52.766589437867225</v>
      </c>
      <c r="T197" s="14">
        <v>52.766589437867225</v>
      </c>
      <c r="U197" s="14">
        <v>52.766589437867225</v>
      </c>
      <c r="V197" s="14">
        <v>52.766589437867225</v>
      </c>
      <c r="W197" s="14">
        <v>52.766589437867225</v>
      </c>
      <c r="X197" s="14">
        <v>52.766589437867225</v>
      </c>
      <c r="Y197" s="14">
        <v>52.766589437867225</v>
      </c>
      <c r="Z197" s="14">
        <v>52.766589437867225</v>
      </c>
      <c r="AA197" s="14">
        <v>52.766589437867225</v>
      </c>
      <c r="AB197" s="14">
        <v>63.039279333333333</v>
      </c>
      <c r="AC197" s="14">
        <v>61.921949388888883</v>
      </c>
      <c r="AD197" s="14">
        <v>61.651449388888899</v>
      </c>
      <c r="AE197" s="14">
        <v>62.710389333333325</v>
      </c>
      <c r="AF197" s="14">
        <v>63.391669333333326</v>
      </c>
      <c r="AG197" s="14">
        <v>64.686369333333332</v>
      </c>
      <c r="AH197" s="14">
        <v>68.577349333333331</v>
      </c>
      <c r="AI197" s="15">
        <v>81.091849211265</v>
      </c>
      <c r="AJ197" s="14">
        <v>64.95188934038444</v>
      </c>
      <c r="AK197" s="14">
        <v>64.95188934038444</v>
      </c>
      <c r="AL197" s="14">
        <v>64.95188934038444</v>
      </c>
      <c r="AM197" s="14">
        <v>64.95188934038444</v>
      </c>
      <c r="AN197" s="14">
        <v>64.95188934038444</v>
      </c>
      <c r="AO197" s="14">
        <v>64.95188934038444</v>
      </c>
      <c r="AP197" s="14">
        <v>64.95188934038444</v>
      </c>
      <c r="AQ197" s="14">
        <v>64.95188934038444</v>
      </c>
      <c r="AR197" s="14">
        <v>68.577349333333331</v>
      </c>
      <c r="AS197" s="14">
        <v>81.091849211265</v>
      </c>
    </row>
    <row r="198" spans="1:45" x14ac:dyDescent="0.35">
      <c r="A198" s="16">
        <v>5574.6556020000007</v>
      </c>
      <c r="B198" s="14">
        <v>4.0959398277777801</v>
      </c>
      <c r="C198" s="14">
        <v>4.0573768277777784</v>
      </c>
      <c r="D198" s="14">
        <v>4.0514478277777775</v>
      </c>
      <c r="E198" s="14">
        <v>4.0916418277777762</v>
      </c>
      <c r="F198" s="14">
        <v>4.2038338277777774</v>
      </c>
      <c r="G198" s="14">
        <v>4.7430338222222206</v>
      </c>
      <c r="H198" s="14">
        <v>10.454189777777778</v>
      </c>
      <c r="I198" s="14">
        <v>26.605659644444444</v>
      </c>
      <c r="J198" s="14">
        <v>51.941009444444454</v>
      </c>
      <c r="K198" s="14">
        <v>62.950009333333327</v>
      </c>
      <c r="L198" s="14">
        <v>61.891819388888884</v>
      </c>
      <c r="M198" s="14">
        <v>61.60869938888888</v>
      </c>
      <c r="N198" s="14">
        <v>62.666459333333329</v>
      </c>
      <c r="O198" s="14">
        <v>63.348709333333332</v>
      </c>
      <c r="P198" s="14">
        <v>64.645569333333327</v>
      </c>
      <c r="Q198" s="14">
        <v>68.541049333333333</v>
      </c>
      <c r="R198" s="15">
        <v>81.053169211574456</v>
      </c>
      <c r="S198" s="14">
        <v>52.743239438053891</v>
      </c>
      <c r="T198" s="14">
        <v>52.743239438053891</v>
      </c>
      <c r="U198" s="14">
        <v>52.743239438053891</v>
      </c>
      <c r="V198" s="14">
        <v>52.743239438053891</v>
      </c>
      <c r="W198" s="14">
        <v>52.743239438053891</v>
      </c>
      <c r="X198" s="14">
        <v>52.743239438053891</v>
      </c>
      <c r="Y198" s="14">
        <v>52.743239438053891</v>
      </c>
      <c r="Z198" s="14">
        <v>52.743239438053891</v>
      </c>
      <c r="AA198" s="14">
        <v>52.743239438053891</v>
      </c>
      <c r="AB198" s="14">
        <v>62.950009333333327</v>
      </c>
      <c r="AC198" s="14">
        <v>61.891819388888884</v>
      </c>
      <c r="AD198" s="14">
        <v>61.60869938888888</v>
      </c>
      <c r="AE198" s="14">
        <v>62.666459333333329</v>
      </c>
      <c r="AF198" s="14">
        <v>63.348709333333332</v>
      </c>
      <c r="AG198" s="14">
        <v>64.645569333333327</v>
      </c>
      <c r="AH198" s="14">
        <v>68.541049333333333</v>
      </c>
      <c r="AI198" s="15">
        <v>81.053169211574456</v>
      </c>
      <c r="AJ198" s="14">
        <v>64.921639340626655</v>
      </c>
      <c r="AK198" s="14">
        <v>64.921639340626655</v>
      </c>
      <c r="AL198" s="14">
        <v>64.921639340626655</v>
      </c>
      <c r="AM198" s="14">
        <v>64.921639340626655</v>
      </c>
      <c r="AN198" s="14">
        <v>64.921639340626655</v>
      </c>
      <c r="AO198" s="14">
        <v>64.921639340626655</v>
      </c>
      <c r="AP198" s="14">
        <v>64.921639340626655</v>
      </c>
      <c r="AQ198" s="14">
        <v>64.921639340626655</v>
      </c>
      <c r="AR198" s="14">
        <v>68.541049333333333</v>
      </c>
      <c r="AS198" s="14">
        <v>81.053169211574456</v>
      </c>
    </row>
    <row r="199" spans="1:45" x14ac:dyDescent="0.35">
      <c r="A199" s="16">
        <v>5597.3708219999999</v>
      </c>
      <c r="B199" s="14">
        <v>4.0967238277777795</v>
      </c>
      <c r="C199" s="14">
        <v>4.0583658277777781</v>
      </c>
      <c r="D199" s="14">
        <v>4.0518398277777798</v>
      </c>
      <c r="E199" s="14">
        <v>4.0906688277777787</v>
      </c>
      <c r="F199" s="14">
        <v>4.2016008277777788</v>
      </c>
      <c r="G199" s="14">
        <v>4.7235248222222221</v>
      </c>
      <c r="H199" s="14">
        <v>10.276459777777779</v>
      </c>
      <c r="I199" s="14">
        <v>26.176609649999996</v>
      </c>
      <c r="J199" s="14">
        <v>51.537839444444444</v>
      </c>
      <c r="K199" s="14">
        <v>62.858649333333332</v>
      </c>
      <c r="L199" s="14">
        <v>61.86170938888889</v>
      </c>
      <c r="M199" s="14">
        <v>61.566089388888891</v>
      </c>
      <c r="N199" s="14">
        <v>62.622599333333334</v>
      </c>
      <c r="O199" s="14">
        <v>63.305819333333325</v>
      </c>
      <c r="P199" s="14">
        <v>64.604829333333342</v>
      </c>
      <c r="Q199" s="14">
        <v>68.504859333333329</v>
      </c>
      <c r="R199" s="15">
        <v>81.014589211882765</v>
      </c>
      <c r="S199" s="14">
        <v>52.722279438221669</v>
      </c>
      <c r="T199" s="14">
        <v>52.722279438221669</v>
      </c>
      <c r="U199" s="14">
        <v>52.722279438221669</v>
      </c>
      <c r="V199" s="14">
        <v>52.722279438221669</v>
      </c>
      <c r="W199" s="14">
        <v>52.722279438221669</v>
      </c>
      <c r="X199" s="14">
        <v>52.722279438221669</v>
      </c>
      <c r="Y199" s="14">
        <v>52.722279438221669</v>
      </c>
      <c r="Z199" s="14">
        <v>52.722279438221669</v>
      </c>
      <c r="AA199" s="14">
        <v>52.722279438221669</v>
      </c>
      <c r="AB199" s="14">
        <v>62.858649333333332</v>
      </c>
      <c r="AC199" s="14">
        <v>61.86170938888889</v>
      </c>
      <c r="AD199" s="14">
        <v>61.566089388888891</v>
      </c>
      <c r="AE199" s="14">
        <v>62.622599333333334</v>
      </c>
      <c r="AF199" s="14">
        <v>63.305819333333325</v>
      </c>
      <c r="AG199" s="14">
        <v>64.604829333333342</v>
      </c>
      <c r="AH199" s="14">
        <v>68.504859333333329</v>
      </c>
      <c r="AI199" s="15">
        <v>81.014589211882765</v>
      </c>
      <c r="AJ199" s="14">
        <v>64.892079340863319</v>
      </c>
      <c r="AK199" s="14">
        <v>64.892079340863319</v>
      </c>
      <c r="AL199" s="14">
        <v>64.892079340863319</v>
      </c>
      <c r="AM199" s="14">
        <v>64.892079340863319</v>
      </c>
      <c r="AN199" s="14">
        <v>64.892079340863319</v>
      </c>
      <c r="AO199" s="14">
        <v>64.892079340863319</v>
      </c>
      <c r="AP199" s="14">
        <v>64.892079340863319</v>
      </c>
      <c r="AQ199" s="14">
        <v>64.892079340863319</v>
      </c>
      <c r="AR199" s="14">
        <v>68.504859333333329</v>
      </c>
      <c r="AS199" s="14">
        <v>81.014589211882765</v>
      </c>
    </row>
    <row r="200" spans="1:45" x14ac:dyDescent="0.35">
      <c r="A200" s="16">
        <v>5620.1561460000003</v>
      </c>
      <c r="B200" s="14">
        <v>4.1000268277777767</v>
      </c>
      <c r="C200" s="14">
        <v>4.0573508277777783</v>
      </c>
      <c r="D200" s="14">
        <v>4.0502528277777792</v>
      </c>
      <c r="E200" s="14">
        <v>4.0875228277777769</v>
      </c>
      <c r="F200" s="14">
        <v>4.1971648277777778</v>
      </c>
      <c r="G200" s="14">
        <v>4.7024168222222213</v>
      </c>
      <c r="H200" s="14">
        <v>10.100019777777776</v>
      </c>
      <c r="I200" s="14">
        <v>25.748359655555557</v>
      </c>
      <c r="J200" s="14">
        <v>51.126389444444449</v>
      </c>
      <c r="K200" s="14">
        <v>62.761639333333328</v>
      </c>
      <c r="L200" s="14">
        <v>61.828469388888898</v>
      </c>
      <c r="M200" s="14">
        <v>61.520379388888891</v>
      </c>
      <c r="N200" s="14">
        <v>62.575539333333332</v>
      </c>
      <c r="O200" s="14">
        <v>63.259599333333341</v>
      </c>
      <c r="P200" s="14">
        <v>64.560879333333332</v>
      </c>
      <c r="Q200" s="14">
        <v>68.465429333333333</v>
      </c>
      <c r="R200" s="15">
        <v>80.972489212219998</v>
      </c>
      <c r="S200" s="14">
        <v>52.705359438356666</v>
      </c>
      <c r="T200" s="14">
        <v>52.705359438356666</v>
      </c>
      <c r="U200" s="14">
        <v>52.705359438356666</v>
      </c>
      <c r="V200" s="14">
        <v>52.705359438356666</v>
      </c>
      <c r="W200" s="14">
        <v>52.705359438356666</v>
      </c>
      <c r="X200" s="14">
        <v>52.705359438356666</v>
      </c>
      <c r="Y200" s="14">
        <v>52.705359438356666</v>
      </c>
      <c r="Z200" s="14">
        <v>52.705359438356666</v>
      </c>
      <c r="AA200" s="14">
        <v>52.705359438356666</v>
      </c>
      <c r="AB200" s="14">
        <v>62.761639333333328</v>
      </c>
      <c r="AC200" s="14">
        <v>61.828469388888898</v>
      </c>
      <c r="AD200" s="14">
        <v>61.520379388888891</v>
      </c>
      <c r="AE200" s="14">
        <v>62.575539333333332</v>
      </c>
      <c r="AF200" s="14">
        <v>63.259599333333341</v>
      </c>
      <c r="AG200" s="14">
        <v>64.560879333333332</v>
      </c>
      <c r="AH200" s="14">
        <v>68.465429333333333</v>
      </c>
      <c r="AI200" s="15">
        <v>80.972489212219998</v>
      </c>
      <c r="AJ200" s="14">
        <v>64.862349341101108</v>
      </c>
      <c r="AK200" s="14">
        <v>64.862349341101108</v>
      </c>
      <c r="AL200" s="14">
        <v>64.862349341101108</v>
      </c>
      <c r="AM200" s="14">
        <v>64.862349341101108</v>
      </c>
      <c r="AN200" s="14">
        <v>64.862349341101108</v>
      </c>
      <c r="AO200" s="14">
        <v>64.862349341101108</v>
      </c>
      <c r="AP200" s="14">
        <v>64.862349341101108</v>
      </c>
      <c r="AQ200" s="14">
        <v>64.862349341101108</v>
      </c>
      <c r="AR200" s="14">
        <v>68.465429333333333</v>
      </c>
      <c r="AS200" s="14">
        <v>80.972489212219998</v>
      </c>
    </row>
    <row r="201" spans="1:45" x14ac:dyDescent="0.35">
      <c r="A201" s="16">
        <v>5643.011574000001</v>
      </c>
      <c r="B201" s="14">
        <v>4.1056698277777786</v>
      </c>
      <c r="C201" s="14">
        <v>4.0544828277777771</v>
      </c>
      <c r="D201" s="14">
        <v>4.0466148277777787</v>
      </c>
      <c r="E201" s="14">
        <v>4.0822388277777772</v>
      </c>
      <c r="F201" s="14">
        <v>4.1905608277777793</v>
      </c>
      <c r="G201" s="14">
        <v>4.6798468222222231</v>
      </c>
      <c r="H201" s="14">
        <v>9.9259177833333343</v>
      </c>
      <c r="I201" s="14">
        <v>25.323589655555551</v>
      </c>
      <c r="J201" s="14">
        <v>50.709269444444445</v>
      </c>
      <c r="K201" s="14">
        <v>62.659519333333328</v>
      </c>
      <c r="L201" s="14">
        <v>61.792259388888887</v>
      </c>
      <c r="M201" s="14">
        <v>61.471839388888888</v>
      </c>
      <c r="N201" s="14">
        <v>62.525569333333323</v>
      </c>
      <c r="O201" s="14">
        <v>63.210369333333333</v>
      </c>
      <c r="P201" s="14">
        <v>64.513969333333335</v>
      </c>
      <c r="Q201" s="14">
        <v>68.423019333333343</v>
      </c>
      <c r="R201" s="15">
        <v>80.92712921258277</v>
      </c>
      <c r="S201" s="14">
        <v>52.700129438398889</v>
      </c>
      <c r="T201" s="14">
        <v>52.700129438398889</v>
      </c>
      <c r="U201" s="14">
        <v>52.700129438398889</v>
      </c>
      <c r="V201" s="14">
        <v>52.700129438398889</v>
      </c>
      <c r="W201" s="14">
        <v>52.700129438398889</v>
      </c>
      <c r="X201" s="14">
        <v>52.700129438398889</v>
      </c>
      <c r="Y201" s="14">
        <v>52.700129438398889</v>
      </c>
      <c r="Z201" s="14">
        <v>52.700129438398889</v>
      </c>
      <c r="AA201" s="14">
        <v>52.700129438398889</v>
      </c>
      <c r="AB201" s="14">
        <v>62.659519333333328</v>
      </c>
      <c r="AC201" s="14">
        <v>61.792259388888887</v>
      </c>
      <c r="AD201" s="14">
        <v>61.471839388888888</v>
      </c>
      <c r="AE201" s="14">
        <v>62.525569333333323</v>
      </c>
      <c r="AF201" s="14">
        <v>63.210369333333333</v>
      </c>
      <c r="AG201" s="14">
        <v>64.513969333333335</v>
      </c>
      <c r="AH201" s="14">
        <v>68.423019333333343</v>
      </c>
      <c r="AI201" s="15">
        <v>80.92712921258277</v>
      </c>
      <c r="AJ201" s="14">
        <v>64.838919341288317</v>
      </c>
      <c r="AK201" s="14">
        <v>64.838919341288317</v>
      </c>
      <c r="AL201" s="14">
        <v>64.838919341288317</v>
      </c>
      <c r="AM201" s="14">
        <v>64.838919341288317</v>
      </c>
      <c r="AN201" s="14">
        <v>64.838919341288317</v>
      </c>
      <c r="AO201" s="14">
        <v>64.838919341288317</v>
      </c>
      <c r="AP201" s="14">
        <v>64.838919341288317</v>
      </c>
      <c r="AQ201" s="14">
        <v>64.838919341288317</v>
      </c>
      <c r="AR201" s="14">
        <v>68.423019333333343</v>
      </c>
      <c r="AS201" s="14">
        <v>80.92712921258277</v>
      </c>
    </row>
    <row r="202" spans="1:45" x14ac:dyDescent="0.35">
      <c r="A202" s="16">
        <v>5665.8014700000003</v>
      </c>
      <c r="B202" s="14">
        <v>4.1088128277777773</v>
      </c>
      <c r="C202" s="14">
        <v>4.0540398277777792</v>
      </c>
      <c r="D202" s="14">
        <v>4.0451198277777793</v>
      </c>
      <c r="E202" s="14">
        <v>4.0791828277777773</v>
      </c>
      <c r="F202" s="14">
        <v>4.1861618277777763</v>
      </c>
      <c r="G202" s="14">
        <v>4.6602408222222245</v>
      </c>
      <c r="H202" s="14">
        <v>9.7593417833333334</v>
      </c>
      <c r="I202" s="14">
        <v>24.909239661111105</v>
      </c>
      <c r="J202" s="14">
        <v>50.294189444444442</v>
      </c>
      <c r="K202" s="14">
        <v>62.558379333333328</v>
      </c>
      <c r="L202" s="14">
        <v>61.758919388888899</v>
      </c>
      <c r="M202" s="14">
        <v>61.426359388888891</v>
      </c>
      <c r="N202" s="14">
        <v>62.478629333333323</v>
      </c>
      <c r="O202" s="14">
        <v>63.164189333333333</v>
      </c>
      <c r="P202" s="14">
        <v>64.470099333333337</v>
      </c>
      <c r="Q202" s="14">
        <v>68.383629333333332</v>
      </c>
      <c r="R202" s="15">
        <v>80.885129212918898</v>
      </c>
      <c r="S202" s="14">
        <v>52.724329438204997</v>
      </c>
      <c r="T202" s="14">
        <v>52.724329438204997</v>
      </c>
      <c r="U202" s="14">
        <v>52.724329438204997</v>
      </c>
      <c r="V202" s="14">
        <v>52.724329438204997</v>
      </c>
      <c r="W202" s="14">
        <v>52.724329438204997</v>
      </c>
      <c r="X202" s="14">
        <v>52.724329438204997</v>
      </c>
      <c r="Y202" s="14">
        <v>52.724329438204997</v>
      </c>
      <c r="Z202" s="14">
        <v>52.724329438204997</v>
      </c>
      <c r="AA202" s="14">
        <v>52.724329438204997</v>
      </c>
      <c r="AB202" s="14">
        <v>62.558379333333328</v>
      </c>
      <c r="AC202" s="14">
        <v>61.758919388888899</v>
      </c>
      <c r="AD202" s="14">
        <v>61.426359388888891</v>
      </c>
      <c r="AE202" s="14">
        <v>62.478629333333323</v>
      </c>
      <c r="AF202" s="14">
        <v>63.164189333333333</v>
      </c>
      <c r="AG202" s="14">
        <v>64.470099333333337</v>
      </c>
      <c r="AH202" s="14">
        <v>68.383629333333332</v>
      </c>
      <c r="AI202" s="15">
        <v>80.885129212918898</v>
      </c>
      <c r="AJ202" s="14">
        <v>64.847829341217221</v>
      </c>
      <c r="AK202" s="14">
        <v>64.847829341217221</v>
      </c>
      <c r="AL202" s="14">
        <v>64.847829341217221</v>
      </c>
      <c r="AM202" s="14">
        <v>64.847829341217221</v>
      </c>
      <c r="AN202" s="14">
        <v>64.847829341217221</v>
      </c>
      <c r="AO202" s="14">
        <v>64.847829341217221</v>
      </c>
      <c r="AP202" s="14">
        <v>64.847829341217221</v>
      </c>
      <c r="AQ202" s="14">
        <v>64.847829341217221</v>
      </c>
      <c r="AR202" s="14">
        <v>68.383629333333332</v>
      </c>
      <c r="AS202" s="14">
        <v>80.885129212918898</v>
      </c>
    </row>
    <row r="203" spans="1:45" x14ac:dyDescent="0.35">
      <c r="A203" s="16">
        <v>5688.5258340000009</v>
      </c>
      <c r="B203" s="14">
        <v>4.1094928277777774</v>
      </c>
      <c r="C203" s="14">
        <v>4.0557728277777763</v>
      </c>
      <c r="D203" s="14">
        <v>4.0458148277777779</v>
      </c>
      <c r="E203" s="14">
        <v>4.0782928277777781</v>
      </c>
      <c r="F203" s="14">
        <v>4.1839018277777775</v>
      </c>
      <c r="G203" s="14">
        <v>4.6433748222222233</v>
      </c>
      <c r="H203" s="14">
        <v>9.5991717833333361</v>
      </c>
      <c r="I203" s="14">
        <v>24.501449666666669</v>
      </c>
      <c r="J203" s="14">
        <v>49.878769444444444</v>
      </c>
      <c r="K203" s="14">
        <v>62.457569333333332</v>
      </c>
      <c r="L203" s="14">
        <v>61.728209388888885</v>
      </c>
      <c r="M203" s="14">
        <v>61.383669388888883</v>
      </c>
      <c r="N203" s="14">
        <v>62.434429333333327</v>
      </c>
      <c r="O203" s="14">
        <v>63.120759333333339</v>
      </c>
      <c r="P203" s="14">
        <v>64.428999333333337</v>
      </c>
      <c r="Q203" s="14">
        <v>68.347099333333347</v>
      </c>
      <c r="R203" s="15">
        <v>80.846249213229441</v>
      </c>
      <c r="S203" s="14">
        <v>52.616269439069441</v>
      </c>
      <c r="T203" s="14">
        <v>52.616269439069441</v>
      </c>
      <c r="U203" s="14">
        <v>52.616269439069441</v>
      </c>
      <c r="V203" s="14">
        <v>52.616269439069441</v>
      </c>
      <c r="W203" s="14">
        <v>52.616269439069441</v>
      </c>
      <c r="X203" s="14">
        <v>52.616269439069441</v>
      </c>
      <c r="Y203" s="14">
        <v>52.616269439069441</v>
      </c>
      <c r="Z203" s="14">
        <v>52.616269439069441</v>
      </c>
      <c r="AA203" s="14">
        <v>52.616269439069441</v>
      </c>
      <c r="AB203" s="14">
        <v>62.457569333333332</v>
      </c>
      <c r="AC203" s="14">
        <v>61.728209388888885</v>
      </c>
      <c r="AD203" s="14">
        <v>61.383669388888883</v>
      </c>
      <c r="AE203" s="14">
        <v>62.434429333333327</v>
      </c>
      <c r="AF203" s="14">
        <v>63.120759333333339</v>
      </c>
      <c r="AG203" s="14">
        <v>64.428999333333337</v>
      </c>
      <c r="AH203" s="14">
        <v>68.347099333333347</v>
      </c>
      <c r="AI203" s="15">
        <v>80.846249213229441</v>
      </c>
      <c r="AJ203" s="14">
        <v>64.76073934191389</v>
      </c>
      <c r="AK203" s="14">
        <v>64.76073934191389</v>
      </c>
      <c r="AL203" s="14">
        <v>64.76073934191389</v>
      </c>
      <c r="AM203" s="14">
        <v>64.76073934191389</v>
      </c>
      <c r="AN203" s="14">
        <v>64.76073934191389</v>
      </c>
      <c r="AO203" s="14">
        <v>64.76073934191389</v>
      </c>
      <c r="AP203" s="14">
        <v>64.76073934191389</v>
      </c>
      <c r="AQ203" s="14">
        <v>64.76073934191389</v>
      </c>
      <c r="AR203" s="14">
        <v>68.347099333333347</v>
      </c>
      <c r="AS203" s="14">
        <v>80.846249213229441</v>
      </c>
    </row>
    <row r="204" spans="1:45" x14ac:dyDescent="0.35">
      <c r="A204" s="16">
        <v>5711.251722</v>
      </c>
      <c r="B204" s="14">
        <v>4.1104268277777773</v>
      </c>
      <c r="C204" s="14">
        <v>4.0574888277777772</v>
      </c>
      <c r="D204" s="14">
        <v>4.0465188277777777</v>
      </c>
      <c r="E204" s="14">
        <v>4.0774308277777784</v>
      </c>
      <c r="F204" s="14">
        <v>4.1816578277777774</v>
      </c>
      <c r="G204" s="14">
        <v>4.6271228222222209</v>
      </c>
      <c r="H204" s="14">
        <v>9.4431467833333365</v>
      </c>
      <c r="I204" s="14">
        <v>24.098909666666664</v>
      </c>
      <c r="J204" s="14">
        <v>49.459409444444447</v>
      </c>
      <c r="K204" s="14">
        <v>62.354339388888889</v>
      </c>
      <c r="L204" s="14">
        <v>61.697359388888877</v>
      </c>
      <c r="M204" s="14">
        <v>61.340999388888882</v>
      </c>
      <c r="N204" s="14">
        <v>62.390179333333336</v>
      </c>
      <c r="O204" s="14">
        <v>63.077289333333333</v>
      </c>
      <c r="P204" s="14">
        <v>64.387839333333346</v>
      </c>
      <c r="Q204" s="14">
        <v>68.310539333333338</v>
      </c>
      <c r="R204" s="15">
        <v>80.807339213541113</v>
      </c>
      <c r="S204" s="14">
        <v>52.592989439256115</v>
      </c>
      <c r="T204" s="14">
        <v>52.592989439256115</v>
      </c>
      <c r="U204" s="14">
        <v>52.592989439256115</v>
      </c>
      <c r="V204" s="14">
        <v>52.592989439256115</v>
      </c>
      <c r="W204" s="14">
        <v>52.592989439256115</v>
      </c>
      <c r="X204" s="14">
        <v>52.592989439256115</v>
      </c>
      <c r="Y204" s="14">
        <v>52.592989439256115</v>
      </c>
      <c r="Z204" s="14">
        <v>52.592989439256115</v>
      </c>
      <c r="AA204" s="14">
        <v>52.592989439256115</v>
      </c>
      <c r="AB204" s="14">
        <v>62.354339388888889</v>
      </c>
      <c r="AC204" s="14">
        <v>61.697359388888877</v>
      </c>
      <c r="AD204" s="14">
        <v>61.340999388888882</v>
      </c>
      <c r="AE204" s="14">
        <v>62.390179333333336</v>
      </c>
      <c r="AF204" s="14">
        <v>63.077289333333333</v>
      </c>
      <c r="AG204" s="14">
        <v>64.387839333333346</v>
      </c>
      <c r="AH204" s="14">
        <v>68.310539333333338</v>
      </c>
      <c r="AI204" s="15">
        <v>80.807339213541113</v>
      </c>
      <c r="AJ204" s="14">
        <v>64.731719342146107</v>
      </c>
      <c r="AK204" s="14">
        <v>64.731719342146107</v>
      </c>
      <c r="AL204" s="14">
        <v>64.731719342146107</v>
      </c>
      <c r="AM204" s="14">
        <v>64.731719342146107</v>
      </c>
      <c r="AN204" s="14">
        <v>64.731719342146107</v>
      </c>
      <c r="AO204" s="14">
        <v>64.731719342146107</v>
      </c>
      <c r="AP204" s="14">
        <v>64.731719342146107</v>
      </c>
      <c r="AQ204" s="14">
        <v>64.731719342146107</v>
      </c>
      <c r="AR204" s="14">
        <v>68.310539333333338</v>
      </c>
      <c r="AS204" s="14">
        <v>80.807339213541113</v>
      </c>
    </row>
    <row r="205" spans="1:45" x14ac:dyDescent="0.35">
      <c r="A205" s="16">
        <v>5733.9791340000011</v>
      </c>
      <c r="B205" s="14">
        <v>4.11139882777778</v>
      </c>
      <c r="C205" s="14">
        <v>4.0591678277777792</v>
      </c>
      <c r="D205" s="14">
        <v>4.0472298277777776</v>
      </c>
      <c r="E205" s="14">
        <v>4.0765978277777783</v>
      </c>
      <c r="F205" s="14">
        <v>4.1794288277777785</v>
      </c>
      <c r="G205" s="14">
        <v>4.6114648222222208</v>
      </c>
      <c r="H205" s="14">
        <v>9.2911967833333335</v>
      </c>
      <c r="I205" s="14">
        <v>23.70232967222222</v>
      </c>
      <c r="J205" s="14">
        <v>49.03699944444444</v>
      </c>
      <c r="K205" s="14">
        <v>62.248649388888879</v>
      </c>
      <c r="L205" s="14">
        <v>61.666369388888889</v>
      </c>
      <c r="M205" s="14">
        <v>61.298349388888887</v>
      </c>
      <c r="N205" s="14">
        <v>62.345879388888889</v>
      </c>
      <c r="O205" s="14">
        <v>63.033769333333339</v>
      </c>
      <c r="P205" s="14">
        <v>64.346629333333325</v>
      </c>
      <c r="Q205" s="14">
        <v>68.27394933333332</v>
      </c>
      <c r="R205" s="15">
        <v>80.768409213852209</v>
      </c>
      <c r="S205" s="14">
        <v>52.568279439453335</v>
      </c>
      <c r="T205" s="14">
        <v>52.568279439453335</v>
      </c>
      <c r="U205" s="14">
        <v>52.568279439453335</v>
      </c>
      <c r="V205" s="14">
        <v>52.568279439453335</v>
      </c>
      <c r="W205" s="14">
        <v>52.568279439453335</v>
      </c>
      <c r="X205" s="14">
        <v>52.568279439453335</v>
      </c>
      <c r="Y205" s="14">
        <v>52.568279439453335</v>
      </c>
      <c r="Z205" s="14">
        <v>52.568279439453335</v>
      </c>
      <c r="AA205" s="14">
        <v>52.568279439453335</v>
      </c>
      <c r="AB205" s="14">
        <v>62.248649388888879</v>
      </c>
      <c r="AC205" s="14">
        <v>61.666369388888889</v>
      </c>
      <c r="AD205" s="14">
        <v>61.298349388888887</v>
      </c>
      <c r="AE205" s="14">
        <v>62.345879388888889</v>
      </c>
      <c r="AF205" s="14">
        <v>63.033769333333339</v>
      </c>
      <c r="AG205" s="14">
        <v>64.346629333333325</v>
      </c>
      <c r="AH205" s="14">
        <v>68.27394933333332</v>
      </c>
      <c r="AI205" s="15">
        <v>80.768409213852209</v>
      </c>
      <c r="AJ205" s="14">
        <v>64.700659342394445</v>
      </c>
      <c r="AK205" s="14">
        <v>64.700659342394445</v>
      </c>
      <c r="AL205" s="14">
        <v>64.700659342394445</v>
      </c>
      <c r="AM205" s="14">
        <v>64.700659342394445</v>
      </c>
      <c r="AN205" s="14">
        <v>64.700659342394445</v>
      </c>
      <c r="AO205" s="14">
        <v>64.700659342394445</v>
      </c>
      <c r="AP205" s="14">
        <v>64.700659342394445</v>
      </c>
      <c r="AQ205" s="14">
        <v>64.700659342394445</v>
      </c>
      <c r="AR205" s="14">
        <v>68.27394933333332</v>
      </c>
      <c r="AS205" s="14">
        <v>80.768409213852209</v>
      </c>
    </row>
    <row r="206" spans="1:45" x14ac:dyDescent="0.35">
      <c r="A206" s="16">
        <v>5756.7088320000003</v>
      </c>
      <c r="B206" s="14">
        <v>4.112425827777777</v>
      </c>
      <c r="C206" s="14">
        <v>4.0607828277777793</v>
      </c>
      <c r="D206" s="14">
        <v>4.0479328277777782</v>
      </c>
      <c r="E206" s="14">
        <v>4.0757768277777764</v>
      </c>
      <c r="F206" s="14">
        <v>4.1771988277777794</v>
      </c>
      <c r="G206" s="14">
        <v>4.5963558222222209</v>
      </c>
      <c r="H206" s="14">
        <v>9.1431797888888902</v>
      </c>
      <c r="I206" s="14">
        <v>23.311549672222228</v>
      </c>
      <c r="J206" s="14">
        <v>48.612319444444438</v>
      </c>
      <c r="K206" s="14">
        <v>62.140419388888894</v>
      </c>
      <c r="L206" s="14">
        <v>61.635189388888904</v>
      </c>
      <c r="M206" s="14">
        <v>61.255689388888896</v>
      </c>
      <c r="N206" s="14">
        <v>62.301519388888892</v>
      </c>
      <c r="O206" s="14">
        <v>62.99017933333333</v>
      </c>
      <c r="P206" s="14">
        <v>64.305349333333339</v>
      </c>
      <c r="Q206" s="14">
        <v>68.23729933333334</v>
      </c>
      <c r="R206" s="15">
        <v>80.729429214164441</v>
      </c>
      <c r="S206" s="14">
        <v>52.54402943964778</v>
      </c>
      <c r="T206" s="14">
        <v>52.54402943964778</v>
      </c>
      <c r="U206" s="14">
        <v>52.54402943964778</v>
      </c>
      <c r="V206" s="14">
        <v>52.54402943964778</v>
      </c>
      <c r="W206" s="14">
        <v>52.54402943964778</v>
      </c>
      <c r="X206" s="14">
        <v>52.54402943964778</v>
      </c>
      <c r="Y206" s="14">
        <v>52.54402943964778</v>
      </c>
      <c r="Z206" s="14">
        <v>52.54402943964778</v>
      </c>
      <c r="AA206" s="14">
        <v>52.54402943964778</v>
      </c>
      <c r="AB206" s="14">
        <v>62.140419388888894</v>
      </c>
      <c r="AC206" s="14">
        <v>61.635189388888904</v>
      </c>
      <c r="AD206" s="14">
        <v>61.255689388888896</v>
      </c>
      <c r="AE206" s="14">
        <v>62.301519388888892</v>
      </c>
      <c r="AF206" s="14">
        <v>62.99017933333333</v>
      </c>
      <c r="AG206" s="14">
        <v>64.305349333333339</v>
      </c>
      <c r="AH206" s="14">
        <v>68.23729933333334</v>
      </c>
      <c r="AI206" s="15">
        <v>80.729429214164441</v>
      </c>
      <c r="AJ206" s="14">
        <v>64.670219342637765</v>
      </c>
      <c r="AK206" s="14">
        <v>64.670219342637765</v>
      </c>
      <c r="AL206" s="14">
        <v>64.670219342637765</v>
      </c>
      <c r="AM206" s="14">
        <v>64.670219342637765</v>
      </c>
      <c r="AN206" s="14">
        <v>64.670219342637765</v>
      </c>
      <c r="AO206" s="14">
        <v>64.670219342637765</v>
      </c>
      <c r="AP206" s="14">
        <v>64.670219342637765</v>
      </c>
      <c r="AQ206" s="14">
        <v>64.670219342637765</v>
      </c>
      <c r="AR206" s="14">
        <v>68.23729933333334</v>
      </c>
      <c r="AS206" s="14">
        <v>80.729429214164441</v>
      </c>
    </row>
    <row r="207" spans="1:45" x14ac:dyDescent="0.35">
      <c r="A207" s="16">
        <v>5779.4408159999994</v>
      </c>
      <c r="B207" s="14">
        <v>4.1135008277777789</v>
      </c>
      <c r="C207" s="14">
        <v>4.0623338277777776</v>
      </c>
      <c r="D207" s="14">
        <v>4.0486278277777759</v>
      </c>
      <c r="E207" s="14">
        <v>4.074967827777777</v>
      </c>
      <c r="F207" s="14">
        <v>4.1749678277777766</v>
      </c>
      <c r="G207" s="14">
        <v>4.5817778222222216</v>
      </c>
      <c r="H207" s="14">
        <v>8.9990267888888908</v>
      </c>
      <c r="I207" s="14">
        <v>22.926549677777775</v>
      </c>
      <c r="J207" s="14">
        <v>48.185519499999998</v>
      </c>
      <c r="K207" s="14">
        <v>62.029629388888893</v>
      </c>
      <c r="L207" s="14">
        <v>61.60382938888889</v>
      </c>
      <c r="M207" s="14">
        <v>61.213039388888888</v>
      </c>
      <c r="N207" s="14">
        <v>62.257089388888893</v>
      </c>
      <c r="O207" s="14">
        <v>62.946519333333335</v>
      </c>
      <c r="P207" s="14">
        <v>64.263989333333328</v>
      </c>
      <c r="Q207" s="14">
        <v>68.200599333333329</v>
      </c>
      <c r="R207" s="15">
        <v>80.690419214476108</v>
      </c>
      <c r="S207" s="14">
        <v>52.519619439842778</v>
      </c>
      <c r="T207" s="14">
        <v>52.519619439842778</v>
      </c>
      <c r="U207" s="14">
        <v>52.519619439842778</v>
      </c>
      <c r="V207" s="14">
        <v>52.519619439842778</v>
      </c>
      <c r="W207" s="14">
        <v>52.519619439842778</v>
      </c>
      <c r="X207" s="14">
        <v>52.519619439842778</v>
      </c>
      <c r="Y207" s="14">
        <v>52.519619439842778</v>
      </c>
      <c r="Z207" s="14">
        <v>52.519619439842778</v>
      </c>
      <c r="AA207" s="14">
        <v>52.519619439842778</v>
      </c>
      <c r="AB207" s="14">
        <v>62.029629388888893</v>
      </c>
      <c r="AC207" s="14">
        <v>61.60382938888889</v>
      </c>
      <c r="AD207" s="14">
        <v>61.213039388888888</v>
      </c>
      <c r="AE207" s="14">
        <v>62.257089388888893</v>
      </c>
      <c r="AF207" s="14">
        <v>62.946519333333335</v>
      </c>
      <c r="AG207" s="14">
        <v>64.263989333333328</v>
      </c>
      <c r="AH207" s="14">
        <v>68.200599333333329</v>
      </c>
      <c r="AI207" s="15">
        <v>80.690419214476108</v>
      </c>
      <c r="AJ207" s="14">
        <v>64.639559342883331</v>
      </c>
      <c r="AK207" s="14">
        <v>64.639559342883331</v>
      </c>
      <c r="AL207" s="14">
        <v>64.639559342883331</v>
      </c>
      <c r="AM207" s="14">
        <v>64.639559342883331</v>
      </c>
      <c r="AN207" s="14">
        <v>64.639559342883331</v>
      </c>
      <c r="AO207" s="14">
        <v>64.639559342883331</v>
      </c>
      <c r="AP207" s="14">
        <v>64.639559342883331</v>
      </c>
      <c r="AQ207" s="14">
        <v>64.639559342883331</v>
      </c>
      <c r="AR207" s="14">
        <v>68.200599333333329</v>
      </c>
      <c r="AS207" s="14">
        <v>80.690419214476108</v>
      </c>
    </row>
    <row r="208" spans="1:45" x14ac:dyDescent="0.35">
      <c r="A208" s="16">
        <v>5802.1674659999999</v>
      </c>
      <c r="B208" s="14">
        <v>4.1144418277777781</v>
      </c>
      <c r="C208" s="14">
        <v>4.0639858277777758</v>
      </c>
      <c r="D208" s="14">
        <v>4.0494748277777779</v>
      </c>
      <c r="E208" s="14">
        <v>4.0743378277777769</v>
      </c>
      <c r="F208" s="14">
        <v>4.1729038277777795</v>
      </c>
      <c r="G208" s="14">
        <v>4.5678848222222221</v>
      </c>
      <c r="H208" s="14">
        <v>8.8586617888888881</v>
      </c>
      <c r="I208" s="14">
        <v>22.547469677777777</v>
      </c>
      <c r="J208" s="14">
        <v>47.7570695</v>
      </c>
      <c r="K208" s="14">
        <v>61.91650938888889</v>
      </c>
      <c r="L208" s="14">
        <v>61.5724993888889</v>
      </c>
      <c r="M208" s="14">
        <v>61.17063938888888</v>
      </c>
      <c r="N208" s="14">
        <v>62.212839388888902</v>
      </c>
      <c r="O208" s="14">
        <v>62.903039333333339</v>
      </c>
      <c r="P208" s="14">
        <v>64.222799333333327</v>
      </c>
      <c r="Q208" s="14">
        <v>68.164109333333329</v>
      </c>
      <c r="R208" s="15">
        <v>80.651629214786681</v>
      </c>
      <c r="S208" s="14">
        <v>52.49540944003666</v>
      </c>
      <c r="T208" s="14">
        <v>52.49540944003666</v>
      </c>
      <c r="U208" s="14">
        <v>52.49540944003666</v>
      </c>
      <c r="V208" s="14">
        <v>52.49540944003666</v>
      </c>
      <c r="W208" s="14">
        <v>52.49540944003666</v>
      </c>
      <c r="X208" s="14">
        <v>52.49540944003666</v>
      </c>
      <c r="Y208" s="14">
        <v>52.49540944003666</v>
      </c>
      <c r="Z208" s="14">
        <v>52.49540944003666</v>
      </c>
      <c r="AA208" s="14">
        <v>52.49540944003666</v>
      </c>
      <c r="AB208" s="14">
        <v>61.91650938888889</v>
      </c>
      <c r="AC208" s="14">
        <v>61.5724993888889</v>
      </c>
      <c r="AD208" s="14">
        <v>61.17063938888888</v>
      </c>
      <c r="AE208" s="14">
        <v>62.212839388888902</v>
      </c>
      <c r="AF208" s="14">
        <v>62.903039333333339</v>
      </c>
      <c r="AG208" s="14">
        <v>64.222799333333327</v>
      </c>
      <c r="AH208" s="14">
        <v>68.164109333333329</v>
      </c>
      <c r="AI208" s="15">
        <v>80.651629214786681</v>
      </c>
      <c r="AJ208" s="14">
        <v>64.609209343126111</v>
      </c>
      <c r="AK208" s="14">
        <v>64.609209343126111</v>
      </c>
      <c r="AL208" s="14">
        <v>64.609209343126111</v>
      </c>
      <c r="AM208" s="14">
        <v>64.609209343126111</v>
      </c>
      <c r="AN208" s="14">
        <v>64.609209343126111</v>
      </c>
      <c r="AO208" s="14">
        <v>64.609209343126111</v>
      </c>
      <c r="AP208" s="14">
        <v>64.609209343126111</v>
      </c>
      <c r="AQ208" s="14">
        <v>64.609209343126111</v>
      </c>
      <c r="AR208" s="14">
        <v>68.164109333333329</v>
      </c>
      <c r="AS208" s="14">
        <v>80.651629214786681</v>
      </c>
    </row>
    <row r="209" spans="1:45" x14ac:dyDescent="0.35">
      <c r="A209" s="16">
        <v>5824.888782</v>
      </c>
      <c r="B209" s="14">
        <v>4.1152488277777781</v>
      </c>
      <c r="C209" s="14">
        <v>4.0657508277777765</v>
      </c>
      <c r="D209" s="14">
        <v>4.0504678277777764</v>
      </c>
      <c r="E209" s="14">
        <v>4.0738838277777765</v>
      </c>
      <c r="F209" s="14">
        <v>4.171004827777776</v>
      </c>
      <c r="G209" s="14">
        <v>4.5546408222222228</v>
      </c>
      <c r="H209" s="14">
        <v>8.7216577888888871</v>
      </c>
      <c r="I209" s="14">
        <v>22.172739683333337</v>
      </c>
      <c r="J209" s="14">
        <v>47.326209499999997</v>
      </c>
      <c r="K209" s="14">
        <v>61.800919388888879</v>
      </c>
      <c r="L209" s="14">
        <v>61.541179388888899</v>
      </c>
      <c r="M209" s="14">
        <v>61.128459388888892</v>
      </c>
      <c r="N209" s="14">
        <v>62.168739388888895</v>
      </c>
      <c r="O209" s="14">
        <v>62.859709333333335</v>
      </c>
      <c r="P209" s="14">
        <v>64.181769333333321</v>
      </c>
      <c r="Q209" s="14">
        <v>68.12778933333334</v>
      </c>
      <c r="R209" s="15">
        <v>80.613049215095003</v>
      </c>
      <c r="S209" s="14">
        <v>52.471239440229994</v>
      </c>
      <c r="T209" s="14">
        <v>52.471239440229994</v>
      </c>
      <c r="U209" s="14">
        <v>52.471239440229994</v>
      </c>
      <c r="V209" s="14">
        <v>52.471239440229994</v>
      </c>
      <c r="W209" s="14">
        <v>52.471239440229994</v>
      </c>
      <c r="X209" s="14">
        <v>52.471239440229994</v>
      </c>
      <c r="Y209" s="14">
        <v>52.471239440229994</v>
      </c>
      <c r="Z209" s="14">
        <v>52.471239440229994</v>
      </c>
      <c r="AA209" s="14">
        <v>52.471239440229994</v>
      </c>
      <c r="AB209" s="14">
        <v>61.800919388888879</v>
      </c>
      <c r="AC209" s="14">
        <v>61.541179388888899</v>
      </c>
      <c r="AD209" s="14">
        <v>61.128459388888892</v>
      </c>
      <c r="AE209" s="14">
        <v>62.168739388888895</v>
      </c>
      <c r="AF209" s="14">
        <v>62.859709333333335</v>
      </c>
      <c r="AG209" s="14">
        <v>64.181769333333321</v>
      </c>
      <c r="AH209" s="14">
        <v>68.12778933333334</v>
      </c>
      <c r="AI209" s="15">
        <v>80.613049215095003</v>
      </c>
      <c r="AJ209" s="14">
        <v>64.57892934336833</v>
      </c>
      <c r="AK209" s="14">
        <v>64.57892934336833</v>
      </c>
      <c r="AL209" s="14">
        <v>64.57892934336833</v>
      </c>
      <c r="AM209" s="14">
        <v>64.57892934336833</v>
      </c>
      <c r="AN209" s="14">
        <v>64.57892934336833</v>
      </c>
      <c r="AO209" s="14">
        <v>64.57892934336833</v>
      </c>
      <c r="AP209" s="14">
        <v>64.57892934336833</v>
      </c>
      <c r="AQ209" s="14">
        <v>64.57892934336833</v>
      </c>
      <c r="AR209" s="14">
        <v>68.12778933333334</v>
      </c>
      <c r="AS209" s="14">
        <v>80.613049215095003</v>
      </c>
    </row>
    <row r="210" spans="1:45" x14ac:dyDescent="0.35">
      <c r="A210" s="16">
        <v>5847.6078120000002</v>
      </c>
      <c r="B210" s="14">
        <v>4.1159648277777769</v>
      </c>
      <c r="C210" s="14">
        <v>4.0676068277777784</v>
      </c>
      <c r="D210" s="14">
        <v>4.0515598277777762</v>
      </c>
      <c r="E210" s="14">
        <v>4.0735638277777788</v>
      </c>
      <c r="F210" s="14">
        <v>4.1692318277777769</v>
      </c>
      <c r="G210" s="14">
        <v>4.5419928222222223</v>
      </c>
      <c r="H210" s="14">
        <v>8.5885147888888884</v>
      </c>
      <c r="I210" s="14">
        <v>21.803939683333333</v>
      </c>
      <c r="J210" s="14">
        <v>46.892669499999997</v>
      </c>
      <c r="K210" s="14">
        <v>61.682829388888891</v>
      </c>
      <c r="L210" s="14">
        <v>61.509819388888886</v>
      </c>
      <c r="M210" s="14">
        <v>61.086459388888883</v>
      </c>
      <c r="N210" s="14">
        <v>62.124749388888887</v>
      </c>
      <c r="O210" s="14">
        <v>62.816499333333326</v>
      </c>
      <c r="P210" s="14">
        <v>64.140839333333332</v>
      </c>
      <c r="Q210" s="14">
        <v>68.091609333333338</v>
      </c>
      <c r="R210" s="15">
        <v>80.57462921540278</v>
      </c>
      <c r="S210" s="14">
        <v>52.447069440423334</v>
      </c>
      <c r="T210" s="14">
        <v>52.447069440423334</v>
      </c>
      <c r="U210" s="14">
        <v>52.447069440423334</v>
      </c>
      <c r="V210" s="14">
        <v>52.447069440423334</v>
      </c>
      <c r="W210" s="14">
        <v>52.447069440423334</v>
      </c>
      <c r="X210" s="14">
        <v>52.447069440423334</v>
      </c>
      <c r="Y210" s="14">
        <v>52.447069440423334</v>
      </c>
      <c r="Z210" s="14">
        <v>52.447069440423334</v>
      </c>
      <c r="AA210" s="14">
        <v>52.447069440423334</v>
      </c>
      <c r="AB210" s="14">
        <v>61.682829388888891</v>
      </c>
      <c r="AC210" s="14">
        <v>61.509819388888886</v>
      </c>
      <c r="AD210" s="14">
        <v>61.086459388888883</v>
      </c>
      <c r="AE210" s="14">
        <v>62.124749388888887</v>
      </c>
      <c r="AF210" s="14">
        <v>62.816499333333326</v>
      </c>
      <c r="AG210" s="14">
        <v>64.140839333333332</v>
      </c>
      <c r="AH210" s="14">
        <v>68.091609333333338</v>
      </c>
      <c r="AI210" s="15">
        <v>80.57462921540278</v>
      </c>
      <c r="AJ210" s="14">
        <v>64.548729343609992</v>
      </c>
      <c r="AK210" s="14">
        <v>64.548729343609992</v>
      </c>
      <c r="AL210" s="14">
        <v>64.548729343609992</v>
      </c>
      <c r="AM210" s="14">
        <v>64.548729343609992</v>
      </c>
      <c r="AN210" s="14">
        <v>64.548729343609992</v>
      </c>
      <c r="AO210" s="14">
        <v>64.548729343609992</v>
      </c>
      <c r="AP210" s="14">
        <v>64.548729343609992</v>
      </c>
      <c r="AQ210" s="14">
        <v>64.548729343609992</v>
      </c>
      <c r="AR210" s="14">
        <v>68.091609333333338</v>
      </c>
      <c r="AS210" s="14">
        <v>80.57462921540278</v>
      </c>
    </row>
    <row r="211" spans="1:45" x14ac:dyDescent="0.35">
      <c r="A211" s="16">
        <v>5870.3245560000005</v>
      </c>
      <c r="B211" s="14">
        <v>4.116588827777778</v>
      </c>
      <c r="C211" s="14">
        <v>4.0695688277777755</v>
      </c>
      <c r="D211" s="14">
        <v>4.0527438277777765</v>
      </c>
      <c r="E211" s="14">
        <v>4.0733778277777768</v>
      </c>
      <c r="F211" s="14">
        <v>4.1675848277777776</v>
      </c>
      <c r="G211" s="14">
        <v>4.5299148222222225</v>
      </c>
      <c r="H211" s="14">
        <v>8.4591237944444426</v>
      </c>
      <c r="I211" s="14">
        <v>21.441159688888888</v>
      </c>
      <c r="J211" s="14">
        <v>46.457919500000003</v>
      </c>
      <c r="K211" s="14">
        <v>61.562159388888887</v>
      </c>
      <c r="L211" s="14">
        <v>61.4783893888889</v>
      </c>
      <c r="M211" s="14">
        <v>61.044629388888893</v>
      </c>
      <c r="N211" s="14">
        <v>62.080869388888885</v>
      </c>
      <c r="O211" s="14">
        <v>62.773389333333334</v>
      </c>
      <c r="P211" s="14">
        <v>64.100019333333336</v>
      </c>
      <c r="Q211" s="14">
        <v>68.055559333333321</v>
      </c>
      <c r="R211" s="15">
        <v>80.536379215708891</v>
      </c>
      <c r="S211" s="14">
        <v>52.422839440617217</v>
      </c>
      <c r="T211" s="14">
        <v>52.422839440617217</v>
      </c>
      <c r="U211" s="14">
        <v>52.422839440617217</v>
      </c>
      <c r="V211" s="14">
        <v>52.422839440617217</v>
      </c>
      <c r="W211" s="14">
        <v>52.422839440617217</v>
      </c>
      <c r="X211" s="14">
        <v>52.422839440617217</v>
      </c>
      <c r="Y211" s="14">
        <v>52.422839440617217</v>
      </c>
      <c r="Z211" s="14">
        <v>52.422839440617217</v>
      </c>
      <c r="AA211" s="14">
        <v>52.422839440617217</v>
      </c>
      <c r="AB211" s="14">
        <v>61.562159388888887</v>
      </c>
      <c r="AC211" s="14">
        <v>61.4783893888889</v>
      </c>
      <c r="AD211" s="14">
        <v>61.044629388888893</v>
      </c>
      <c r="AE211" s="14">
        <v>62.080869388888885</v>
      </c>
      <c r="AF211" s="14">
        <v>62.773389333333334</v>
      </c>
      <c r="AG211" s="14">
        <v>64.100019333333336</v>
      </c>
      <c r="AH211" s="14">
        <v>68.055559333333321</v>
      </c>
      <c r="AI211" s="15">
        <v>80.536379215708891</v>
      </c>
      <c r="AJ211" s="14">
        <v>64.518549343851106</v>
      </c>
      <c r="AK211" s="14">
        <v>64.518549343851106</v>
      </c>
      <c r="AL211" s="14">
        <v>64.518549343851106</v>
      </c>
      <c r="AM211" s="14">
        <v>64.518549343851106</v>
      </c>
      <c r="AN211" s="14">
        <v>64.518549343851106</v>
      </c>
      <c r="AO211" s="14">
        <v>64.518549343851106</v>
      </c>
      <c r="AP211" s="14">
        <v>64.518549343851106</v>
      </c>
      <c r="AQ211" s="14">
        <v>64.518549343851106</v>
      </c>
      <c r="AR211" s="14">
        <v>68.055559333333321</v>
      </c>
      <c r="AS211" s="14">
        <v>80.536379215708891</v>
      </c>
    </row>
    <row r="212" spans="1:45" x14ac:dyDescent="0.35">
      <c r="A212" s="16">
        <v>5893.0397759999996</v>
      </c>
      <c r="B212" s="14">
        <v>4.1171488277777772</v>
      </c>
      <c r="C212" s="14">
        <v>4.0716168277777793</v>
      </c>
      <c r="D212" s="14">
        <v>4.0539888277777791</v>
      </c>
      <c r="E212" s="14">
        <v>4.0732958277777778</v>
      </c>
      <c r="F212" s="14">
        <v>4.1660368277777788</v>
      </c>
      <c r="G212" s="14">
        <v>4.5183668222222231</v>
      </c>
      <c r="H212" s="14">
        <v>8.3333867944444435</v>
      </c>
      <c r="I212" s="14">
        <v>21.084319688888893</v>
      </c>
      <c r="J212" s="14">
        <v>46.022069500000001</v>
      </c>
      <c r="K212" s="14">
        <v>61.438869388888897</v>
      </c>
      <c r="L212" s="14">
        <v>61.4468493888889</v>
      </c>
      <c r="M212" s="14">
        <v>61.00284938888889</v>
      </c>
      <c r="N212" s="14">
        <v>62.037059388888892</v>
      </c>
      <c r="O212" s="14">
        <v>62.73035933333334</v>
      </c>
      <c r="P212" s="14">
        <v>64.05925933333333</v>
      </c>
      <c r="Q212" s="14">
        <v>68.019599333333332</v>
      </c>
      <c r="R212" s="15">
        <v>80.498249216013903</v>
      </c>
      <c r="S212" s="14">
        <v>52.398359440812776</v>
      </c>
      <c r="T212" s="14">
        <v>52.398359440812776</v>
      </c>
      <c r="U212" s="14">
        <v>52.398359440812776</v>
      </c>
      <c r="V212" s="14">
        <v>52.398359440812776</v>
      </c>
      <c r="W212" s="14">
        <v>52.398359440812776</v>
      </c>
      <c r="X212" s="14">
        <v>52.398359440812776</v>
      </c>
      <c r="Y212" s="14">
        <v>52.398359440812776</v>
      </c>
      <c r="Z212" s="14">
        <v>52.398359440812776</v>
      </c>
      <c r="AA212" s="14">
        <v>52.398359440812776</v>
      </c>
      <c r="AB212" s="14">
        <v>61.438869388888897</v>
      </c>
      <c r="AC212" s="14">
        <v>61.4468493888889</v>
      </c>
      <c r="AD212" s="14">
        <v>61.00284938888889</v>
      </c>
      <c r="AE212" s="14">
        <v>62.037059388888892</v>
      </c>
      <c r="AF212" s="14">
        <v>62.73035933333334</v>
      </c>
      <c r="AG212" s="14">
        <v>64.05925933333333</v>
      </c>
      <c r="AH212" s="14">
        <v>68.019599333333332</v>
      </c>
      <c r="AI212" s="15">
        <v>80.498249216013903</v>
      </c>
      <c r="AJ212" s="14">
        <v>64.488269344093339</v>
      </c>
      <c r="AK212" s="14">
        <v>64.488269344093339</v>
      </c>
      <c r="AL212" s="14">
        <v>64.488269344093339</v>
      </c>
      <c r="AM212" s="14">
        <v>64.488269344093339</v>
      </c>
      <c r="AN212" s="14">
        <v>64.488269344093339</v>
      </c>
      <c r="AO212" s="14">
        <v>64.488269344093339</v>
      </c>
      <c r="AP212" s="14">
        <v>64.488269344093339</v>
      </c>
      <c r="AQ212" s="14">
        <v>64.488269344093339</v>
      </c>
      <c r="AR212" s="14">
        <v>68.019599333333332</v>
      </c>
      <c r="AS212" s="14">
        <v>80.498249216013903</v>
      </c>
    </row>
    <row r="213" spans="1:45" x14ac:dyDescent="0.35">
      <c r="A213" s="16">
        <v>5915.7534720000003</v>
      </c>
      <c r="B213" s="14">
        <v>4.1176408277777794</v>
      </c>
      <c r="C213" s="14">
        <v>4.07373782777778</v>
      </c>
      <c r="D213" s="14">
        <v>4.0552898277777771</v>
      </c>
      <c r="E213" s="14">
        <v>4.0733178277777782</v>
      </c>
      <c r="F213" s="14">
        <v>4.1645878277777761</v>
      </c>
      <c r="G213" s="14">
        <v>4.5073248222222242</v>
      </c>
      <c r="H213" s="14">
        <v>8.2112007944444443</v>
      </c>
      <c r="I213" s="14">
        <v>20.733309694444447</v>
      </c>
      <c r="J213" s="14">
        <v>45.585149499999993</v>
      </c>
      <c r="K213" s="14">
        <v>61.312869388888885</v>
      </c>
      <c r="L213" s="14">
        <v>61.415199388888901</v>
      </c>
      <c r="M213" s="14">
        <v>60.9611093888889</v>
      </c>
      <c r="N213" s="14">
        <v>61.993329388888888</v>
      </c>
      <c r="O213" s="14">
        <v>62.687399333333332</v>
      </c>
      <c r="P213" s="14">
        <v>64.018579333333335</v>
      </c>
      <c r="Q213" s="14">
        <v>67.983739333333332</v>
      </c>
      <c r="R213" s="15">
        <v>80.460239216317788</v>
      </c>
      <c r="S213" s="14">
        <v>52.37332944101334</v>
      </c>
      <c r="T213" s="14">
        <v>52.37332944101334</v>
      </c>
      <c r="U213" s="14">
        <v>52.37332944101334</v>
      </c>
      <c r="V213" s="14">
        <v>52.37332944101334</v>
      </c>
      <c r="W213" s="14">
        <v>52.37332944101334</v>
      </c>
      <c r="X213" s="14">
        <v>52.37332944101334</v>
      </c>
      <c r="Y213" s="14">
        <v>52.37332944101334</v>
      </c>
      <c r="Z213" s="14">
        <v>52.37332944101334</v>
      </c>
      <c r="AA213" s="14">
        <v>52.37332944101334</v>
      </c>
      <c r="AB213" s="14">
        <v>61.312869388888885</v>
      </c>
      <c r="AC213" s="14">
        <v>61.415199388888901</v>
      </c>
      <c r="AD213" s="14">
        <v>60.9611093888889</v>
      </c>
      <c r="AE213" s="14">
        <v>61.993329388888888</v>
      </c>
      <c r="AF213" s="14">
        <v>62.687399333333332</v>
      </c>
      <c r="AG213" s="14">
        <v>64.018579333333335</v>
      </c>
      <c r="AH213" s="14">
        <v>67.983739333333332</v>
      </c>
      <c r="AI213" s="15">
        <v>80.460239216317788</v>
      </c>
      <c r="AJ213" s="14">
        <v>64.457539344339438</v>
      </c>
      <c r="AK213" s="14">
        <v>64.457539344339438</v>
      </c>
      <c r="AL213" s="14">
        <v>64.457539344339438</v>
      </c>
      <c r="AM213" s="14">
        <v>64.457539344339438</v>
      </c>
      <c r="AN213" s="14">
        <v>64.457539344339438</v>
      </c>
      <c r="AO213" s="14">
        <v>64.457539344339438</v>
      </c>
      <c r="AP213" s="14">
        <v>64.457539344339438</v>
      </c>
      <c r="AQ213" s="14">
        <v>64.457539344339438</v>
      </c>
      <c r="AR213" s="14">
        <v>67.983739333333332</v>
      </c>
      <c r="AS213" s="14">
        <v>80.460239216317788</v>
      </c>
    </row>
    <row r="214" spans="1:45" x14ac:dyDescent="0.35">
      <c r="A214" s="16">
        <v>5938.4641200000005</v>
      </c>
      <c r="B214" s="14">
        <v>4.117948827777778</v>
      </c>
      <c r="C214" s="14">
        <v>4.0760058277777764</v>
      </c>
      <c r="D214" s="14">
        <v>4.0567528277777773</v>
      </c>
      <c r="E214" s="14">
        <v>4.0735528277777773</v>
      </c>
      <c r="F214" s="14">
        <v>4.1633508277777764</v>
      </c>
      <c r="G214" s="14">
        <v>4.4968918222222207</v>
      </c>
      <c r="H214" s="14">
        <v>8.0926227944444431</v>
      </c>
      <c r="I214" s="14">
        <v>20.388199694444445</v>
      </c>
      <c r="J214" s="14">
        <v>45.147119500000002</v>
      </c>
      <c r="K214" s="14">
        <v>61.184289388888892</v>
      </c>
      <c r="L214" s="14">
        <v>61.383569388888887</v>
      </c>
      <c r="M214" s="14">
        <v>60.919669388888892</v>
      </c>
      <c r="N214" s="14">
        <v>61.949819388888876</v>
      </c>
      <c r="O214" s="14">
        <v>62.64466933333334</v>
      </c>
      <c r="P214" s="14">
        <v>63.978109333333336</v>
      </c>
      <c r="Q214" s="14">
        <v>67.94813933333333</v>
      </c>
      <c r="R214" s="15">
        <v>80.422539216619441</v>
      </c>
      <c r="S214" s="14">
        <v>52.347679441218332</v>
      </c>
      <c r="T214" s="14">
        <v>52.347679441218332</v>
      </c>
      <c r="U214" s="14">
        <v>52.347679441218332</v>
      </c>
      <c r="V214" s="14">
        <v>52.347679441218332</v>
      </c>
      <c r="W214" s="14">
        <v>52.347679441218332</v>
      </c>
      <c r="X214" s="14">
        <v>52.347679441218332</v>
      </c>
      <c r="Y214" s="14">
        <v>52.347679441218332</v>
      </c>
      <c r="Z214" s="14">
        <v>52.347679441218332</v>
      </c>
      <c r="AA214" s="14">
        <v>52.347679441218332</v>
      </c>
      <c r="AB214" s="14">
        <v>61.184289388888892</v>
      </c>
      <c r="AC214" s="14">
        <v>61.383569388888887</v>
      </c>
      <c r="AD214" s="14">
        <v>60.919669388888892</v>
      </c>
      <c r="AE214" s="14">
        <v>61.949819388888876</v>
      </c>
      <c r="AF214" s="14">
        <v>62.64466933333334</v>
      </c>
      <c r="AG214" s="14">
        <v>63.978109333333336</v>
      </c>
      <c r="AH214" s="14">
        <v>67.94813933333333</v>
      </c>
      <c r="AI214" s="15">
        <v>80.422539216619441</v>
      </c>
      <c r="AJ214" s="14">
        <v>64.426219344589995</v>
      </c>
      <c r="AK214" s="14">
        <v>64.426219344589995</v>
      </c>
      <c r="AL214" s="14">
        <v>64.426219344589995</v>
      </c>
      <c r="AM214" s="14">
        <v>64.426219344589995</v>
      </c>
      <c r="AN214" s="14">
        <v>64.426219344589995</v>
      </c>
      <c r="AO214" s="14">
        <v>64.426219344589995</v>
      </c>
      <c r="AP214" s="14">
        <v>64.426219344589995</v>
      </c>
      <c r="AQ214" s="14">
        <v>64.426219344589995</v>
      </c>
      <c r="AR214" s="14">
        <v>67.94813933333333</v>
      </c>
      <c r="AS214" s="14">
        <v>80.422539216619441</v>
      </c>
    </row>
    <row r="215" spans="1:45" x14ac:dyDescent="0.35">
      <c r="A215" s="16">
        <v>5961.1717200000012</v>
      </c>
      <c r="B215" s="14">
        <v>4.1180738277777786</v>
      </c>
      <c r="C215" s="14">
        <v>4.0783698277777782</v>
      </c>
      <c r="D215" s="14">
        <v>4.0583668277777782</v>
      </c>
      <c r="E215" s="14">
        <v>4.0739978277777782</v>
      </c>
      <c r="F215" s="14">
        <v>4.1623238277777794</v>
      </c>
      <c r="G215" s="14">
        <v>4.4870348222222214</v>
      </c>
      <c r="H215" s="14">
        <v>7.9775337944444438</v>
      </c>
      <c r="I215" s="14">
        <v>20.047829700000001</v>
      </c>
      <c r="J215" s="14">
        <v>44.706789499999999</v>
      </c>
      <c r="K215" s="14">
        <v>61.053039388888884</v>
      </c>
      <c r="L215" s="14">
        <v>61.351929388888884</v>
      </c>
      <c r="M215" s="14">
        <v>60.87851938888889</v>
      </c>
      <c r="N215" s="14">
        <v>61.906519388888896</v>
      </c>
      <c r="O215" s="14">
        <v>62.602149333333337</v>
      </c>
      <c r="P215" s="14">
        <v>63.937869333333325</v>
      </c>
      <c r="Q215" s="14">
        <v>67.912779333333333</v>
      </c>
      <c r="R215" s="15">
        <v>80.385139216918333</v>
      </c>
      <c r="S215" s="14">
        <v>52.320909441432221</v>
      </c>
      <c r="T215" s="14">
        <v>52.320909441432221</v>
      </c>
      <c r="U215" s="14">
        <v>52.320909441432221</v>
      </c>
      <c r="V215" s="14">
        <v>52.320909441432221</v>
      </c>
      <c r="W215" s="14">
        <v>52.320909441432221</v>
      </c>
      <c r="X215" s="14">
        <v>52.320909441432221</v>
      </c>
      <c r="Y215" s="14">
        <v>52.320909441432221</v>
      </c>
      <c r="Z215" s="14">
        <v>52.320909441432221</v>
      </c>
      <c r="AA215" s="14">
        <v>52.320909441432221</v>
      </c>
      <c r="AB215" s="14">
        <v>61.053039388888884</v>
      </c>
      <c r="AC215" s="14">
        <v>61.351929388888884</v>
      </c>
      <c r="AD215" s="14">
        <v>60.87851938888889</v>
      </c>
      <c r="AE215" s="14">
        <v>61.906519388888896</v>
      </c>
      <c r="AF215" s="14">
        <v>62.602149333333337</v>
      </c>
      <c r="AG215" s="14">
        <v>63.937869333333325</v>
      </c>
      <c r="AH215" s="14">
        <v>67.912779333333333</v>
      </c>
      <c r="AI215" s="15">
        <v>80.385139216918333</v>
      </c>
      <c r="AJ215" s="14">
        <v>64.392719344857767</v>
      </c>
      <c r="AK215" s="14">
        <v>64.392719344857767</v>
      </c>
      <c r="AL215" s="14">
        <v>64.392719344857767</v>
      </c>
      <c r="AM215" s="14">
        <v>64.392719344857767</v>
      </c>
      <c r="AN215" s="14">
        <v>64.392719344857767</v>
      </c>
      <c r="AO215" s="14">
        <v>64.392719344857767</v>
      </c>
      <c r="AP215" s="14">
        <v>64.392719344857767</v>
      </c>
      <c r="AQ215" s="14">
        <v>64.392719344857767</v>
      </c>
      <c r="AR215" s="14">
        <v>67.912779333333333</v>
      </c>
      <c r="AS215" s="14">
        <v>80.385139216918333</v>
      </c>
    </row>
    <row r="216" spans="1:45" x14ac:dyDescent="0.35">
      <c r="A216" s="16">
        <v>5987.5369200000005</v>
      </c>
      <c r="B216" s="14">
        <v>4.1181848277777773</v>
      </c>
      <c r="C216" s="14">
        <v>4.0813048277777773</v>
      </c>
      <c r="D216" s="14">
        <v>4.0605058277777788</v>
      </c>
      <c r="E216" s="14">
        <v>4.0746088277777774</v>
      </c>
      <c r="F216" s="14">
        <v>4.1608638277777779</v>
      </c>
      <c r="G216" s="14">
        <v>4.4743838222222205</v>
      </c>
      <c r="H216" s="14">
        <v>7.8304478000000017</v>
      </c>
      <c r="I216" s="14">
        <v>19.606499705555553</v>
      </c>
      <c r="J216" s="14">
        <v>44.123419499999997</v>
      </c>
      <c r="K216" s="14">
        <v>60.873389388888896</v>
      </c>
      <c r="L216" s="14">
        <v>61.309389388888889</v>
      </c>
      <c r="M216" s="14">
        <v>60.823919388888903</v>
      </c>
      <c r="N216" s="14">
        <v>61.848969388888889</v>
      </c>
      <c r="O216" s="14">
        <v>62.545629333333331</v>
      </c>
      <c r="P216" s="14">
        <v>63.884339333333322</v>
      </c>
      <c r="Q216" s="14">
        <v>67.865779333333336</v>
      </c>
      <c r="R216" s="15">
        <v>80.335519217315564</v>
      </c>
      <c r="S216" s="14">
        <v>52.294659441642217</v>
      </c>
      <c r="T216" s="14">
        <v>52.294659441642217</v>
      </c>
      <c r="U216" s="14">
        <v>52.294659441642217</v>
      </c>
      <c r="V216" s="14">
        <v>52.294659441642217</v>
      </c>
      <c r="W216" s="14">
        <v>52.294659441642217</v>
      </c>
      <c r="X216" s="14">
        <v>52.294659441642217</v>
      </c>
      <c r="Y216" s="14">
        <v>52.294659441642217</v>
      </c>
      <c r="Z216" s="14">
        <v>52.294659441642217</v>
      </c>
      <c r="AA216" s="14">
        <v>52.294659441642217</v>
      </c>
      <c r="AB216" s="14">
        <v>60.873389388888896</v>
      </c>
      <c r="AC216" s="14">
        <v>61.309389388888889</v>
      </c>
      <c r="AD216" s="14">
        <v>60.823919388888903</v>
      </c>
      <c r="AE216" s="14">
        <v>61.848969388888889</v>
      </c>
      <c r="AF216" s="14">
        <v>62.545629333333331</v>
      </c>
      <c r="AG216" s="14">
        <v>63.884339333333322</v>
      </c>
      <c r="AH216" s="14">
        <v>67.865779333333336</v>
      </c>
      <c r="AI216" s="15">
        <v>80.335519217315564</v>
      </c>
      <c r="AJ216" s="14">
        <v>64.358379345132775</v>
      </c>
      <c r="AK216" s="14">
        <v>64.358379345132775</v>
      </c>
      <c r="AL216" s="14">
        <v>64.358379345132775</v>
      </c>
      <c r="AM216" s="14">
        <v>64.358379345132775</v>
      </c>
      <c r="AN216" s="14">
        <v>64.358379345132775</v>
      </c>
      <c r="AO216" s="14">
        <v>64.358379345132775</v>
      </c>
      <c r="AP216" s="14">
        <v>64.358379345132775</v>
      </c>
      <c r="AQ216" s="14">
        <v>64.358379345132775</v>
      </c>
      <c r="AR216" s="14">
        <v>67.865779333333336</v>
      </c>
      <c r="AS216" s="14">
        <v>80.335519217315564</v>
      </c>
    </row>
    <row r="217" spans="1:45" x14ac:dyDescent="0.35">
      <c r="A217" s="16">
        <v>6017.5597200000011</v>
      </c>
      <c r="B217" s="14">
        <v>4.1182858277777772</v>
      </c>
      <c r="C217" s="14">
        <v>4.0840068277777775</v>
      </c>
      <c r="D217" s="14">
        <v>4.062665827777777</v>
      </c>
      <c r="E217" s="14">
        <v>4.0754378277777787</v>
      </c>
      <c r="F217" s="14">
        <v>4.1597658277777763</v>
      </c>
      <c r="G217" s="14">
        <v>4.4628058222222222</v>
      </c>
      <c r="H217" s="14">
        <v>7.6894768000000004</v>
      </c>
      <c r="I217" s="14">
        <v>19.17575970555556</v>
      </c>
      <c r="J217" s="14">
        <v>43.539999499999993</v>
      </c>
      <c r="K217" s="14">
        <v>60.688969388888886</v>
      </c>
      <c r="L217" s="14">
        <v>61.266869388888885</v>
      </c>
      <c r="M217" s="14">
        <v>60.769919388888894</v>
      </c>
      <c r="N217" s="14">
        <v>61.791859388888888</v>
      </c>
      <c r="O217" s="14">
        <v>62.489559333333332</v>
      </c>
      <c r="P217" s="14">
        <v>63.831249333333325</v>
      </c>
      <c r="Q217" s="14">
        <v>67.819209333333319</v>
      </c>
      <c r="R217" s="15">
        <v>80.286409217708325</v>
      </c>
      <c r="S217" s="14">
        <v>52.263759441889448</v>
      </c>
      <c r="T217" s="14">
        <v>52.263759441889448</v>
      </c>
      <c r="U217" s="14">
        <v>52.263759441889448</v>
      </c>
      <c r="V217" s="14">
        <v>52.263759441889448</v>
      </c>
      <c r="W217" s="14">
        <v>52.263759441889448</v>
      </c>
      <c r="X217" s="14">
        <v>52.263759441889448</v>
      </c>
      <c r="Y217" s="14">
        <v>52.263759441889448</v>
      </c>
      <c r="Z217" s="14">
        <v>52.263759441889448</v>
      </c>
      <c r="AA217" s="14">
        <v>52.263759441889448</v>
      </c>
      <c r="AB217" s="14">
        <v>60.688969388888886</v>
      </c>
      <c r="AC217" s="14">
        <v>61.266869388888885</v>
      </c>
      <c r="AD217" s="14">
        <v>60.769919388888894</v>
      </c>
      <c r="AE217" s="14">
        <v>61.791859388888888</v>
      </c>
      <c r="AF217" s="14">
        <v>62.489559333333332</v>
      </c>
      <c r="AG217" s="14">
        <v>63.831249333333325</v>
      </c>
      <c r="AH217" s="14">
        <v>67.819209333333319</v>
      </c>
      <c r="AI217" s="15">
        <v>80.286409217708325</v>
      </c>
      <c r="AJ217" s="14">
        <v>64.317199345462228</v>
      </c>
      <c r="AK217" s="14">
        <v>64.317199345462228</v>
      </c>
      <c r="AL217" s="14">
        <v>64.317199345462228</v>
      </c>
      <c r="AM217" s="14">
        <v>64.317199345462228</v>
      </c>
      <c r="AN217" s="14">
        <v>64.317199345462228</v>
      </c>
      <c r="AO217" s="14">
        <v>64.317199345462228</v>
      </c>
      <c r="AP217" s="14">
        <v>64.317199345462228</v>
      </c>
      <c r="AQ217" s="14">
        <v>64.317199345462228</v>
      </c>
      <c r="AR217" s="14">
        <v>67.819209333333319</v>
      </c>
      <c r="AS217" s="14">
        <v>80.286409217708325</v>
      </c>
    </row>
    <row r="218" spans="1:45" x14ac:dyDescent="0.35">
      <c r="A218" s="16">
        <v>6051.6211200000007</v>
      </c>
      <c r="B218" s="14">
        <v>4.1182398277777761</v>
      </c>
      <c r="C218" s="14">
        <v>4.0871518277777792</v>
      </c>
      <c r="D218" s="14">
        <v>4.0656068277777795</v>
      </c>
      <c r="E218" s="14">
        <v>4.0767708277777794</v>
      </c>
      <c r="F218" s="14">
        <v>4.1585368277777786</v>
      </c>
      <c r="G218" s="14">
        <v>4.4489988222222205</v>
      </c>
      <c r="H218" s="14">
        <v>7.5186298000000011</v>
      </c>
      <c r="I218" s="14">
        <v>18.644659711111114</v>
      </c>
      <c r="J218" s="14">
        <v>42.798109499999995</v>
      </c>
      <c r="K218" s="14">
        <v>60.446549388888883</v>
      </c>
      <c r="L218" s="14">
        <v>61.212099388888902</v>
      </c>
      <c r="M218" s="14">
        <v>60.701559388888882</v>
      </c>
      <c r="N218" s="14">
        <v>61.719359388888883</v>
      </c>
      <c r="O218" s="14">
        <v>62.418369333333331</v>
      </c>
      <c r="P218" s="14">
        <v>63.763849333333333</v>
      </c>
      <c r="Q218" s="14">
        <v>67.759969333333331</v>
      </c>
      <c r="R218" s="15">
        <v>80.224339218204989</v>
      </c>
      <c r="S218" s="14">
        <v>52.240319442077215</v>
      </c>
      <c r="T218" s="14">
        <v>52.240319442077215</v>
      </c>
      <c r="U218" s="14">
        <v>52.240319442077215</v>
      </c>
      <c r="V218" s="14">
        <v>52.240319442077215</v>
      </c>
      <c r="W218" s="14">
        <v>52.240319442077215</v>
      </c>
      <c r="X218" s="14">
        <v>52.240319442077215</v>
      </c>
      <c r="Y218" s="14">
        <v>52.240319442077215</v>
      </c>
      <c r="Z218" s="14">
        <v>52.240319442077215</v>
      </c>
      <c r="AA218" s="14">
        <v>52.240319442077215</v>
      </c>
      <c r="AB218" s="14">
        <v>60.446549388888883</v>
      </c>
      <c r="AC218" s="14">
        <v>61.212099388888902</v>
      </c>
      <c r="AD218" s="14">
        <v>60.701559388888882</v>
      </c>
      <c r="AE218" s="14">
        <v>61.719359388888883</v>
      </c>
      <c r="AF218" s="14">
        <v>62.418369333333331</v>
      </c>
      <c r="AG218" s="14">
        <v>63.763849333333333</v>
      </c>
      <c r="AH218" s="14">
        <v>67.759969333333331</v>
      </c>
      <c r="AI218" s="15">
        <v>80.224339218204989</v>
      </c>
      <c r="AJ218" s="14">
        <v>64.279169345766121</v>
      </c>
      <c r="AK218" s="14">
        <v>64.279169345766121</v>
      </c>
      <c r="AL218" s="14">
        <v>64.279169345766121</v>
      </c>
      <c r="AM218" s="14">
        <v>64.279169345766121</v>
      </c>
      <c r="AN218" s="14">
        <v>64.279169345766121</v>
      </c>
      <c r="AO218" s="14">
        <v>64.279169345766121</v>
      </c>
      <c r="AP218" s="14">
        <v>64.279169345766121</v>
      </c>
      <c r="AQ218" s="14">
        <v>64.279169345766121</v>
      </c>
      <c r="AR218" s="14">
        <v>67.759969333333331</v>
      </c>
      <c r="AS218" s="14">
        <v>80.224339218204989</v>
      </c>
    </row>
    <row r="219" spans="1:45" x14ac:dyDescent="0.35">
      <c r="A219" s="16">
        <v>6089.7211200000011</v>
      </c>
      <c r="B219" s="14">
        <v>4.1201168277777791</v>
      </c>
      <c r="C219" s="14">
        <v>4.0901998277777771</v>
      </c>
      <c r="D219" s="14">
        <v>4.0688488277777779</v>
      </c>
      <c r="E219" s="14">
        <v>4.0786338277777761</v>
      </c>
      <c r="F219" s="14">
        <v>4.1580168277777769</v>
      </c>
      <c r="G219" s="14">
        <v>4.436846822222221</v>
      </c>
      <c r="H219" s="14">
        <v>7.3568607999999989</v>
      </c>
      <c r="I219" s="14">
        <v>18.129759716666669</v>
      </c>
      <c r="J219" s="14">
        <v>42.0551095</v>
      </c>
      <c r="K219" s="14">
        <v>60.196449388888901</v>
      </c>
      <c r="L219" s="14">
        <v>61.157369388888888</v>
      </c>
      <c r="M219" s="14">
        <v>60.634279388888899</v>
      </c>
      <c r="N219" s="14">
        <v>61.647699388888896</v>
      </c>
      <c r="O219" s="14">
        <v>62.348029388888889</v>
      </c>
      <c r="P219" s="14">
        <v>63.697299333333341</v>
      </c>
      <c r="Q219" s="14">
        <v>67.701639333333333</v>
      </c>
      <c r="R219" s="15">
        <v>80.16326921869333</v>
      </c>
      <c r="S219" s="14">
        <v>52.235859442112776</v>
      </c>
      <c r="T219" s="14">
        <v>52.235859442112776</v>
      </c>
      <c r="U219" s="14">
        <v>52.235859442112776</v>
      </c>
      <c r="V219" s="14">
        <v>52.235859442112776</v>
      </c>
      <c r="W219" s="14">
        <v>52.235859442112776</v>
      </c>
      <c r="X219" s="14">
        <v>52.235859442112776</v>
      </c>
      <c r="Y219" s="14">
        <v>52.235859442112776</v>
      </c>
      <c r="Z219" s="14">
        <v>52.235859442112776</v>
      </c>
      <c r="AA219" s="14">
        <v>52.235859442112776</v>
      </c>
      <c r="AB219" s="14">
        <v>60.196449388888901</v>
      </c>
      <c r="AC219" s="14">
        <v>61.157369388888888</v>
      </c>
      <c r="AD219" s="14">
        <v>60.634279388888899</v>
      </c>
      <c r="AE219" s="14">
        <v>61.647699388888896</v>
      </c>
      <c r="AF219" s="14">
        <v>62.348029388888889</v>
      </c>
      <c r="AG219" s="14">
        <v>63.697299333333341</v>
      </c>
      <c r="AH219" s="14">
        <v>67.701639333333333</v>
      </c>
      <c r="AI219" s="15">
        <v>80.16326921869333</v>
      </c>
      <c r="AJ219" s="14">
        <v>64.258559345931118</v>
      </c>
      <c r="AK219" s="14">
        <v>64.258559345931118</v>
      </c>
      <c r="AL219" s="14">
        <v>64.258559345931118</v>
      </c>
      <c r="AM219" s="14">
        <v>64.258559345931118</v>
      </c>
      <c r="AN219" s="14">
        <v>64.258559345931118</v>
      </c>
      <c r="AO219" s="14">
        <v>64.258559345931118</v>
      </c>
      <c r="AP219" s="14">
        <v>64.258559345931118</v>
      </c>
      <c r="AQ219" s="14">
        <v>64.258559345931118</v>
      </c>
      <c r="AR219" s="14">
        <v>67.701639333333333</v>
      </c>
      <c r="AS219" s="14">
        <v>80.16326921869333</v>
      </c>
    </row>
    <row r="220" spans="1:45" x14ac:dyDescent="0.35">
      <c r="A220" s="16">
        <v>6120.1249200000011</v>
      </c>
      <c r="B220" s="14">
        <v>4.1170688277777776</v>
      </c>
      <c r="C220" s="14">
        <v>4.091623827777779</v>
      </c>
      <c r="D220" s="14">
        <v>4.0706298277777755</v>
      </c>
      <c r="E220" s="14">
        <v>4.0798898277777775</v>
      </c>
      <c r="F220" s="14">
        <v>4.1581568277777787</v>
      </c>
      <c r="G220" s="14">
        <v>4.4306098222222206</v>
      </c>
      <c r="H220" s="14">
        <v>7.2644468000000018</v>
      </c>
      <c r="I220" s="14">
        <v>17.828479716666671</v>
      </c>
      <c r="J220" s="14">
        <v>41.613639500000005</v>
      </c>
      <c r="K220" s="14">
        <v>60.045049388888884</v>
      </c>
      <c r="L220" s="14">
        <v>61.125169388888899</v>
      </c>
      <c r="M220" s="14">
        <v>60.594979388888902</v>
      </c>
      <c r="N220" s="14">
        <v>61.60570938888889</v>
      </c>
      <c r="O220" s="14">
        <v>62.306809388888887</v>
      </c>
      <c r="P220" s="14">
        <v>63.658349333333341</v>
      </c>
      <c r="Q220" s="14">
        <v>67.667549333333326</v>
      </c>
      <c r="R220" s="15">
        <v>80.127519218979444</v>
      </c>
      <c r="S220" s="14">
        <v>52.190319442477225</v>
      </c>
      <c r="T220" s="14">
        <v>52.190319442477225</v>
      </c>
      <c r="U220" s="14">
        <v>52.190319442477225</v>
      </c>
      <c r="V220" s="14">
        <v>52.190319442477225</v>
      </c>
      <c r="W220" s="14">
        <v>52.190319442477225</v>
      </c>
      <c r="X220" s="14">
        <v>52.190319442477225</v>
      </c>
      <c r="Y220" s="14">
        <v>52.190319442477225</v>
      </c>
      <c r="Z220" s="14">
        <v>52.190319442477225</v>
      </c>
      <c r="AA220" s="14">
        <v>52.190319442477225</v>
      </c>
      <c r="AB220" s="14">
        <v>60.045049388888884</v>
      </c>
      <c r="AC220" s="14">
        <v>61.125169388888899</v>
      </c>
      <c r="AD220" s="14">
        <v>60.594979388888902</v>
      </c>
      <c r="AE220" s="14">
        <v>61.60570938888889</v>
      </c>
      <c r="AF220" s="14">
        <v>62.306809388888887</v>
      </c>
      <c r="AG220" s="14">
        <v>63.658349333333341</v>
      </c>
      <c r="AH220" s="14">
        <v>67.667549333333326</v>
      </c>
      <c r="AI220" s="15">
        <v>80.127519218979444</v>
      </c>
      <c r="AJ220" s="14">
        <v>64.214789346281648</v>
      </c>
      <c r="AK220" s="14">
        <v>64.214789346281648</v>
      </c>
      <c r="AL220" s="14">
        <v>64.214789346281648</v>
      </c>
      <c r="AM220" s="14">
        <v>64.214789346281648</v>
      </c>
      <c r="AN220" s="14">
        <v>64.214789346281648</v>
      </c>
      <c r="AO220" s="14">
        <v>64.214789346281648</v>
      </c>
      <c r="AP220" s="14">
        <v>64.214789346281648</v>
      </c>
      <c r="AQ220" s="14">
        <v>64.214789346281648</v>
      </c>
      <c r="AR220" s="14">
        <v>67.667549333333326</v>
      </c>
      <c r="AS220" s="14">
        <v>80.127519218979444</v>
      </c>
    </row>
    <row r="221" spans="1:45" x14ac:dyDescent="0.35">
      <c r="A221" s="16">
        <v>6142.8325200000008</v>
      </c>
      <c r="B221" s="14">
        <v>4.117070827777777</v>
      </c>
      <c r="C221" s="14">
        <v>4.0924548277777797</v>
      </c>
      <c r="D221" s="14">
        <v>4.071956827777778</v>
      </c>
      <c r="E221" s="14">
        <v>4.0805638277777785</v>
      </c>
      <c r="F221" s="14">
        <v>4.157452827777778</v>
      </c>
      <c r="G221" s="14">
        <v>4.4235128222222206</v>
      </c>
      <c r="H221" s="14">
        <v>7.1730817999999994</v>
      </c>
      <c r="I221" s="14">
        <v>17.530439722222223</v>
      </c>
      <c r="J221" s="14">
        <v>41.171169555555558</v>
      </c>
      <c r="K221" s="14">
        <v>59.889219388888883</v>
      </c>
      <c r="L221" s="14">
        <v>61.091319388888877</v>
      </c>
      <c r="M221" s="14">
        <v>60.554419388888881</v>
      </c>
      <c r="N221" s="14">
        <v>61.562389388888882</v>
      </c>
      <c r="O221" s="14">
        <v>62.264279388888895</v>
      </c>
      <c r="P221" s="14">
        <v>63.618059333333335</v>
      </c>
      <c r="Q221" s="14">
        <v>67.63217933333334</v>
      </c>
      <c r="R221" s="15">
        <v>80.090569219274997</v>
      </c>
      <c r="S221" s="14">
        <v>52.140389442876668</v>
      </c>
      <c r="T221" s="14">
        <v>52.140389442876668</v>
      </c>
      <c r="U221" s="14">
        <v>52.140389442876668</v>
      </c>
      <c r="V221" s="14">
        <v>52.140389442876668</v>
      </c>
      <c r="W221" s="14">
        <v>52.140389442876668</v>
      </c>
      <c r="X221" s="14">
        <v>52.140389442876668</v>
      </c>
      <c r="Y221" s="14">
        <v>52.140389442876668</v>
      </c>
      <c r="Z221" s="14">
        <v>52.140389442876668</v>
      </c>
      <c r="AA221" s="14">
        <v>52.140389442876668</v>
      </c>
      <c r="AB221" s="14">
        <v>59.889219388888883</v>
      </c>
      <c r="AC221" s="14">
        <v>61.091319388888877</v>
      </c>
      <c r="AD221" s="14">
        <v>60.554419388888881</v>
      </c>
      <c r="AE221" s="14">
        <v>61.562389388888882</v>
      </c>
      <c r="AF221" s="14">
        <v>62.264279388888895</v>
      </c>
      <c r="AG221" s="14">
        <v>63.618059333333335</v>
      </c>
      <c r="AH221" s="14">
        <v>67.63217933333334</v>
      </c>
      <c r="AI221" s="15">
        <v>80.090569219274997</v>
      </c>
      <c r="AJ221" s="14">
        <v>64.166129346670559</v>
      </c>
      <c r="AK221" s="14">
        <v>64.166129346670559</v>
      </c>
      <c r="AL221" s="14">
        <v>64.166129346670559</v>
      </c>
      <c r="AM221" s="14">
        <v>64.166129346670559</v>
      </c>
      <c r="AN221" s="14">
        <v>64.166129346670559</v>
      </c>
      <c r="AO221" s="14">
        <v>64.166129346670559</v>
      </c>
      <c r="AP221" s="14">
        <v>64.166129346670559</v>
      </c>
      <c r="AQ221" s="14">
        <v>64.166129346670559</v>
      </c>
      <c r="AR221" s="14">
        <v>67.63217933333334</v>
      </c>
      <c r="AS221" s="14">
        <v>80.090569219274997</v>
      </c>
    </row>
    <row r="222" spans="1:45" x14ac:dyDescent="0.35">
      <c r="A222" s="16">
        <v>6165.5408820000002</v>
      </c>
      <c r="B222" s="14">
        <v>4.117268827777778</v>
      </c>
      <c r="C222" s="14">
        <v>4.0930818277777767</v>
      </c>
      <c r="D222" s="14">
        <v>4.0731958277777771</v>
      </c>
      <c r="E222" s="14">
        <v>4.0811978277777783</v>
      </c>
      <c r="F222" s="14">
        <v>4.1567288277777772</v>
      </c>
      <c r="G222" s="14">
        <v>4.4166458222222245</v>
      </c>
      <c r="H222" s="14">
        <v>7.0843038055555576</v>
      </c>
      <c r="I222" s="14">
        <v>17.237819722222223</v>
      </c>
      <c r="J222" s="14">
        <v>40.729029555555556</v>
      </c>
      <c r="K222" s="14">
        <v>59.730159388888893</v>
      </c>
      <c r="L222" s="14">
        <v>61.057049388888878</v>
      </c>
      <c r="M222" s="14">
        <v>60.513859388888896</v>
      </c>
      <c r="N222" s="14">
        <v>61.51898938888889</v>
      </c>
      <c r="O222" s="14">
        <v>62.221659388888888</v>
      </c>
      <c r="P222" s="14">
        <v>63.577689333333332</v>
      </c>
      <c r="Q222" s="14">
        <v>67.596749333333335</v>
      </c>
      <c r="R222" s="15">
        <v>80.05357921957112</v>
      </c>
      <c r="S222" s="14">
        <v>52.11743944306</v>
      </c>
      <c r="T222" s="14">
        <v>52.11743944306</v>
      </c>
      <c r="U222" s="14">
        <v>52.11743944306</v>
      </c>
      <c r="V222" s="14">
        <v>52.11743944306</v>
      </c>
      <c r="W222" s="14">
        <v>52.11743944306</v>
      </c>
      <c r="X222" s="14">
        <v>52.11743944306</v>
      </c>
      <c r="Y222" s="14">
        <v>52.11743944306</v>
      </c>
      <c r="Z222" s="14">
        <v>52.11743944306</v>
      </c>
      <c r="AA222" s="14">
        <v>52.11743944306</v>
      </c>
      <c r="AB222" s="14">
        <v>59.730159388888893</v>
      </c>
      <c r="AC222" s="14">
        <v>61.057049388888878</v>
      </c>
      <c r="AD222" s="14">
        <v>60.513859388888896</v>
      </c>
      <c r="AE222" s="14">
        <v>61.51898938888889</v>
      </c>
      <c r="AF222" s="14">
        <v>62.221659388888888</v>
      </c>
      <c r="AG222" s="14">
        <v>63.577689333333332</v>
      </c>
      <c r="AH222" s="14">
        <v>67.596749333333335</v>
      </c>
      <c r="AI222" s="15">
        <v>80.05357921957112</v>
      </c>
      <c r="AJ222" s="14">
        <v>64.137749346897778</v>
      </c>
      <c r="AK222" s="14">
        <v>64.137749346897778</v>
      </c>
      <c r="AL222" s="14">
        <v>64.137749346897778</v>
      </c>
      <c r="AM222" s="14">
        <v>64.137749346897778</v>
      </c>
      <c r="AN222" s="14">
        <v>64.137749346897778</v>
      </c>
      <c r="AO222" s="14">
        <v>64.137749346897778</v>
      </c>
      <c r="AP222" s="14">
        <v>64.137749346897778</v>
      </c>
      <c r="AQ222" s="14">
        <v>64.137749346897778</v>
      </c>
      <c r="AR222" s="14">
        <v>67.596749333333335</v>
      </c>
      <c r="AS222" s="14">
        <v>80.05357921957112</v>
      </c>
    </row>
    <row r="223" spans="1:45" x14ac:dyDescent="0.35">
      <c r="A223" s="16">
        <v>6188.2500060000002</v>
      </c>
      <c r="B223" s="14">
        <v>4.1175258277777775</v>
      </c>
      <c r="C223" s="14">
        <v>4.0935278277777778</v>
      </c>
      <c r="D223" s="14">
        <v>4.0743488277777793</v>
      </c>
      <c r="E223" s="14">
        <v>4.0817898277777767</v>
      </c>
      <c r="F223" s="14">
        <v>4.1559828277777795</v>
      </c>
      <c r="G223" s="14">
        <v>4.4100018222222204</v>
      </c>
      <c r="H223" s="14">
        <v>6.998052805555556</v>
      </c>
      <c r="I223" s="14">
        <v>16.950559722222224</v>
      </c>
      <c r="J223" s="14">
        <v>40.285909555555548</v>
      </c>
      <c r="K223" s="14">
        <v>59.567839388888878</v>
      </c>
      <c r="L223" s="14">
        <v>61.022359388888894</v>
      </c>
      <c r="M223" s="14">
        <v>60.47329938888889</v>
      </c>
      <c r="N223" s="14">
        <v>61.475499388888892</v>
      </c>
      <c r="O223" s="14">
        <v>62.178949388888896</v>
      </c>
      <c r="P223" s="14">
        <v>63.537219333333319</v>
      </c>
      <c r="Q223" s="14">
        <v>67.561239333333333</v>
      </c>
      <c r="R223" s="15">
        <v>80.016569219867222</v>
      </c>
      <c r="S223" s="14">
        <v>52.093109443255003</v>
      </c>
      <c r="T223" s="14">
        <v>52.093109443255003</v>
      </c>
      <c r="U223" s="14">
        <v>52.093109443255003</v>
      </c>
      <c r="V223" s="14">
        <v>52.093109443255003</v>
      </c>
      <c r="W223" s="14">
        <v>52.093109443255003</v>
      </c>
      <c r="X223" s="14">
        <v>52.093109443255003</v>
      </c>
      <c r="Y223" s="14">
        <v>52.093109443255003</v>
      </c>
      <c r="Z223" s="14">
        <v>52.093109443255003</v>
      </c>
      <c r="AA223" s="14">
        <v>52.093109443255003</v>
      </c>
      <c r="AB223" s="14">
        <v>59.567839388888878</v>
      </c>
      <c r="AC223" s="14">
        <v>61.022359388888894</v>
      </c>
      <c r="AD223" s="14">
        <v>60.47329938888889</v>
      </c>
      <c r="AE223" s="14">
        <v>61.475499388888892</v>
      </c>
      <c r="AF223" s="14">
        <v>62.178949388888896</v>
      </c>
      <c r="AG223" s="14">
        <v>63.537219333333319</v>
      </c>
      <c r="AH223" s="14">
        <v>67.561239333333333</v>
      </c>
      <c r="AI223" s="15">
        <v>80.016569219867222</v>
      </c>
      <c r="AJ223" s="14">
        <v>64.107749347137769</v>
      </c>
      <c r="AK223" s="14">
        <v>64.107749347137769</v>
      </c>
      <c r="AL223" s="14">
        <v>64.107749347137769</v>
      </c>
      <c r="AM223" s="14">
        <v>64.107749347137769</v>
      </c>
      <c r="AN223" s="14">
        <v>64.107749347137769</v>
      </c>
      <c r="AO223" s="14">
        <v>64.107749347137769</v>
      </c>
      <c r="AP223" s="14">
        <v>64.107749347137769</v>
      </c>
      <c r="AQ223" s="14">
        <v>64.107749347137769</v>
      </c>
      <c r="AR223" s="14">
        <v>67.561239333333333</v>
      </c>
      <c r="AS223" s="14">
        <v>80.016569219867222</v>
      </c>
    </row>
    <row r="224" spans="1:45" x14ac:dyDescent="0.35">
      <c r="A224" s="16">
        <v>6210.9598920000008</v>
      </c>
      <c r="B224" s="14">
        <v>4.1177958277777789</v>
      </c>
      <c r="C224" s="14">
        <v>4.0938598277777771</v>
      </c>
      <c r="D224" s="14">
        <v>4.0754688277777777</v>
      </c>
      <c r="E224" s="14">
        <v>4.0823908277777772</v>
      </c>
      <c r="F224" s="14">
        <v>4.1552648277777768</v>
      </c>
      <c r="G224" s="14">
        <v>4.4036158222222239</v>
      </c>
      <c r="H224" s="14">
        <v>6.9143068055555545</v>
      </c>
      <c r="I224" s="14">
        <v>16.668589727777778</v>
      </c>
      <c r="J224" s="14">
        <v>39.843439555555555</v>
      </c>
      <c r="K224" s="14">
        <v>59.402279388888893</v>
      </c>
      <c r="L224" s="14">
        <v>60.987149388888888</v>
      </c>
      <c r="M224" s="14">
        <v>60.432789388888892</v>
      </c>
      <c r="N224" s="14">
        <v>61.43199938888889</v>
      </c>
      <c r="O224" s="14">
        <v>62.136229388888893</v>
      </c>
      <c r="P224" s="14">
        <v>63.496739333333331</v>
      </c>
      <c r="Q224" s="14">
        <v>67.52573933333332</v>
      </c>
      <c r="R224" s="15">
        <v>79.979609220162786</v>
      </c>
      <c r="S224" s="14">
        <v>52.068409443452225</v>
      </c>
      <c r="T224" s="14">
        <v>52.068409443452225</v>
      </c>
      <c r="U224" s="14">
        <v>52.068409443452225</v>
      </c>
      <c r="V224" s="14">
        <v>52.068409443452225</v>
      </c>
      <c r="W224" s="14">
        <v>52.068409443452225</v>
      </c>
      <c r="X224" s="14">
        <v>52.068409443452225</v>
      </c>
      <c r="Y224" s="14">
        <v>52.068409443452225</v>
      </c>
      <c r="Z224" s="14">
        <v>52.068409443452225</v>
      </c>
      <c r="AA224" s="14">
        <v>52.068409443452225</v>
      </c>
      <c r="AB224" s="14">
        <v>59.402279388888893</v>
      </c>
      <c r="AC224" s="14">
        <v>60.987149388888888</v>
      </c>
      <c r="AD224" s="14">
        <v>60.432789388888892</v>
      </c>
      <c r="AE224" s="14">
        <v>61.43199938888889</v>
      </c>
      <c r="AF224" s="14">
        <v>62.136229388888893</v>
      </c>
      <c r="AG224" s="14">
        <v>63.496739333333331</v>
      </c>
      <c r="AH224" s="14">
        <v>67.52573933333332</v>
      </c>
      <c r="AI224" s="15">
        <v>79.979609220162786</v>
      </c>
      <c r="AJ224" s="14">
        <v>64.077679347378336</v>
      </c>
      <c r="AK224" s="14">
        <v>64.077679347378336</v>
      </c>
      <c r="AL224" s="14">
        <v>64.077679347378336</v>
      </c>
      <c r="AM224" s="14">
        <v>64.077679347378336</v>
      </c>
      <c r="AN224" s="14">
        <v>64.077679347378336</v>
      </c>
      <c r="AO224" s="14">
        <v>64.077679347378336</v>
      </c>
      <c r="AP224" s="14">
        <v>64.077679347378336</v>
      </c>
      <c r="AQ224" s="14">
        <v>64.077679347378336</v>
      </c>
      <c r="AR224" s="14">
        <v>67.52573933333332</v>
      </c>
      <c r="AS224" s="14">
        <v>79.979609220162786</v>
      </c>
    </row>
    <row r="225" spans="1:45" x14ac:dyDescent="0.35">
      <c r="A225" s="16">
        <v>6233.6705400000001</v>
      </c>
      <c r="B225" s="14">
        <v>4.1180818277777771</v>
      </c>
      <c r="C225" s="14">
        <v>4.0940918277777767</v>
      </c>
      <c r="D225" s="14">
        <v>4.0765558277777778</v>
      </c>
      <c r="E225" s="14">
        <v>4.0829978277777776</v>
      </c>
      <c r="F225" s="14">
        <v>4.1545758277777782</v>
      </c>
      <c r="G225" s="14">
        <v>4.3974778222222239</v>
      </c>
      <c r="H225" s="14">
        <v>6.8330078055555568</v>
      </c>
      <c r="I225" s="14">
        <v>16.391839727777779</v>
      </c>
      <c r="J225" s="14">
        <v>39.402119555555565</v>
      </c>
      <c r="K225" s="14">
        <v>59.233439388888897</v>
      </c>
      <c r="L225" s="14">
        <v>60.951559388888896</v>
      </c>
      <c r="M225" s="14">
        <v>60.392339388888885</v>
      </c>
      <c r="N225" s="14">
        <v>61.388469388888893</v>
      </c>
      <c r="O225" s="14">
        <v>62.093489388888898</v>
      </c>
      <c r="P225" s="14">
        <v>63.456239333333343</v>
      </c>
      <c r="Q225" s="14">
        <v>67.490249333333324</v>
      </c>
      <c r="R225" s="15">
        <v>79.942689220458334</v>
      </c>
      <c r="S225" s="14">
        <v>52.042629443658889</v>
      </c>
      <c r="T225" s="14">
        <v>52.042629443658889</v>
      </c>
      <c r="U225" s="14">
        <v>52.042629443658889</v>
      </c>
      <c r="V225" s="14">
        <v>52.042629443658889</v>
      </c>
      <c r="W225" s="14">
        <v>52.042629443658889</v>
      </c>
      <c r="X225" s="14">
        <v>52.042629443658889</v>
      </c>
      <c r="Y225" s="14">
        <v>52.042629443658889</v>
      </c>
      <c r="Z225" s="14">
        <v>52.042629443658889</v>
      </c>
      <c r="AA225" s="14">
        <v>52.042629443658889</v>
      </c>
      <c r="AB225" s="14">
        <v>59.233439388888897</v>
      </c>
      <c r="AC225" s="14">
        <v>60.951559388888896</v>
      </c>
      <c r="AD225" s="14">
        <v>60.392339388888885</v>
      </c>
      <c r="AE225" s="14">
        <v>61.388469388888893</v>
      </c>
      <c r="AF225" s="14">
        <v>62.093489388888898</v>
      </c>
      <c r="AG225" s="14">
        <v>63.456239333333343</v>
      </c>
      <c r="AH225" s="14">
        <v>67.490249333333324</v>
      </c>
      <c r="AI225" s="15">
        <v>79.942689220458334</v>
      </c>
      <c r="AJ225" s="14">
        <v>64.046429347628333</v>
      </c>
      <c r="AK225" s="14">
        <v>64.046429347628333</v>
      </c>
      <c r="AL225" s="14">
        <v>64.046429347628333</v>
      </c>
      <c r="AM225" s="14">
        <v>64.046429347628333</v>
      </c>
      <c r="AN225" s="14">
        <v>64.046429347628333</v>
      </c>
      <c r="AO225" s="14">
        <v>64.046429347628333</v>
      </c>
      <c r="AP225" s="14">
        <v>64.046429347628333</v>
      </c>
      <c r="AQ225" s="14">
        <v>64.046429347628333</v>
      </c>
      <c r="AR225" s="14">
        <v>67.490249333333324</v>
      </c>
      <c r="AS225" s="14">
        <v>79.942689220458334</v>
      </c>
    </row>
    <row r="226" spans="1:45" x14ac:dyDescent="0.35">
      <c r="A226" s="16">
        <v>6256.38195</v>
      </c>
      <c r="B226" s="14">
        <v>4.118425827777779</v>
      </c>
      <c r="C226" s="14">
        <v>4.0942068277777786</v>
      </c>
      <c r="D226" s="14">
        <v>4.0775778277777794</v>
      </c>
      <c r="E226" s="14">
        <v>4.083577827777777</v>
      </c>
      <c r="F226" s="14">
        <v>4.1538818277777763</v>
      </c>
      <c r="G226" s="14">
        <v>4.3915428222222239</v>
      </c>
      <c r="H226" s="14">
        <v>6.754051805555557</v>
      </c>
      <c r="I226" s="14">
        <v>16.120169733333334</v>
      </c>
      <c r="J226" s="14">
        <v>38.961929555555557</v>
      </c>
      <c r="K226" s="14">
        <v>59.06121938888888</v>
      </c>
      <c r="L226" s="14">
        <v>60.91549938888889</v>
      </c>
      <c r="M226" s="14">
        <v>60.351909388888885</v>
      </c>
      <c r="N226" s="14">
        <v>61.344879388888884</v>
      </c>
      <c r="O226" s="14">
        <v>62.050689388888891</v>
      </c>
      <c r="P226" s="14">
        <v>63.415659333333323</v>
      </c>
      <c r="Q226" s="14">
        <v>67.454699333333338</v>
      </c>
      <c r="R226" s="15">
        <v>79.905769220753328</v>
      </c>
      <c r="S226" s="14">
        <v>52.015719443873891</v>
      </c>
      <c r="T226" s="14">
        <v>52.015719443873891</v>
      </c>
      <c r="U226" s="14">
        <v>52.015719443873891</v>
      </c>
      <c r="V226" s="14">
        <v>52.015719443873891</v>
      </c>
      <c r="W226" s="14">
        <v>52.015719443873891</v>
      </c>
      <c r="X226" s="14">
        <v>52.015719443873891</v>
      </c>
      <c r="Y226" s="14">
        <v>52.015719443873891</v>
      </c>
      <c r="Z226" s="14">
        <v>52.015719443873891</v>
      </c>
      <c r="AA226" s="14">
        <v>52.015719443873891</v>
      </c>
      <c r="AB226" s="14">
        <v>59.06121938888888</v>
      </c>
      <c r="AC226" s="14">
        <v>60.91549938888889</v>
      </c>
      <c r="AD226" s="14">
        <v>60.351909388888885</v>
      </c>
      <c r="AE226" s="14">
        <v>61.344879388888884</v>
      </c>
      <c r="AF226" s="14">
        <v>62.050689388888891</v>
      </c>
      <c r="AG226" s="14">
        <v>63.415659333333323</v>
      </c>
      <c r="AH226" s="14">
        <v>67.454699333333338</v>
      </c>
      <c r="AI226" s="15">
        <v>79.905769220753328</v>
      </c>
      <c r="AJ226" s="14">
        <v>64.013259347893893</v>
      </c>
      <c r="AK226" s="14">
        <v>64.013259347893893</v>
      </c>
      <c r="AL226" s="14">
        <v>64.013259347893893</v>
      </c>
      <c r="AM226" s="14">
        <v>64.013259347893893</v>
      </c>
      <c r="AN226" s="14">
        <v>64.013259347893893</v>
      </c>
      <c r="AO226" s="14">
        <v>64.013259347893893</v>
      </c>
      <c r="AP226" s="14">
        <v>64.013259347893893</v>
      </c>
      <c r="AQ226" s="14">
        <v>64.013259347893893</v>
      </c>
      <c r="AR226" s="14">
        <v>67.454699333333338</v>
      </c>
      <c r="AS226" s="14">
        <v>79.905769220753328</v>
      </c>
    </row>
    <row r="227" spans="1:45" x14ac:dyDescent="0.35">
      <c r="A227" s="16">
        <v>6279.0941220000004</v>
      </c>
      <c r="B227" s="14">
        <v>4.1188228277777759</v>
      </c>
      <c r="C227" s="14">
        <v>4.0942198277777759</v>
      </c>
      <c r="D227" s="14">
        <v>4.0785358277777757</v>
      </c>
      <c r="E227" s="14">
        <v>4.0841288277777785</v>
      </c>
      <c r="F227" s="14">
        <v>4.1531808277777786</v>
      </c>
      <c r="G227" s="14">
        <v>4.385805822222224</v>
      </c>
      <c r="H227" s="14">
        <v>6.6773788055555547</v>
      </c>
      <c r="I227" s="14">
        <v>15.853499733333333</v>
      </c>
      <c r="J227" s="14">
        <v>38.522879555555555</v>
      </c>
      <c r="K227" s="14">
        <v>58.885599388888892</v>
      </c>
      <c r="L227" s="14">
        <v>60.87898938888889</v>
      </c>
      <c r="M227" s="14">
        <v>60.31148938888888</v>
      </c>
      <c r="N227" s="14">
        <v>61.301229388888892</v>
      </c>
      <c r="O227" s="14">
        <v>62.007829388888894</v>
      </c>
      <c r="P227" s="14">
        <v>63.375029333333337</v>
      </c>
      <c r="Q227" s="14">
        <v>67.419119333333327</v>
      </c>
      <c r="R227" s="15">
        <v>79.86884922104889</v>
      </c>
      <c r="S227" s="14">
        <v>51.988709444089999</v>
      </c>
      <c r="T227" s="14">
        <v>51.988709444089999</v>
      </c>
      <c r="U227" s="14">
        <v>51.988709444089999</v>
      </c>
      <c r="V227" s="14">
        <v>51.988709444089999</v>
      </c>
      <c r="W227" s="14">
        <v>51.988709444089999</v>
      </c>
      <c r="X227" s="14">
        <v>51.988709444089999</v>
      </c>
      <c r="Y227" s="14">
        <v>51.988709444089999</v>
      </c>
      <c r="Z227" s="14">
        <v>51.988709444089999</v>
      </c>
      <c r="AA227" s="14">
        <v>51.988709444089999</v>
      </c>
      <c r="AB227" s="14">
        <v>58.885599388888892</v>
      </c>
      <c r="AC227" s="14">
        <v>60.87898938888889</v>
      </c>
      <c r="AD227" s="14">
        <v>60.31148938888888</v>
      </c>
      <c r="AE227" s="14">
        <v>61.301229388888892</v>
      </c>
      <c r="AF227" s="14">
        <v>62.007829388888894</v>
      </c>
      <c r="AG227" s="14">
        <v>63.375029333333337</v>
      </c>
      <c r="AH227" s="14">
        <v>67.419119333333327</v>
      </c>
      <c r="AI227" s="15">
        <v>79.86884922104889</v>
      </c>
      <c r="AJ227" s="14">
        <v>63.977729348177768</v>
      </c>
      <c r="AK227" s="14">
        <v>63.977729348177768</v>
      </c>
      <c r="AL227" s="14">
        <v>63.977729348177768</v>
      </c>
      <c r="AM227" s="14">
        <v>63.977729348177768</v>
      </c>
      <c r="AN227" s="14">
        <v>63.977729348177768</v>
      </c>
      <c r="AO227" s="14">
        <v>63.977729348177768</v>
      </c>
      <c r="AP227" s="14">
        <v>63.977729348177768</v>
      </c>
      <c r="AQ227" s="14">
        <v>63.977729348177768</v>
      </c>
      <c r="AR227" s="14">
        <v>67.419119333333327</v>
      </c>
      <c r="AS227" s="14">
        <v>79.86884922104889</v>
      </c>
    </row>
    <row r="228" spans="1:45" x14ac:dyDescent="0.35">
      <c r="A228" s="16">
        <v>6309.5002080000004</v>
      </c>
      <c r="B228" s="14">
        <v>4.1186778277777787</v>
      </c>
      <c r="C228" s="14">
        <v>4.0947908277777776</v>
      </c>
      <c r="D228" s="14">
        <v>4.0807908277777791</v>
      </c>
      <c r="E228" s="14">
        <v>4.0856588277777757</v>
      </c>
      <c r="F228" s="14">
        <v>4.1524078277777772</v>
      </c>
      <c r="G228" s="14">
        <v>4.3767988222222227</v>
      </c>
      <c r="H228" s="14">
        <v>6.5541708055555539</v>
      </c>
      <c r="I228" s="14">
        <v>15.418429738888888</v>
      </c>
      <c r="J228" s="14">
        <v>37.787499555555556</v>
      </c>
      <c r="K228" s="14">
        <v>58.580909388888891</v>
      </c>
      <c r="L228" s="14">
        <v>60.816689388888875</v>
      </c>
      <c r="M228" s="14">
        <v>60.244069388888889</v>
      </c>
      <c r="N228" s="14">
        <v>61.228189388888886</v>
      </c>
      <c r="O228" s="14">
        <v>61.93612938888888</v>
      </c>
      <c r="P228" s="14">
        <v>63.307019333333329</v>
      </c>
      <c r="Q228" s="14">
        <v>67.359789333333339</v>
      </c>
      <c r="R228" s="15">
        <v>79.807539221539457</v>
      </c>
      <c r="S228" s="14">
        <v>51.96552944427556</v>
      </c>
      <c r="T228" s="14">
        <v>51.96552944427556</v>
      </c>
      <c r="U228" s="14">
        <v>51.96552944427556</v>
      </c>
      <c r="V228" s="14">
        <v>51.96552944427556</v>
      </c>
      <c r="W228" s="14">
        <v>51.96552944427556</v>
      </c>
      <c r="X228" s="14">
        <v>51.96552944427556</v>
      </c>
      <c r="Y228" s="14">
        <v>51.96552944427556</v>
      </c>
      <c r="Z228" s="14">
        <v>51.96552944427556</v>
      </c>
      <c r="AA228" s="14">
        <v>51.96552944427556</v>
      </c>
      <c r="AB228" s="14">
        <v>58.580909388888891</v>
      </c>
      <c r="AC228" s="14">
        <v>60.816689388888875</v>
      </c>
      <c r="AD228" s="14">
        <v>60.244069388888889</v>
      </c>
      <c r="AE228" s="14">
        <v>61.228189388888886</v>
      </c>
      <c r="AF228" s="14">
        <v>61.93612938888888</v>
      </c>
      <c r="AG228" s="14">
        <v>63.307019333333329</v>
      </c>
      <c r="AH228" s="14">
        <v>67.359789333333339</v>
      </c>
      <c r="AI228" s="15">
        <v>79.807539221539457</v>
      </c>
      <c r="AJ228" s="14">
        <v>63.94343934845223</v>
      </c>
      <c r="AK228" s="14">
        <v>63.94343934845223</v>
      </c>
      <c r="AL228" s="14">
        <v>63.94343934845223</v>
      </c>
      <c r="AM228" s="14">
        <v>63.94343934845223</v>
      </c>
      <c r="AN228" s="14">
        <v>63.94343934845223</v>
      </c>
      <c r="AO228" s="14">
        <v>63.94343934845223</v>
      </c>
      <c r="AP228" s="14">
        <v>63.94343934845223</v>
      </c>
      <c r="AQ228" s="14">
        <v>63.94343934845223</v>
      </c>
      <c r="AR228" s="14">
        <v>67.359789333333339</v>
      </c>
      <c r="AS228" s="14">
        <v>79.807539221539457</v>
      </c>
    </row>
    <row r="229" spans="1:45" x14ac:dyDescent="0.35">
      <c r="A229" s="16">
        <v>6347.6002079999998</v>
      </c>
      <c r="B229" s="14">
        <v>4.1190198277777768</v>
      </c>
      <c r="C229" s="14">
        <v>4.0958258277777775</v>
      </c>
      <c r="D229" s="14">
        <v>4.0835758277777776</v>
      </c>
      <c r="E229" s="14">
        <v>4.088039827777779</v>
      </c>
      <c r="F229" s="14">
        <v>4.1528488277777793</v>
      </c>
      <c r="G229" s="14">
        <v>4.3697408277777763</v>
      </c>
      <c r="H229" s="14">
        <v>6.4386698111111089</v>
      </c>
      <c r="I229" s="14">
        <v>14.998219738888887</v>
      </c>
      <c r="J229" s="14">
        <v>37.058359561111111</v>
      </c>
      <c r="K229" s="14">
        <v>58.267949388888887</v>
      </c>
      <c r="L229" s="14">
        <v>60.754719388888894</v>
      </c>
      <c r="M229" s="14">
        <v>60.178489388888892</v>
      </c>
      <c r="N229" s="14">
        <v>61.156759388888887</v>
      </c>
      <c r="O229" s="14">
        <v>61.866039388888893</v>
      </c>
      <c r="P229" s="14">
        <v>63.240439333333335</v>
      </c>
      <c r="Q229" s="14">
        <v>67.30212933333334</v>
      </c>
      <c r="R229" s="15">
        <v>79.748009222015554</v>
      </c>
      <c r="S229" s="14">
        <v>51.941169444470553</v>
      </c>
      <c r="T229" s="14">
        <v>51.941169444470553</v>
      </c>
      <c r="U229" s="14">
        <v>51.941169444470553</v>
      </c>
      <c r="V229" s="14">
        <v>51.941169444470553</v>
      </c>
      <c r="W229" s="14">
        <v>51.941169444470553</v>
      </c>
      <c r="X229" s="14">
        <v>51.941169444470553</v>
      </c>
      <c r="Y229" s="14">
        <v>51.941169444470553</v>
      </c>
      <c r="Z229" s="14">
        <v>51.941169444470553</v>
      </c>
      <c r="AA229" s="14">
        <v>51.941169444470553</v>
      </c>
      <c r="AB229" s="14">
        <v>58.267949388888887</v>
      </c>
      <c r="AC229" s="14">
        <v>60.754719388888894</v>
      </c>
      <c r="AD229" s="14">
        <v>60.178489388888892</v>
      </c>
      <c r="AE229" s="14">
        <v>61.156759388888887</v>
      </c>
      <c r="AF229" s="14">
        <v>61.866039388888893</v>
      </c>
      <c r="AG229" s="14">
        <v>63.240439333333335</v>
      </c>
      <c r="AH229" s="14">
        <v>67.30212933333334</v>
      </c>
      <c r="AI229" s="15">
        <v>79.748009222015554</v>
      </c>
      <c r="AJ229" s="14">
        <v>63.90673934874556</v>
      </c>
      <c r="AK229" s="14">
        <v>63.90673934874556</v>
      </c>
      <c r="AL229" s="14">
        <v>63.90673934874556</v>
      </c>
      <c r="AM229" s="14">
        <v>63.90673934874556</v>
      </c>
      <c r="AN229" s="14">
        <v>63.90673934874556</v>
      </c>
      <c r="AO229" s="14">
        <v>63.90673934874556</v>
      </c>
      <c r="AP229" s="14">
        <v>63.90673934874556</v>
      </c>
      <c r="AQ229" s="14">
        <v>63.90673934874556</v>
      </c>
      <c r="AR229" s="14">
        <v>67.30212933333334</v>
      </c>
      <c r="AS229" s="14">
        <v>79.748009222015554</v>
      </c>
    </row>
    <row r="230" spans="1:45" x14ac:dyDescent="0.35">
      <c r="A230" s="16">
        <v>6385.7002080000002</v>
      </c>
      <c r="B230" s="14">
        <v>4.1173378277777788</v>
      </c>
      <c r="C230" s="14">
        <v>4.0962208277777794</v>
      </c>
      <c r="D230" s="14">
        <v>4.0857618277777794</v>
      </c>
      <c r="E230" s="14">
        <v>4.0900288277777754</v>
      </c>
      <c r="F230" s="14">
        <v>4.1529938277777765</v>
      </c>
      <c r="G230" s="14">
        <v>4.3628408277777773</v>
      </c>
      <c r="H230" s="14">
        <v>6.3286938111111093</v>
      </c>
      <c r="I230" s="14">
        <v>14.591399744444447</v>
      </c>
      <c r="J230" s="14">
        <v>36.334119566666665</v>
      </c>
      <c r="K230" s="14">
        <v>57.94501938888888</v>
      </c>
      <c r="L230" s="14">
        <v>60.690859388888889</v>
      </c>
      <c r="M230" s="14">
        <v>60.112599388888889</v>
      </c>
      <c r="N230" s="14">
        <v>61.084799388888896</v>
      </c>
      <c r="O230" s="14">
        <v>61.79543938888888</v>
      </c>
      <c r="P230" s="14">
        <v>63.173259333333334</v>
      </c>
      <c r="Q230" s="14">
        <v>67.243999333333335</v>
      </c>
      <c r="R230" s="15">
        <v>79.688069222495017</v>
      </c>
      <c r="S230" s="14">
        <v>51.899259444805551</v>
      </c>
      <c r="T230" s="14">
        <v>51.899259444805551</v>
      </c>
      <c r="U230" s="14">
        <v>51.899259444805551</v>
      </c>
      <c r="V230" s="14">
        <v>51.899259444805551</v>
      </c>
      <c r="W230" s="14">
        <v>51.899259444805551</v>
      </c>
      <c r="X230" s="14">
        <v>51.899259444805551</v>
      </c>
      <c r="Y230" s="14">
        <v>51.899259444805551</v>
      </c>
      <c r="Z230" s="14">
        <v>51.899259444805551</v>
      </c>
      <c r="AA230" s="14">
        <v>51.899259444805551</v>
      </c>
      <c r="AB230" s="14">
        <v>57.94501938888888</v>
      </c>
      <c r="AC230" s="14">
        <v>60.690859388888889</v>
      </c>
      <c r="AD230" s="14">
        <v>60.112599388888889</v>
      </c>
      <c r="AE230" s="14">
        <v>61.084799388888896</v>
      </c>
      <c r="AF230" s="14">
        <v>61.79543938888888</v>
      </c>
      <c r="AG230" s="14">
        <v>63.173259333333334</v>
      </c>
      <c r="AH230" s="14">
        <v>67.243999333333335</v>
      </c>
      <c r="AI230" s="15">
        <v>79.688069222495017</v>
      </c>
      <c r="AJ230" s="14">
        <v>63.856469349147773</v>
      </c>
      <c r="AK230" s="14">
        <v>63.856469349147773</v>
      </c>
      <c r="AL230" s="14">
        <v>63.856469349147773</v>
      </c>
      <c r="AM230" s="14">
        <v>63.856469349147773</v>
      </c>
      <c r="AN230" s="14">
        <v>63.856469349147773</v>
      </c>
      <c r="AO230" s="14">
        <v>63.856469349147773</v>
      </c>
      <c r="AP230" s="14">
        <v>63.856469349147773</v>
      </c>
      <c r="AQ230" s="14">
        <v>63.856469349147773</v>
      </c>
      <c r="AR230" s="14">
        <v>67.243999333333335</v>
      </c>
      <c r="AS230" s="14">
        <v>79.688069222495017</v>
      </c>
    </row>
    <row r="231" spans="1:45" x14ac:dyDescent="0.35">
      <c r="A231" s="16">
        <v>6423.8002079999997</v>
      </c>
      <c r="B231" s="14">
        <v>4.1172058277777763</v>
      </c>
      <c r="C231" s="14">
        <v>4.0961698277777794</v>
      </c>
      <c r="D231" s="14">
        <v>4.0874198277777767</v>
      </c>
      <c r="E231" s="14">
        <v>4.0916348277777779</v>
      </c>
      <c r="F231" s="14">
        <v>4.1528458277777762</v>
      </c>
      <c r="G231" s="14">
        <v>4.3560688277777775</v>
      </c>
      <c r="H231" s="14">
        <v>6.2239818111111118</v>
      </c>
      <c r="I231" s="14">
        <v>14.197569744444444</v>
      </c>
      <c r="J231" s="14">
        <v>35.612969577777775</v>
      </c>
      <c r="K231" s="14">
        <v>57.612019388888889</v>
      </c>
      <c r="L231" s="14">
        <v>60.625029388888883</v>
      </c>
      <c r="M231" s="14">
        <v>60.046409388888897</v>
      </c>
      <c r="N231" s="14">
        <v>61.01222938888889</v>
      </c>
      <c r="O231" s="14">
        <v>61.72432938888889</v>
      </c>
      <c r="P231" s="14">
        <v>63.105559333333332</v>
      </c>
      <c r="Q231" s="14">
        <v>67.185379333333344</v>
      </c>
      <c r="R231" s="15">
        <v>79.627729222977777</v>
      </c>
      <c r="S231" s="14">
        <v>51.853109445175001</v>
      </c>
      <c r="T231" s="14">
        <v>51.853109445175001</v>
      </c>
      <c r="U231" s="14">
        <v>51.853109445175001</v>
      </c>
      <c r="V231" s="14">
        <v>51.853109445175001</v>
      </c>
      <c r="W231" s="14">
        <v>51.853109445175001</v>
      </c>
      <c r="X231" s="14">
        <v>51.853109445175001</v>
      </c>
      <c r="Y231" s="14">
        <v>51.853109445175001</v>
      </c>
      <c r="Z231" s="14">
        <v>51.853109445175001</v>
      </c>
      <c r="AA231" s="14">
        <v>51.853109445175001</v>
      </c>
      <c r="AB231" s="14">
        <v>57.612019388888889</v>
      </c>
      <c r="AC231" s="14">
        <v>60.625029388888883</v>
      </c>
      <c r="AD231" s="14">
        <v>60.046409388888897</v>
      </c>
      <c r="AE231" s="14">
        <v>61.01222938888889</v>
      </c>
      <c r="AF231" s="14">
        <v>61.72432938888889</v>
      </c>
      <c r="AG231" s="14">
        <v>63.105559333333332</v>
      </c>
      <c r="AH231" s="14">
        <v>67.185379333333344</v>
      </c>
      <c r="AI231" s="15">
        <v>79.627729222977777</v>
      </c>
      <c r="AJ231" s="14">
        <v>63.802779349577222</v>
      </c>
      <c r="AK231" s="14">
        <v>63.802779349577222</v>
      </c>
      <c r="AL231" s="14">
        <v>63.802779349577222</v>
      </c>
      <c r="AM231" s="14">
        <v>63.802779349577222</v>
      </c>
      <c r="AN231" s="14">
        <v>63.802779349577222</v>
      </c>
      <c r="AO231" s="14">
        <v>63.802779349577222</v>
      </c>
      <c r="AP231" s="14">
        <v>63.802779349577222</v>
      </c>
      <c r="AQ231" s="14">
        <v>63.802779349577222</v>
      </c>
      <c r="AR231" s="14">
        <v>67.185379333333344</v>
      </c>
      <c r="AS231" s="14">
        <v>79.627729222977777</v>
      </c>
    </row>
    <row r="232" spans="1:45" x14ac:dyDescent="0.35">
      <c r="A232" s="16">
        <v>6461.900208</v>
      </c>
      <c r="B232" s="14">
        <v>4.117313827777779</v>
      </c>
      <c r="C232" s="14">
        <v>4.096305827777778</v>
      </c>
      <c r="D232" s="14">
        <v>4.0891608277777776</v>
      </c>
      <c r="E232" s="14">
        <v>4.0934438277777794</v>
      </c>
      <c r="F232" s="14">
        <v>4.1529928277777763</v>
      </c>
      <c r="G232" s="14">
        <v>4.3499718277777788</v>
      </c>
      <c r="H232" s="14">
        <v>6.1248608111111125</v>
      </c>
      <c r="I232" s="14">
        <v>13.81697975</v>
      </c>
      <c r="J232" s="14">
        <v>34.89781958333333</v>
      </c>
      <c r="K232" s="14">
        <v>57.269579388888893</v>
      </c>
      <c r="L232" s="14">
        <v>60.55792938888888</v>
      </c>
      <c r="M232" s="14">
        <v>59.980669388888892</v>
      </c>
      <c r="N232" s="14">
        <v>60.939639388888885</v>
      </c>
      <c r="O232" s="14">
        <v>61.653469388888894</v>
      </c>
      <c r="P232" s="14">
        <v>63.038109333333331</v>
      </c>
      <c r="Q232" s="14">
        <v>67.127099333333334</v>
      </c>
      <c r="R232" s="15">
        <v>79.567839223457227</v>
      </c>
      <c r="S232" s="14">
        <v>51.830149445358337</v>
      </c>
      <c r="T232" s="14">
        <v>51.830149445358337</v>
      </c>
      <c r="U232" s="14">
        <v>51.830149445358337</v>
      </c>
      <c r="V232" s="14">
        <v>51.830149445358337</v>
      </c>
      <c r="W232" s="14">
        <v>51.830149445358337</v>
      </c>
      <c r="X232" s="14">
        <v>51.830149445358337</v>
      </c>
      <c r="Y232" s="14">
        <v>51.830149445358337</v>
      </c>
      <c r="Z232" s="14">
        <v>51.830149445358337</v>
      </c>
      <c r="AA232" s="14">
        <v>51.830149445358337</v>
      </c>
      <c r="AB232" s="14">
        <v>57.269579388888893</v>
      </c>
      <c r="AC232" s="14">
        <v>60.55792938888888</v>
      </c>
      <c r="AD232" s="14">
        <v>59.980669388888892</v>
      </c>
      <c r="AE232" s="14">
        <v>60.939639388888885</v>
      </c>
      <c r="AF232" s="14">
        <v>61.653469388888894</v>
      </c>
      <c r="AG232" s="14">
        <v>63.038109333333331</v>
      </c>
      <c r="AH232" s="14">
        <v>67.127099333333334</v>
      </c>
      <c r="AI232" s="15">
        <v>79.567839223457227</v>
      </c>
      <c r="AJ232" s="14">
        <v>63.762849349896669</v>
      </c>
      <c r="AK232" s="14">
        <v>63.762849349896669</v>
      </c>
      <c r="AL232" s="14">
        <v>63.762849349896669</v>
      </c>
      <c r="AM232" s="14">
        <v>63.762849349896669</v>
      </c>
      <c r="AN232" s="14">
        <v>63.762849349896669</v>
      </c>
      <c r="AO232" s="14">
        <v>63.762849349896669</v>
      </c>
      <c r="AP232" s="14">
        <v>63.762849349896669</v>
      </c>
      <c r="AQ232" s="14">
        <v>63.762849349896669</v>
      </c>
      <c r="AR232" s="14">
        <v>67.127099333333334</v>
      </c>
      <c r="AS232" s="14">
        <v>79.567839223457227</v>
      </c>
    </row>
    <row r="233" spans="1:45" x14ac:dyDescent="0.35">
      <c r="A233" s="16">
        <v>6500.0002080000004</v>
      </c>
      <c r="B233" s="14">
        <v>4.1203628277777762</v>
      </c>
      <c r="C233" s="14">
        <v>4.0968248277777795</v>
      </c>
      <c r="D233" s="14">
        <v>4.0910798277777776</v>
      </c>
      <c r="E233" s="14">
        <v>4.0954698277777783</v>
      </c>
      <c r="F233" s="14">
        <v>4.1534318277777791</v>
      </c>
      <c r="G233" s="14">
        <v>4.3445158277777791</v>
      </c>
      <c r="H233" s="14">
        <v>6.0310838111111114</v>
      </c>
      <c r="I233" s="14">
        <v>13.449039750000001</v>
      </c>
      <c r="J233" s="14">
        <v>34.189829588888891</v>
      </c>
      <c r="K233" s="14">
        <v>56.9175693888889</v>
      </c>
      <c r="L233" s="14">
        <v>60.489459388888889</v>
      </c>
      <c r="M233" s="14">
        <v>59.915369388888898</v>
      </c>
      <c r="N233" s="14">
        <v>60.867299388888895</v>
      </c>
      <c r="O233" s="14">
        <v>61.582869388888895</v>
      </c>
      <c r="P233" s="14">
        <v>62.970929333333338</v>
      </c>
      <c r="Q233" s="14">
        <v>67.069149333333343</v>
      </c>
      <c r="R233" s="15">
        <v>79.508379223932778</v>
      </c>
      <c r="S233" s="14">
        <v>51.837529445299452</v>
      </c>
      <c r="T233" s="14">
        <v>51.837529445299452</v>
      </c>
      <c r="U233" s="14">
        <v>51.837529445299452</v>
      </c>
      <c r="V233" s="14">
        <v>51.837529445299452</v>
      </c>
      <c r="W233" s="14">
        <v>51.837529445299452</v>
      </c>
      <c r="X233" s="14">
        <v>51.837529445299452</v>
      </c>
      <c r="Y233" s="14">
        <v>51.837529445299452</v>
      </c>
      <c r="Z233" s="14">
        <v>51.837529445299452</v>
      </c>
      <c r="AA233" s="14">
        <v>51.837529445299452</v>
      </c>
      <c r="AB233" s="14">
        <v>56.9175693888889</v>
      </c>
      <c r="AC233" s="14">
        <v>60.489459388888889</v>
      </c>
      <c r="AD233" s="14">
        <v>59.915369388888898</v>
      </c>
      <c r="AE233" s="14">
        <v>60.867299388888895</v>
      </c>
      <c r="AF233" s="14">
        <v>61.582869388888895</v>
      </c>
      <c r="AG233" s="14">
        <v>62.970929333333338</v>
      </c>
      <c r="AH233" s="14">
        <v>67.069149333333343</v>
      </c>
      <c r="AI233" s="15">
        <v>79.508379223932778</v>
      </c>
      <c r="AJ233" s="14">
        <v>63.751899349984441</v>
      </c>
      <c r="AK233" s="14">
        <v>63.751899349984441</v>
      </c>
      <c r="AL233" s="14">
        <v>63.751899349984441</v>
      </c>
      <c r="AM233" s="14">
        <v>63.751899349984441</v>
      </c>
      <c r="AN233" s="14">
        <v>63.751899349984441</v>
      </c>
      <c r="AO233" s="14">
        <v>63.751899349984441</v>
      </c>
      <c r="AP233" s="14">
        <v>63.751899349984441</v>
      </c>
      <c r="AQ233" s="14">
        <v>63.751899349984441</v>
      </c>
      <c r="AR233" s="14">
        <v>67.069149333333343</v>
      </c>
      <c r="AS233" s="14">
        <v>79.508379223932778</v>
      </c>
    </row>
    <row r="234" spans="1:45" x14ac:dyDescent="0.35">
      <c r="A234" s="16">
        <v>6530.4070560000009</v>
      </c>
      <c r="B234" s="14">
        <v>4.1164088277777786</v>
      </c>
      <c r="C234" s="14">
        <v>4.0967398277777773</v>
      </c>
      <c r="D234" s="14">
        <v>4.0918818277777786</v>
      </c>
      <c r="E234" s="14">
        <v>4.0966218277777795</v>
      </c>
      <c r="F234" s="14">
        <v>4.1539628277777787</v>
      </c>
      <c r="G234" s="14">
        <v>4.3419678277777782</v>
      </c>
      <c r="H234" s="14">
        <v>5.9780098111111117</v>
      </c>
      <c r="I234" s="14">
        <v>13.234179755555557</v>
      </c>
      <c r="J234" s="14">
        <v>33.770529588888891</v>
      </c>
      <c r="K234" s="14">
        <v>56.704739388888896</v>
      </c>
      <c r="L234" s="14">
        <v>60.448569388888892</v>
      </c>
      <c r="M234" s="14">
        <v>59.87701938888889</v>
      </c>
      <c r="N234" s="14">
        <v>60.824669388888879</v>
      </c>
      <c r="O234" s="14">
        <v>61.541259388888875</v>
      </c>
      <c r="P234" s="14">
        <v>62.931369333333336</v>
      </c>
      <c r="Q234" s="14">
        <v>67.035049333333333</v>
      </c>
      <c r="R234" s="15">
        <v>79.473319224213327</v>
      </c>
      <c r="S234" s="14">
        <v>51.781809445745552</v>
      </c>
      <c r="T234" s="14">
        <v>51.781809445745552</v>
      </c>
      <c r="U234" s="14">
        <v>51.781809445745552</v>
      </c>
      <c r="V234" s="14">
        <v>51.781809445745552</v>
      </c>
      <c r="W234" s="14">
        <v>51.781809445745552</v>
      </c>
      <c r="X234" s="14">
        <v>51.781809445745552</v>
      </c>
      <c r="Y234" s="14">
        <v>51.781809445745552</v>
      </c>
      <c r="Z234" s="14">
        <v>51.781809445745552</v>
      </c>
      <c r="AA234" s="14">
        <v>51.781809445745552</v>
      </c>
      <c r="AB234" s="14">
        <v>56.704739388888896</v>
      </c>
      <c r="AC234" s="14">
        <v>60.448569388888892</v>
      </c>
      <c r="AD234" s="14">
        <v>59.87701938888889</v>
      </c>
      <c r="AE234" s="14">
        <v>60.824669388888879</v>
      </c>
      <c r="AF234" s="14">
        <v>61.541259388888875</v>
      </c>
      <c r="AG234" s="14">
        <v>62.931369333333336</v>
      </c>
      <c r="AH234" s="14">
        <v>67.035049333333333</v>
      </c>
      <c r="AI234" s="15">
        <v>79.473319224213327</v>
      </c>
      <c r="AJ234" s="14">
        <v>63.702129350382769</v>
      </c>
      <c r="AK234" s="14">
        <v>63.702129350382769</v>
      </c>
      <c r="AL234" s="14">
        <v>63.702129350382769</v>
      </c>
      <c r="AM234" s="14">
        <v>63.702129350382769</v>
      </c>
      <c r="AN234" s="14">
        <v>63.702129350382769</v>
      </c>
      <c r="AO234" s="14">
        <v>63.702129350382769</v>
      </c>
      <c r="AP234" s="14">
        <v>63.702129350382769</v>
      </c>
      <c r="AQ234" s="14">
        <v>63.702129350382769</v>
      </c>
      <c r="AR234" s="14">
        <v>67.035049333333333</v>
      </c>
      <c r="AS234" s="14">
        <v>79.473319224213327</v>
      </c>
    </row>
    <row r="235" spans="1:45" x14ac:dyDescent="0.35">
      <c r="A235" s="16">
        <v>6553.1207520000007</v>
      </c>
      <c r="B235" s="14">
        <v>4.1168408277777777</v>
      </c>
      <c r="C235" s="14">
        <v>4.0961578277777768</v>
      </c>
      <c r="D235" s="14">
        <v>4.0921218277777767</v>
      </c>
      <c r="E235" s="14">
        <v>4.0970608277777778</v>
      </c>
      <c r="F235" s="14">
        <v>4.1535308277777796</v>
      </c>
      <c r="G235" s="14">
        <v>4.3382908277777767</v>
      </c>
      <c r="H235" s="14">
        <v>5.9248578111111092</v>
      </c>
      <c r="I235" s="14">
        <v>13.022019755555554</v>
      </c>
      <c r="J235" s="14">
        <v>33.350769594444444</v>
      </c>
      <c r="K235" s="14">
        <v>56.48672938888889</v>
      </c>
      <c r="L235" s="14">
        <v>60.405579388888881</v>
      </c>
      <c r="M235" s="14">
        <v>59.837259388888889</v>
      </c>
      <c r="N235" s="14">
        <v>60.780569388888885</v>
      </c>
      <c r="O235" s="14">
        <v>61.498199388888878</v>
      </c>
      <c r="P235" s="14">
        <v>62.890329333333334</v>
      </c>
      <c r="Q235" s="14">
        <v>66.999519333333339</v>
      </c>
      <c r="R235" s="15">
        <v>79.436879224504452</v>
      </c>
      <c r="S235" s="14">
        <v>51.725679446194448</v>
      </c>
      <c r="T235" s="14">
        <v>51.725679446194448</v>
      </c>
      <c r="U235" s="14">
        <v>51.725679446194448</v>
      </c>
      <c r="V235" s="14">
        <v>51.725679446194448</v>
      </c>
      <c r="W235" s="14">
        <v>51.725679446194448</v>
      </c>
      <c r="X235" s="14">
        <v>51.725679446194448</v>
      </c>
      <c r="Y235" s="14">
        <v>51.725679446194448</v>
      </c>
      <c r="Z235" s="14">
        <v>51.725679446194448</v>
      </c>
      <c r="AA235" s="14">
        <v>51.725679446194448</v>
      </c>
      <c r="AB235" s="14">
        <v>56.48672938888889</v>
      </c>
      <c r="AC235" s="14">
        <v>60.405579388888881</v>
      </c>
      <c r="AD235" s="14">
        <v>59.837259388888889</v>
      </c>
      <c r="AE235" s="14">
        <v>60.780569388888885</v>
      </c>
      <c r="AF235" s="14">
        <v>61.498199388888878</v>
      </c>
      <c r="AG235" s="14">
        <v>62.890329333333334</v>
      </c>
      <c r="AH235" s="14">
        <v>66.999519333333339</v>
      </c>
      <c r="AI235" s="15">
        <v>79.436879224504452</v>
      </c>
      <c r="AJ235" s="14">
        <v>63.648439350812218</v>
      </c>
      <c r="AK235" s="14">
        <v>63.648439350812218</v>
      </c>
      <c r="AL235" s="14">
        <v>63.648439350812218</v>
      </c>
      <c r="AM235" s="14">
        <v>63.648439350812218</v>
      </c>
      <c r="AN235" s="14">
        <v>63.648439350812218</v>
      </c>
      <c r="AO235" s="14">
        <v>63.648439350812218</v>
      </c>
      <c r="AP235" s="14">
        <v>63.648439350812218</v>
      </c>
      <c r="AQ235" s="14">
        <v>63.648439350812218</v>
      </c>
      <c r="AR235" s="14">
        <v>66.999519333333339</v>
      </c>
      <c r="AS235" s="14">
        <v>79.436879224504452</v>
      </c>
    </row>
    <row r="236" spans="1:45" x14ac:dyDescent="0.35">
      <c r="A236" s="16">
        <v>6575.8420679999999</v>
      </c>
      <c r="B236" s="14">
        <v>4.1176218277777785</v>
      </c>
      <c r="C236" s="14">
        <v>4.0954308277777765</v>
      </c>
      <c r="D236" s="14">
        <v>4.0921528277777792</v>
      </c>
      <c r="E236" s="14">
        <v>4.0973028277777761</v>
      </c>
      <c r="F236" s="14">
        <v>4.1529278277777788</v>
      </c>
      <c r="G236" s="14">
        <v>4.334549827777777</v>
      </c>
      <c r="H236" s="14">
        <v>5.8731478111111102</v>
      </c>
      <c r="I236" s="14">
        <v>12.813989755555555</v>
      </c>
      <c r="J236" s="14">
        <v>32.933399594444445</v>
      </c>
      <c r="K236" s="14">
        <v>56.263959388888892</v>
      </c>
      <c r="L236" s="14">
        <v>60.361679388888888</v>
      </c>
      <c r="M236" s="14">
        <v>59.797279388888882</v>
      </c>
      <c r="N236" s="14">
        <v>60.736169388888896</v>
      </c>
      <c r="O236" s="14">
        <v>61.454829388888896</v>
      </c>
      <c r="P236" s="14">
        <v>62.848989333333328</v>
      </c>
      <c r="Q236" s="14">
        <v>66.963709333333327</v>
      </c>
      <c r="R236" s="15">
        <v>79.40015922479833</v>
      </c>
      <c r="S236" s="14">
        <v>51.703239446373885</v>
      </c>
      <c r="T236" s="14">
        <v>51.703239446373885</v>
      </c>
      <c r="U236" s="14">
        <v>51.703239446373885</v>
      </c>
      <c r="V236" s="14">
        <v>51.703239446373885</v>
      </c>
      <c r="W236" s="14">
        <v>51.703239446373885</v>
      </c>
      <c r="X236" s="14">
        <v>51.703239446373885</v>
      </c>
      <c r="Y236" s="14">
        <v>51.703239446373885</v>
      </c>
      <c r="Z236" s="14">
        <v>51.703239446373885</v>
      </c>
      <c r="AA236" s="14">
        <v>51.703239446373885</v>
      </c>
      <c r="AB236" s="14">
        <v>56.263959388888892</v>
      </c>
      <c r="AC236" s="14">
        <v>60.361679388888888</v>
      </c>
      <c r="AD236" s="14">
        <v>59.797279388888882</v>
      </c>
      <c r="AE236" s="14">
        <v>60.736169388888896</v>
      </c>
      <c r="AF236" s="14">
        <v>61.454829388888896</v>
      </c>
      <c r="AG236" s="14">
        <v>62.848989333333328</v>
      </c>
      <c r="AH236" s="14">
        <v>66.963709333333327</v>
      </c>
      <c r="AI236" s="15">
        <v>79.40015922479833</v>
      </c>
      <c r="AJ236" s="14">
        <v>63.620329351037221</v>
      </c>
      <c r="AK236" s="14">
        <v>63.620329351037221</v>
      </c>
      <c r="AL236" s="14">
        <v>63.620329351037221</v>
      </c>
      <c r="AM236" s="14">
        <v>63.620329351037221</v>
      </c>
      <c r="AN236" s="14">
        <v>63.620329351037221</v>
      </c>
      <c r="AO236" s="14">
        <v>63.620329351037221</v>
      </c>
      <c r="AP236" s="14">
        <v>63.620329351037221</v>
      </c>
      <c r="AQ236" s="14">
        <v>63.620329351037221</v>
      </c>
      <c r="AR236" s="14">
        <v>66.963709333333327</v>
      </c>
      <c r="AS236" s="14">
        <v>79.40015922479833</v>
      </c>
    </row>
    <row r="237" spans="1:45" x14ac:dyDescent="0.35">
      <c r="A237" s="16">
        <v>6598.5710040000004</v>
      </c>
      <c r="B237" s="14">
        <v>4.1186248277777793</v>
      </c>
      <c r="C237" s="14">
        <v>4.0945738277777757</v>
      </c>
      <c r="D237" s="14">
        <v>4.0919868277777773</v>
      </c>
      <c r="E237" s="14">
        <v>4.0973478277777771</v>
      </c>
      <c r="F237" s="14">
        <v>4.1521548277777773</v>
      </c>
      <c r="G237" s="14">
        <v>4.3307408277777766</v>
      </c>
      <c r="H237" s="14">
        <v>5.8228728111111119</v>
      </c>
      <c r="I237" s="14">
        <v>12.610119761111113</v>
      </c>
      <c r="J237" s="14">
        <v>32.5187296</v>
      </c>
      <c r="K237" s="14">
        <v>56.037529388888885</v>
      </c>
      <c r="L237" s="14">
        <v>60.316869388888875</v>
      </c>
      <c r="M237" s="14">
        <v>59.757099388888896</v>
      </c>
      <c r="N237" s="14">
        <v>60.691509388888875</v>
      </c>
      <c r="O237" s="14">
        <v>61.411209388888892</v>
      </c>
      <c r="P237" s="14">
        <v>62.807379333333337</v>
      </c>
      <c r="Q237" s="14">
        <v>66.927639333333346</v>
      </c>
      <c r="R237" s="15">
        <v>79.36318922509389</v>
      </c>
      <c r="S237" s="14">
        <v>51.679939446559999</v>
      </c>
      <c r="T237" s="14">
        <v>51.679939446559999</v>
      </c>
      <c r="U237" s="14">
        <v>51.679939446559999</v>
      </c>
      <c r="V237" s="14">
        <v>51.679939446559999</v>
      </c>
      <c r="W237" s="14">
        <v>51.679939446559999</v>
      </c>
      <c r="X237" s="14">
        <v>51.679939446559999</v>
      </c>
      <c r="Y237" s="14">
        <v>51.679939446559999</v>
      </c>
      <c r="Z237" s="14">
        <v>51.679939446559999</v>
      </c>
      <c r="AA237" s="14">
        <v>51.679939446559999</v>
      </c>
      <c r="AB237" s="14">
        <v>56.037529388888885</v>
      </c>
      <c r="AC237" s="14">
        <v>60.316869388888875</v>
      </c>
      <c r="AD237" s="14">
        <v>59.757099388888896</v>
      </c>
      <c r="AE237" s="14">
        <v>60.691509388888875</v>
      </c>
      <c r="AF237" s="14">
        <v>61.411209388888892</v>
      </c>
      <c r="AG237" s="14">
        <v>62.807379333333337</v>
      </c>
      <c r="AH237" s="14">
        <v>66.927639333333346</v>
      </c>
      <c r="AI237" s="15">
        <v>79.36318922509389</v>
      </c>
      <c r="AJ237" s="14">
        <v>63.59097935127167</v>
      </c>
      <c r="AK237" s="14">
        <v>63.59097935127167</v>
      </c>
      <c r="AL237" s="14">
        <v>63.59097935127167</v>
      </c>
      <c r="AM237" s="14">
        <v>63.59097935127167</v>
      </c>
      <c r="AN237" s="14">
        <v>63.59097935127167</v>
      </c>
      <c r="AO237" s="14">
        <v>63.59097935127167</v>
      </c>
      <c r="AP237" s="14">
        <v>63.59097935127167</v>
      </c>
      <c r="AQ237" s="14">
        <v>63.59097935127167</v>
      </c>
      <c r="AR237" s="14">
        <v>66.927639333333346</v>
      </c>
      <c r="AS237" s="14">
        <v>79.36318922509389</v>
      </c>
    </row>
    <row r="238" spans="1:45" x14ac:dyDescent="0.35">
      <c r="A238" s="16">
        <v>6621.3075600000002</v>
      </c>
      <c r="B238" s="14">
        <v>4.119802827777777</v>
      </c>
      <c r="C238" s="14">
        <v>4.0936478277777786</v>
      </c>
      <c r="D238" s="14">
        <v>4.0916818277777782</v>
      </c>
      <c r="E238" s="14">
        <v>4.0972468277777772</v>
      </c>
      <c r="F238" s="14">
        <v>4.1512588277777791</v>
      </c>
      <c r="G238" s="14">
        <v>4.3268908277777776</v>
      </c>
      <c r="H238" s="14">
        <v>5.7739978111111121</v>
      </c>
      <c r="I238" s="14">
        <v>12.41024976111111</v>
      </c>
      <c r="J238" s="14">
        <v>32.106579605555552</v>
      </c>
      <c r="K238" s="14">
        <v>55.807349388888888</v>
      </c>
      <c r="L238" s="14">
        <v>60.271169388888893</v>
      </c>
      <c r="M238" s="14">
        <v>59.716749388888893</v>
      </c>
      <c r="N238" s="14">
        <v>60.646629388888883</v>
      </c>
      <c r="O238" s="14">
        <v>61.367349388888897</v>
      </c>
      <c r="P238" s="14">
        <v>62.765539333333336</v>
      </c>
      <c r="Q238" s="14">
        <v>66.891359333333327</v>
      </c>
      <c r="R238" s="15">
        <v>79.326009225391672</v>
      </c>
      <c r="S238" s="14">
        <v>51.656639446746659</v>
      </c>
      <c r="T238" s="14">
        <v>51.656639446746659</v>
      </c>
      <c r="U238" s="14">
        <v>51.656639446746659</v>
      </c>
      <c r="V238" s="14">
        <v>51.656639446746659</v>
      </c>
      <c r="W238" s="14">
        <v>51.656639446746659</v>
      </c>
      <c r="X238" s="14">
        <v>51.656639446746659</v>
      </c>
      <c r="Y238" s="14">
        <v>51.656639446746659</v>
      </c>
      <c r="Z238" s="14">
        <v>51.656639446746659</v>
      </c>
      <c r="AA238" s="14">
        <v>51.656639446746659</v>
      </c>
      <c r="AB238" s="14">
        <v>55.807349388888888</v>
      </c>
      <c r="AC238" s="14">
        <v>60.271169388888893</v>
      </c>
      <c r="AD238" s="14">
        <v>59.716749388888893</v>
      </c>
      <c r="AE238" s="14">
        <v>60.646629388888883</v>
      </c>
      <c r="AF238" s="14">
        <v>61.367349388888897</v>
      </c>
      <c r="AG238" s="14">
        <v>62.765539333333336</v>
      </c>
      <c r="AH238" s="14">
        <v>66.891359333333327</v>
      </c>
      <c r="AI238" s="15">
        <v>79.326009225391672</v>
      </c>
      <c r="AJ238" s="14">
        <v>63.561659351506677</v>
      </c>
      <c r="AK238" s="14">
        <v>63.561659351506677</v>
      </c>
      <c r="AL238" s="14">
        <v>63.561659351506677</v>
      </c>
      <c r="AM238" s="14">
        <v>63.561659351506677</v>
      </c>
      <c r="AN238" s="14">
        <v>63.561659351506677</v>
      </c>
      <c r="AO238" s="14">
        <v>63.561659351506677</v>
      </c>
      <c r="AP238" s="14">
        <v>63.561659351506677</v>
      </c>
      <c r="AQ238" s="14">
        <v>63.561659351506677</v>
      </c>
      <c r="AR238" s="14">
        <v>66.891359333333327</v>
      </c>
      <c r="AS238" s="14">
        <v>79.326009225391672</v>
      </c>
    </row>
    <row r="239" spans="1:45" x14ac:dyDescent="0.35">
      <c r="A239" s="16">
        <v>6644.0517360000003</v>
      </c>
      <c r="B239" s="14">
        <v>4.121151827777779</v>
      </c>
      <c r="C239" s="14">
        <v>4.092664827777778</v>
      </c>
      <c r="D239" s="14">
        <v>4.0912468277777787</v>
      </c>
      <c r="E239" s="14">
        <v>4.0970008277777801</v>
      </c>
      <c r="F239" s="14">
        <v>4.1502408277777763</v>
      </c>
      <c r="G239" s="14">
        <v>4.3230168277777796</v>
      </c>
      <c r="H239" s="14">
        <v>5.7265138166666674</v>
      </c>
      <c r="I239" s="14">
        <v>12.214439761111114</v>
      </c>
      <c r="J239" s="14">
        <v>31.697179605555561</v>
      </c>
      <c r="K239" s="14">
        <v>55.573559388888896</v>
      </c>
      <c r="L239" s="14">
        <v>60.224579388888891</v>
      </c>
      <c r="M239" s="14">
        <v>59.67626938888889</v>
      </c>
      <c r="N239" s="14">
        <v>60.601539388888895</v>
      </c>
      <c r="O239" s="14">
        <v>61.323289388888902</v>
      </c>
      <c r="P239" s="14">
        <v>62.723499333333343</v>
      </c>
      <c r="Q239" s="14">
        <v>66.854879333333329</v>
      </c>
      <c r="R239" s="15">
        <v>79.288639225690559</v>
      </c>
      <c r="S239" s="14">
        <v>51.633219446933886</v>
      </c>
      <c r="T239" s="14">
        <v>51.633219446933886</v>
      </c>
      <c r="U239" s="14">
        <v>51.633219446933886</v>
      </c>
      <c r="V239" s="14">
        <v>51.633219446933886</v>
      </c>
      <c r="W239" s="14">
        <v>51.633219446933886</v>
      </c>
      <c r="X239" s="14">
        <v>51.633219446933886</v>
      </c>
      <c r="Y239" s="14">
        <v>51.633219446933886</v>
      </c>
      <c r="Z239" s="14">
        <v>51.633219446933886</v>
      </c>
      <c r="AA239" s="14">
        <v>51.633219446933886</v>
      </c>
      <c r="AB239" s="14">
        <v>55.573559388888896</v>
      </c>
      <c r="AC239" s="14">
        <v>60.224579388888891</v>
      </c>
      <c r="AD239" s="14">
        <v>59.67626938888889</v>
      </c>
      <c r="AE239" s="14">
        <v>60.601539388888895</v>
      </c>
      <c r="AF239" s="14">
        <v>61.323289388888902</v>
      </c>
      <c r="AG239" s="14">
        <v>62.723499333333343</v>
      </c>
      <c r="AH239" s="14">
        <v>66.854879333333329</v>
      </c>
      <c r="AI239" s="15">
        <v>79.288639225690559</v>
      </c>
      <c r="AJ239" s="14">
        <v>63.532169351742219</v>
      </c>
      <c r="AK239" s="14">
        <v>63.532169351742219</v>
      </c>
      <c r="AL239" s="14">
        <v>63.532169351742219</v>
      </c>
      <c r="AM239" s="14">
        <v>63.532169351742219</v>
      </c>
      <c r="AN239" s="14">
        <v>63.532169351742219</v>
      </c>
      <c r="AO239" s="14">
        <v>63.532169351742219</v>
      </c>
      <c r="AP239" s="14">
        <v>63.532169351742219</v>
      </c>
      <c r="AQ239" s="14">
        <v>63.532169351742219</v>
      </c>
      <c r="AR239" s="14">
        <v>66.854879333333329</v>
      </c>
      <c r="AS239" s="14">
        <v>79.288639225690559</v>
      </c>
    </row>
    <row r="240" spans="1:45" x14ac:dyDescent="0.35">
      <c r="A240" s="16">
        <v>6666.8012460000009</v>
      </c>
      <c r="B240" s="14">
        <v>4.1225928277777788</v>
      </c>
      <c r="C240" s="14">
        <v>4.0917088277777776</v>
      </c>
      <c r="D240" s="14">
        <v>4.0907618277777793</v>
      </c>
      <c r="E240" s="14">
        <v>4.0966828277777783</v>
      </c>
      <c r="F240" s="14">
        <v>4.1491718277777778</v>
      </c>
      <c r="G240" s="14">
        <v>4.3191788277777796</v>
      </c>
      <c r="H240" s="14">
        <v>5.6804248166666662</v>
      </c>
      <c r="I240" s="14">
        <v>12.022599761111113</v>
      </c>
      <c r="J240" s="14">
        <v>31.289069611111106</v>
      </c>
      <c r="K240" s="14">
        <v>55.336129444444438</v>
      </c>
      <c r="L240" s="14">
        <v>60.177169388888892</v>
      </c>
      <c r="M240" s="14">
        <v>59.635709388888898</v>
      </c>
      <c r="N240" s="14">
        <v>60.556319388888888</v>
      </c>
      <c r="O240" s="14">
        <v>61.279099388888895</v>
      </c>
      <c r="P240" s="14">
        <v>62.681329333333338</v>
      </c>
      <c r="Q240" s="14">
        <v>66.818299333333329</v>
      </c>
      <c r="R240" s="15">
        <v>79.251169225990566</v>
      </c>
      <c r="S240" s="14">
        <v>51.609699447122225</v>
      </c>
      <c r="T240" s="14">
        <v>51.609699447122225</v>
      </c>
      <c r="U240" s="14">
        <v>51.609699447122225</v>
      </c>
      <c r="V240" s="14">
        <v>51.609699447122225</v>
      </c>
      <c r="W240" s="14">
        <v>51.609699447122225</v>
      </c>
      <c r="X240" s="14">
        <v>51.609699447122225</v>
      </c>
      <c r="Y240" s="14">
        <v>51.609699447122225</v>
      </c>
      <c r="Z240" s="14">
        <v>51.609699447122225</v>
      </c>
      <c r="AA240" s="14">
        <v>51.609699447122225</v>
      </c>
      <c r="AB240" s="14">
        <v>55.336129444444438</v>
      </c>
      <c r="AC240" s="14">
        <v>60.177169388888892</v>
      </c>
      <c r="AD240" s="14">
        <v>59.635709388888898</v>
      </c>
      <c r="AE240" s="14">
        <v>60.556319388888888</v>
      </c>
      <c r="AF240" s="14">
        <v>61.279099388888895</v>
      </c>
      <c r="AG240" s="14">
        <v>62.681329333333338</v>
      </c>
      <c r="AH240" s="14">
        <v>66.818299333333329</v>
      </c>
      <c r="AI240" s="15">
        <v>79.251169225990566</v>
      </c>
      <c r="AJ240" s="14">
        <v>63.502559351979443</v>
      </c>
      <c r="AK240" s="14">
        <v>63.502559351979443</v>
      </c>
      <c r="AL240" s="14">
        <v>63.502559351979443</v>
      </c>
      <c r="AM240" s="14">
        <v>63.502559351979443</v>
      </c>
      <c r="AN240" s="14">
        <v>63.502559351979443</v>
      </c>
      <c r="AO240" s="14">
        <v>63.502559351979443</v>
      </c>
      <c r="AP240" s="14">
        <v>63.502559351979443</v>
      </c>
      <c r="AQ240" s="14">
        <v>63.502559351979443</v>
      </c>
      <c r="AR240" s="14">
        <v>66.818299333333329</v>
      </c>
      <c r="AS240" s="14">
        <v>79.251169225990566</v>
      </c>
    </row>
    <row r="241" spans="1:45" x14ac:dyDescent="0.35">
      <c r="A241" s="16">
        <v>6689.55609</v>
      </c>
      <c r="B241" s="14">
        <v>4.1241168277777778</v>
      </c>
      <c r="C241" s="14">
        <v>4.0907858277777756</v>
      </c>
      <c r="D241" s="14">
        <v>4.0902308277777761</v>
      </c>
      <c r="E241" s="14">
        <v>4.0962928277777761</v>
      </c>
      <c r="F241" s="14">
        <v>4.1480508277777792</v>
      </c>
      <c r="G241" s="14">
        <v>4.3153758277777774</v>
      </c>
      <c r="H241" s="14">
        <v>5.6357088166666678</v>
      </c>
      <c r="I241" s="14">
        <v>11.834749766666667</v>
      </c>
      <c r="J241" s="14">
        <v>30.883629611111115</v>
      </c>
      <c r="K241" s="14">
        <v>55.095169444444437</v>
      </c>
      <c r="L241" s="14">
        <v>60.128919388888889</v>
      </c>
      <c r="M241" s="14">
        <v>59.595109388888886</v>
      </c>
      <c r="N241" s="14">
        <v>60.510999388888877</v>
      </c>
      <c r="O241" s="14">
        <v>61.234799388888888</v>
      </c>
      <c r="P241" s="14">
        <v>62.638989333333335</v>
      </c>
      <c r="Q241" s="14">
        <v>66.781629333333342</v>
      </c>
      <c r="R241" s="15">
        <v>79.213609226290544</v>
      </c>
      <c r="S241" s="14">
        <v>51.586049447311112</v>
      </c>
      <c r="T241" s="14">
        <v>51.586049447311112</v>
      </c>
      <c r="U241" s="14">
        <v>51.586049447311112</v>
      </c>
      <c r="V241" s="14">
        <v>51.586049447311112</v>
      </c>
      <c r="W241" s="14">
        <v>51.586049447311112</v>
      </c>
      <c r="X241" s="14">
        <v>51.586049447311112</v>
      </c>
      <c r="Y241" s="14">
        <v>51.586049447311112</v>
      </c>
      <c r="Z241" s="14">
        <v>51.586049447311112</v>
      </c>
      <c r="AA241" s="14">
        <v>51.586049447311112</v>
      </c>
      <c r="AB241" s="14">
        <v>55.095169444444437</v>
      </c>
      <c r="AC241" s="14">
        <v>60.128919388888889</v>
      </c>
      <c r="AD241" s="14">
        <v>59.595109388888886</v>
      </c>
      <c r="AE241" s="14">
        <v>60.510999388888877</v>
      </c>
      <c r="AF241" s="14">
        <v>61.234799388888888</v>
      </c>
      <c r="AG241" s="14">
        <v>62.638989333333335</v>
      </c>
      <c r="AH241" s="14">
        <v>66.781629333333342</v>
      </c>
      <c r="AI241" s="15">
        <v>79.213609226290544</v>
      </c>
      <c r="AJ241" s="14">
        <v>63.472729352217783</v>
      </c>
      <c r="AK241" s="14">
        <v>63.472729352217783</v>
      </c>
      <c r="AL241" s="14">
        <v>63.472729352217783</v>
      </c>
      <c r="AM241" s="14">
        <v>63.472729352217783</v>
      </c>
      <c r="AN241" s="14">
        <v>63.472729352217783</v>
      </c>
      <c r="AO241" s="14">
        <v>63.472729352217783</v>
      </c>
      <c r="AP241" s="14">
        <v>63.472729352217783</v>
      </c>
      <c r="AQ241" s="14">
        <v>63.472729352217783</v>
      </c>
      <c r="AR241" s="14">
        <v>66.781629333333342</v>
      </c>
      <c r="AS241" s="14">
        <v>79.213609226290544</v>
      </c>
    </row>
    <row r="242" spans="1:45" x14ac:dyDescent="0.35">
      <c r="A242" s="16">
        <v>6712.302552000001</v>
      </c>
      <c r="B242" s="14">
        <v>4.1254878277777767</v>
      </c>
      <c r="C242" s="14">
        <v>4.0901098277777788</v>
      </c>
      <c r="D242" s="14">
        <v>4.0898718277777766</v>
      </c>
      <c r="E242" s="14">
        <v>4.0960478277777783</v>
      </c>
      <c r="F242" s="14">
        <v>4.1470978277777784</v>
      </c>
      <c r="G242" s="14">
        <v>4.3118188277777767</v>
      </c>
      <c r="H242" s="14">
        <v>5.592570816666667</v>
      </c>
      <c r="I242" s="14">
        <v>11.651159766666666</v>
      </c>
      <c r="J242" s="14">
        <v>30.482049616666668</v>
      </c>
      <c r="K242" s="14">
        <v>54.851119444444436</v>
      </c>
      <c r="L242" s="14">
        <v>60.080149388888884</v>
      </c>
      <c r="M242" s="14">
        <v>59.554769388888886</v>
      </c>
      <c r="N242" s="14">
        <v>60.465879388888894</v>
      </c>
      <c r="O242" s="14">
        <v>61.190709388888891</v>
      </c>
      <c r="P242" s="14">
        <v>62.596859333333327</v>
      </c>
      <c r="Q242" s="14">
        <v>66.745189333333329</v>
      </c>
      <c r="R242" s="15">
        <v>79.176309226589439</v>
      </c>
      <c r="S242" s="14">
        <v>51.562619447498896</v>
      </c>
      <c r="T242" s="14">
        <v>51.562619447498896</v>
      </c>
      <c r="U242" s="14">
        <v>51.562619447498896</v>
      </c>
      <c r="V242" s="14">
        <v>51.562619447498896</v>
      </c>
      <c r="W242" s="14">
        <v>51.562619447498896</v>
      </c>
      <c r="X242" s="14">
        <v>51.562619447498896</v>
      </c>
      <c r="Y242" s="14">
        <v>51.562619447498896</v>
      </c>
      <c r="Z242" s="14">
        <v>51.562619447498896</v>
      </c>
      <c r="AA242" s="14">
        <v>51.562619447498896</v>
      </c>
      <c r="AB242" s="14">
        <v>54.851119444444436</v>
      </c>
      <c r="AC242" s="14">
        <v>60.080149388888884</v>
      </c>
      <c r="AD242" s="14">
        <v>59.554769388888886</v>
      </c>
      <c r="AE242" s="14">
        <v>60.465879388888894</v>
      </c>
      <c r="AF242" s="14">
        <v>61.190709388888891</v>
      </c>
      <c r="AG242" s="14">
        <v>62.596859333333327</v>
      </c>
      <c r="AH242" s="14">
        <v>66.745189333333329</v>
      </c>
      <c r="AI242" s="15">
        <v>79.176309226589439</v>
      </c>
      <c r="AJ242" s="14">
        <v>63.442999352455558</v>
      </c>
      <c r="AK242" s="14">
        <v>63.442999352455558</v>
      </c>
      <c r="AL242" s="14">
        <v>63.442999352455558</v>
      </c>
      <c r="AM242" s="14">
        <v>63.442999352455558</v>
      </c>
      <c r="AN242" s="14">
        <v>63.442999352455558</v>
      </c>
      <c r="AO242" s="14">
        <v>63.442999352455558</v>
      </c>
      <c r="AP242" s="14">
        <v>63.442999352455558</v>
      </c>
      <c r="AQ242" s="14">
        <v>63.442999352455558</v>
      </c>
      <c r="AR242" s="14">
        <v>66.745189333333329</v>
      </c>
      <c r="AS242" s="14">
        <v>79.176309226589439</v>
      </c>
    </row>
    <row r="243" spans="1:45" x14ac:dyDescent="0.35">
      <c r="A243" s="16">
        <v>6735.0406320000002</v>
      </c>
      <c r="B243" s="14">
        <v>4.1267088277777795</v>
      </c>
      <c r="C243" s="14">
        <v>4.0896688277777766</v>
      </c>
      <c r="D243" s="14">
        <v>4.0896798277777791</v>
      </c>
      <c r="E243" s="14">
        <v>4.0959478277777785</v>
      </c>
      <c r="F243" s="14">
        <v>4.146307827777779</v>
      </c>
      <c r="G243" s="14">
        <v>4.3084968277777786</v>
      </c>
      <c r="H243" s="14">
        <v>5.5509338166666682</v>
      </c>
      <c r="I243" s="14">
        <v>11.471609766666669</v>
      </c>
      <c r="J243" s="14">
        <v>30.084039616666661</v>
      </c>
      <c r="K243" s="14">
        <v>54.603799444444434</v>
      </c>
      <c r="L243" s="14">
        <v>60.030799388888894</v>
      </c>
      <c r="M243" s="14">
        <v>59.514649388888884</v>
      </c>
      <c r="N243" s="14">
        <v>60.420939388888883</v>
      </c>
      <c r="O243" s="14">
        <v>61.146779388888895</v>
      </c>
      <c r="P243" s="14">
        <v>62.55490933333332</v>
      </c>
      <c r="Q243" s="14">
        <v>66.708959333333326</v>
      </c>
      <c r="R243" s="15">
        <v>79.139129226886666</v>
      </c>
      <c r="S243" s="14">
        <v>51.539549447683335</v>
      </c>
      <c r="T243" s="14">
        <v>51.539549447683335</v>
      </c>
      <c r="U243" s="14">
        <v>51.539549447683335</v>
      </c>
      <c r="V243" s="14">
        <v>51.539549447683335</v>
      </c>
      <c r="W243" s="14">
        <v>51.539549447683335</v>
      </c>
      <c r="X243" s="14">
        <v>51.539549447683335</v>
      </c>
      <c r="Y243" s="14">
        <v>51.539549447683335</v>
      </c>
      <c r="Z243" s="14">
        <v>51.539549447683335</v>
      </c>
      <c r="AA243" s="14">
        <v>51.539549447683335</v>
      </c>
      <c r="AB243" s="14">
        <v>54.603799444444434</v>
      </c>
      <c r="AC243" s="14">
        <v>60.030799388888894</v>
      </c>
      <c r="AD243" s="14">
        <v>59.514649388888884</v>
      </c>
      <c r="AE243" s="14">
        <v>60.420939388888883</v>
      </c>
      <c r="AF243" s="14">
        <v>61.146779388888895</v>
      </c>
      <c r="AG243" s="14">
        <v>62.55490933333332</v>
      </c>
      <c r="AH243" s="14">
        <v>66.708959333333326</v>
      </c>
      <c r="AI243" s="15">
        <v>79.139129226886666</v>
      </c>
      <c r="AJ243" s="14">
        <v>63.413619352690553</v>
      </c>
      <c r="AK243" s="14">
        <v>63.413619352690553</v>
      </c>
      <c r="AL243" s="14">
        <v>63.413619352690553</v>
      </c>
      <c r="AM243" s="14">
        <v>63.413619352690553</v>
      </c>
      <c r="AN243" s="14">
        <v>63.413619352690553</v>
      </c>
      <c r="AO243" s="14">
        <v>63.413619352690553</v>
      </c>
      <c r="AP243" s="14">
        <v>63.413619352690553</v>
      </c>
      <c r="AQ243" s="14">
        <v>63.413619352690553</v>
      </c>
      <c r="AR243" s="14">
        <v>66.708959333333326</v>
      </c>
      <c r="AS243" s="14">
        <v>79.139129226886666</v>
      </c>
    </row>
    <row r="244" spans="1:45" x14ac:dyDescent="0.35">
      <c r="A244" s="16">
        <v>6761.5140360000005</v>
      </c>
      <c r="B244" s="14">
        <v>4.1278928277777798</v>
      </c>
      <c r="C244" s="14">
        <v>4.0895848277777782</v>
      </c>
      <c r="D244" s="14">
        <v>4.0898108277777787</v>
      </c>
      <c r="E244" s="14">
        <v>4.0960868277777767</v>
      </c>
      <c r="F244" s="14">
        <v>4.1454338277777776</v>
      </c>
      <c r="G244" s="14">
        <v>4.3042188277777766</v>
      </c>
      <c r="H244" s="14">
        <v>5.4976618166666649</v>
      </c>
      <c r="I244" s="14">
        <v>11.239519772222224</v>
      </c>
      <c r="J244" s="14">
        <v>29.561069622222224</v>
      </c>
      <c r="K244" s="14">
        <v>54.269069444444447</v>
      </c>
      <c r="L244" s="14">
        <v>59.963909388888887</v>
      </c>
      <c r="M244" s="14">
        <v>59.461489388888886</v>
      </c>
      <c r="N244" s="14">
        <v>60.361299388888888</v>
      </c>
      <c r="O244" s="14">
        <v>61.088489388888902</v>
      </c>
      <c r="P244" s="14">
        <v>62.499279333333334</v>
      </c>
      <c r="Q244" s="14">
        <v>66.66097933333333</v>
      </c>
      <c r="R244" s="15">
        <v>79.089879227280562</v>
      </c>
      <c r="S244" s="14">
        <v>51.516659447866665</v>
      </c>
      <c r="T244" s="14">
        <v>51.516659447866665</v>
      </c>
      <c r="U244" s="14">
        <v>51.516659447866665</v>
      </c>
      <c r="V244" s="14">
        <v>51.516659447866665</v>
      </c>
      <c r="W244" s="14">
        <v>51.516659447866665</v>
      </c>
      <c r="X244" s="14">
        <v>51.516659447866665</v>
      </c>
      <c r="Y244" s="14">
        <v>51.516659447866665</v>
      </c>
      <c r="Z244" s="14">
        <v>51.516659447866665</v>
      </c>
      <c r="AA244" s="14">
        <v>51.516659447866665</v>
      </c>
      <c r="AB244" s="14">
        <v>54.269069444444447</v>
      </c>
      <c r="AC244" s="14">
        <v>59.963909388888887</v>
      </c>
      <c r="AD244" s="14">
        <v>59.461489388888886</v>
      </c>
      <c r="AE244" s="14">
        <v>60.361299388888888</v>
      </c>
      <c r="AF244" s="14">
        <v>61.088489388888902</v>
      </c>
      <c r="AG244" s="14">
        <v>62.499279333333334</v>
      </c>
      <c r="AH244" s="14">
        <v>66.66097933333333</v>
      </c>
      <c r="AI244" s="15">
        <v>79.089879227280562</v>
      </c>
      <c r="AJ244" s="14">
        <v>63.385409352916668</v>
      </c>
      <c r="AK244" s="14">
        <v>63.385409352916668</v>
      </c>
      <c r="AL244" s="14">
        <v>63.385409352916668</v>
      </c>
      <c r="AM244" s="14">
        <v>63.385409352916668</v>
      </c>
      <c r="AN244" s="14">
        <v>63.385409352916668</v>
      </c>
      <c r="AO244" s="14">
        <v>63.385409352916668</v>
      </c>
      <c r="AP244" s="14">
        <v>63.385409352916668</v>
      </c>
      <c r="AQ244" s="14">
        <v>63.385409352916668</v>
      </c>
      <c r="AR244" s="14">
        <v>66.66097933333333</v>
      </c>
      <c r="AS244" s="14">
        <v>79.089879227280562</v>
      </c>
    </row>
    <row r="245" spans="1:45" x14ac:dyDescent="0.35">
      <c r="A245" s="16">
        <v>6784.2384000000002</v>
      </c>
      <c r="B245" s="14">
        <v>4.1287468277777766</v>
      </c>
      <c r="C245" s="14">
        <v>4.0894228277777795</v>
      </c>
      <c r="D245" s="14">
        <v>4.0897188277777765</v>
      </c>
      <c r="E245" s="14">
        <v>4.0962138277777767</v>
      </c>
      <c r="F245" s="14">
        <v>4.1454008277777792</v>
      </c>
      <c r="G245" s="14">
        <v>4.3029018277777773</v>
      </c>
      <c r="H245" s="14">
        <v>5.4727618166666678</v>
      </c>
      <c r="I245" s="14">
        <v>11.125199772222222</v>
      </c>
      <c r="J245" s="14">
        <v>29.299739627777779</v>
      </c>
      <c r="K245" s="14">
        <v>54.098899444444442</v>
      </c>
      <c r="L245" s="14">
        <v>59.930549388888899</v>
      </c>
      <c r="M245" s="14">
        <v>59.435449388888891</v>
      </c>
      <c r="N245" s="14">
        <v>60.33195938888889</v>
      </c>
      <c r="O245" s="14">
        <v>61.059799388888877</v>
      </c>
      <c r="P245" s="14">
        <v>62.471939333333339</v>
      </c>
      <c r="Q245" s="14">
        <v>66.637439333333333</v>
      </c>
      <c r="R245" s="15">
        <v>79.065599227475005</v>
      </c>
      <c r="S245" s="14">
        <v>51.48586944811278</v>
      </c>
      <c r="T245" s="14">
        <v>51.48586944811278</v>
      </c>
      <c r="U245" s="14">
        <v>51.48586944811278</v>
      </c>
      <c r="V245" s="14">
        <v>51.48586944811278</v>
      </c>
      <c r="W245" s="14">
        <v>51.48586944811278</v>
      </c>
      <c r="X245" s="14">
        <v>51.48586944811278</v>
      </c>
      <c r="Y245" s="14">
        <v>51.48586944811278</v>
      </c>
      <c r="Z245" s="14">
        <v>51.48586944811278</v>
      </c>
      <c r="AA245" s="14">
        <v>51.48586944811278</v>
      </c>
      <c r="AB245" s="14">
        <v>54.098899444444442</v>
      </c>
      <c r="AC245" s="14">
        <v>59.930549388888899</v>
      </c>
      <c r="AD245" s="14">
        <v>59.435449388888891</v>
      </c>
      <c r="AE245" s="14">
        <v>60.33195938888889</v>
      </c>
      <c r="AF245" s="14">
        <v>61.059799388888877</v>
      </c>
      <c r="AG245" s="14">
        <v>62.471939333333339</v>
      </c>
      <c r="AH245" s="14">
        <v>66.637439333333333</v>
      </c>
      <c r="AI245" s="15">
        <v>79.065599227475005</v>
      </c>
      <c r="AJ245" s="14">
        <v>63.351639353186656</v>
      </c>
      <c r="AK245" s="14">
        <v>63.351639353186656</v>
      </c>
      <c r="AL245" s="14">
        <v>63.351639353186656</v>
      </c>
      <c r="AM245" s="14">
        <v>63.351639353186656</v>
      </c>
      <c r="AN245" s="14">
        <v>63.351639353186656</v>
      </c>
      <c r="AO245" s="14">
        <v>63.351639353186656</v>
      </c>
      <c r="AP245" s="14">
        <v>63.351639353186656</v>
      </c>
      <c r="AQ245" s="14">
        <v>63.351639353186656</v>
      </c>
      <c r="AR245" s="14">
        <v>66.637439333333333</v>
      </c>
      <c r="AS245" s="14">
        <v>79.065599227475005</v>
      </c>
    </row>
    <row r="246" spans="1:45" x14ac:dyDescent="0.35">
      <c r="A246" s="16">
        <v>6798.4192200000007</v>
      </c>
      <c r="B246" s="14">
        <v>4.129022827777777</v>
      </c>
      <c r="C246" s="14">
        <v>4.0897068277777784</v>
      </c>
      <c r="D246" s="14">
        <v>4.090040827777778</v>
      </c>
      <c r="E246" s="14">
        <v>4.0965888277777767</v>
      </c>
      <c r="F246" s="14">
        <v>4.1454498277777789</v>
      </c>
      <c r="G246" s="14">
        <v>4.301629827777778</v>
      </c>
      <c r="H246" s="14">
        <v>5.4512298166666655</v>
      </c>
      <c r="I246" s="14">
        <v>11.027189772222224</v>
      </c>
      <c r="J246" s="14">
        <v>29.074599627777779</v>
      </c>
      <c r="K246" s="14">
        <v>53.951049444444443</v>
      </c>
      <c r="L246" s="14">
        <v>59.901519388888886</v>
      </c>
      <c r="M246" s="14">
        <v>59.412989388888882</v>
      </c>
      <c r="N246" s="14">
        <v>60.306649388888886</v>
      </c>
      <c r="O246" s="14">
        <v>61.035059388888889</v>
      </c>
      <c r="P246" s="14">
        <v>62.448389333333324</v>
      </c>
      <c r="Q246" s="14">
        <v>66.617209333333321</v>
      </c>
      <c r="R246" s="15">
        <v>79.04480922764111</v>
      </c>
      <c r="S246" s="14">
        <v>51.466679448266113</v>
      </c>
      <c r="T246" s="14">
        <v>51.466679448266113</v>
      </c>
      <c r="U246" s="14">
        <v>51.466679448266113</v>
      </c>
      <c r="V246" s="14">
        <v>51.466679448266113</v>
      </c>
      <c r="W246" s="14">
        <v>51.466679448266113</v>
      </c>
      <c r="X246" s="14">
        <v>51.466679448266113</v>
      </c>
      <c r="Y246" s="14">
        <v>51.466679448266113</v>
      </c>
      <c r="Z246" s="14">
        <v>51.466679448266113</v>
      </c>
      <c r="AA246" s="14">
        <v>51.466679448266113</v>
      </c>
      <c r="AB246" s="14">
        <v>53.951049444444443</v>
      </c>
      <c r="AC246" s="14">
        <v>59.901519388888886</v>
      </c>
      <c r="AD246" s="14">
        <v>59.412989388888882</v>
      </c>
      <c r="AE246" s="14">
        <v>60.306649388888886</v>
      </c>
      <c r="AF246" s="14">
        <v>61.035059388888889</v>
      </c>
      <c r="AG246" s="14">
        <v>62.448389333333324</v>
      </c>
      <c r="AH246" s="14">
        <v>66.617209333333321</v>
      </c>
      <c r="AI246" s="15">
        <v>79.04480922764111</v>
      </c>
      <c r="AJ246" s="14">
        <v>63.327149353382794</v>
      </c>
      <c r="AK246" s="14">
        <v>63.327149353382794</v>
      </c>
      <c r="AL246" s="14">
        <v>63.327149353382794</v>
      </c>
      <c r="AM246" s="14">
        <v>63.327149353382794</v>
      </c>
      <c r="AN246" s="14">
        <v>63.327149353382794</v>
      </c>
      <c r="AO246" s="14">
        <v>63.327149353382794</v>
      </c>
      <c r="AP246" s="14">
        <v>63.327149353382794</v>
      </c>
      <c r="AQ246" s="14">
        <v>63.327149353382794</v>
      </c>
      <c r="AR246" s="14">
        <v>66.617209333333321</v>
      </c>
      <c r="AS246" s="14">
        <v>79.04480922764111</v>
      </c>
    </row>
    <row r="247" spans="1:45" x14ac:dyDescent="0.35">
      <c r="A247" s="16">
        <v>6811.540860000001</v>
      </c>
      <c r="B247" s="14">
        <v>4.1290938277777771</v>
      </c>
      <c r="C247" s="14">
        <v>4.0902858277777794</v>
      </c>
      <c r="D247" s="14">
        <v>4.0906408277777793</v>
      </c>
      <c r="E247" s="14">
        <v>4.0972178277777775</v>
      </c>
      <c r="F247" s="14">
        <v>4.1457218277777761</v>
      </c>
      <c r="G247" s="14">
        <v>4.3005408277777786</v>
      </c>
      <c r="H247" s="14">
        <v>5.4302098166666664</v>
      </c>
      <c r="I247" s="14">
        <v>10.930579772222224</v>
      </c>
      <c r="J247" s="14">
        <v>28.850839627777784</v>
      </c>
      <c r="K247" s="14">
        <v>53.802359444444441</v>
      </c>
      <c r="L247" s="14">
        <v>59.872459388888878</v>
      </c>
      <c r="M247" s="14">
        <v>59.390799388888887</v>
      </c>
      <c r="N247" s="14">
        <v>60.281589388888882</v>
      </c>
      <c r="O247" s="14">
        <v>61.010519388888873</v>
      </c>
      <c r="P247" s="14">
        <v>62.425099333333328</v>
      </c>
      <c r="Q247" s="14">
        <v>66.59726933333333</v>
      </c>
      <c r="R247" s="15">
        <v>79.024349227805004</v>
      </c>
      <c r="S247" s="14">
        <v>51.451109448391108</v>
      </c>
      <c r="T247" s="14">
        <v>51.451109448391108</v>
      </c>
      <c r="U247" s="14">
        <v>51.451109448391108</v>
      </c>
      <c r="V247" s="14">
        <v>51.451109448391108</v>
      </c>
      <c r="W247" s="14">
        <v>51.451109448391108</v>
      </c>
      <c r="X247" s="14">
        <v>51.451109448391108</v>
      </c>
      <c r="Y247" s="14">
        <v>51.451109448391108</v>
      </c>
      <c r="Z247" s="14">
        <v>51.451109448391108</v>
      </c>
      <c r="AA247" s="14">
        <v>51.451109448391108</v>
      </c>
      <c r="AB247" s="14">
        <v>53.802359444444441</v>
      </c>
      <c r="AC247" s="14">
        <v>59.872459388888878</v>
      </c>
      <c r="AD247" s="14">
        <v>59.390799388888887</v>
      </c>
      <c r="AE247" s="14">
        <v>60.281589388888882</v>
      </c>
      <c r="AF247" s="14">
        <v>61.010519388888873</v>
      </c>
      <c r="AG247" s="14">
        <v>62.425099333333328</v>
      </c>
      <c r="AH247" s="14">
        <v>66.59726933333333</v>
      </c>
      <c r="AI247" s="15">
        <v>79.024349227805004</v>
      </c>
      <c r="AJ247" s="14">
        <v>63.304059353567226</v>
      </c>
      <c r="AK247" s="14">
        <v>63.304059353567226</v>
      </c>
      <c r="AL247" s="14">
        <v>63.304059353567226</v>
      </c>
      <c r="AM247" s="14">
        <v>63.304059353567226</v>
      </c>
      <c r="AN247" s="14">
        <v>63.304059353567226</v>
      </c>
      <c r="AO247" s="14">
        <v>63.304059353567226</v>
      </c>
      <c r="AP247" s="14">
        <v>63.304059353567226</v>
      </c>
      <c r="AQ247" s="14">
        <v>63.304059353567226</v>
      </c>
      <c r="AR247" s="14">
        <v>66.59726933333333</v>
      </c>
      <c r="AS247" s="14">
        <v>79.024349227805004</v>
      </c>
    </row>
    <row r="248" spans="1:45" x14ac:dyDescent="0.35">
      <c r="A248" s="16">
        <v>6830.82708</v>
      </c>
      <c r="B248" s="14">
        <v>4.1290178277777771</v>
      </c>
      <c r="C248" s="14">
        <v>4.0913758277777781</v>
      </c>
      <c r="D248" s="14">
        <v>4.0916968277777794</v>
      </c>
      <c r="E248" s="14">
        <v>4.0982088277777766</v>
      </c>
      <c r="F248" s="14">
        <v>4.1458298277777788</v>
      </c>
      <c r="G248" s="14">
        <v>4.2978338277777794</v>
      </c>
      <c r="H248" s="14">
        <v>5.3898418166666673</v>
      </c>
      <c r="I248" s="14">
        <v>10.74683977222222</v>
      </c>
      <c r="J248" s="14">
        <v>28.420509633333339</v>
      </c>
      <c r="K248" s="14">
        <v>53.509149444444446</v>
      </c>
      <c r="L248" s="14">
        <v>59.814299388888884</v>
      </c>
      <c r="M248" s="14">
        <v>59.347049388888891</v>
      </c>
      <c r="N248" s="14">
        <v>60.232249388888896</v>
      </c>
      <c r="O248" s="14">
        <v>60.962059388888896</v>
      </c>
      <c r="P248" s="14">
        <v>62.379199333333339</v>
      </c>
      <c r="Q248" s="14">
        <v>66.557919333333331</v>
      </c>
      <c r="R248" s="15">
        <v>78.984029228127227</v>
      </c>
      <c r="S248" s="14">
        <v>51.436149448510562</v>
      </c>
      <c r="T248" s="14">
        <v>51.436149448510562</v>
      </c>
      <c r="U248" s="14">
        <v>51.436149448510562</v>
      </c>
      <c r="V248" s="14">
        <v>51.436149448510562</v>
      </c>
      <c r="W248" s="14">
        <v>51.436149448510562</v>
      </c>
      <c r="X248" s="14">
        <v>51.436149448510562</v>
      </c>
      <c r="Y248" s="14">
        <v>51.436149448510562</v>
      </c>
      <c r="Z248" s="14">
        <v>51.436149448510562</v>
      </c>
      <c r="AA248" s="14">
        <v>51.436149448510562</v>
      </c>
      <c r="AB248" s="14">
        <v>53.509149444444446</v>
      </c>
      <c r="AC248" s="14">
        <v>59.814299388888884</v>
      </c>
      <c r="AD248" s="14">
        <v>59.347049388888891</v>
      </c>
      <c r="AE248" s="14">
        <v>60.232249388888896</v>
      </c>
      <c r="AF248" s="14">
        <v>60.962059388888896</v>
      </c>
      <c r="AG248" s="14">
        <v>62.379199333333339</v>
      </c>
      <c r="AH248" s="14">
        <v>66.557919333333331</v>
      </c>
      <c r="AI248" s="15">
        <v>78.984029228127227</v>
      </c>
      <c r="AJ248" s="14">
        <v>63.28107935375111</v>
      </c>
      <c r="AK248" s="14">
        <v>63.28107935375111</v>
      </c>
      <c r="AL248" s="14">
        <v>63.28107935375111</v>
      </c>
      <c r="AM248" s="14">
        <v>63.28107935375111</v>
      </c>
      <c r="AN248" s="14">
        <v>63.28107935375111</v>
      </c>
      <c r="AO248" s="14">
        <v>63.28107935375111</v>
      </c>
      <c r="AP248" s="14">
        <v>63.28107935375111</v>
      </c>
      <c r="AQ248" s="14">
        <v>63.28107935375111</v>
      </c>
      <c r="AR248" s="14">
        <v>66.557919333333331</v>
      </c>
      <c r="AS248" s="14">
        <v>78.984029228127227</v>
      </c>
    </row>
    <row r="249" spans="1:45" x14ac:dyDescent="0.35">
      <c r="A249" s="16">
        <v>6868.9270799999995</v>
      </c>
      <c r="B249" s="14">
        <v>4.1298838277777765</v>
      </c>
      <c r="C249" s="14">
        <v>4.0938768277777786</v>
      </c>
      <c r="D249" s="14">
        <v>4.0937178277777795</v>
      </c>
      <c r="E249" s="14">
        <v>4.1001518277777764</v>
      </c>
      <c r="F249" s="14">
        <v>4.1461308277777791</v>
      </c>
      <c r="G249" s="14">
        <v>4.2928008277777767</v>
      </c>
      <c r="H249" s="14">
        <v>5.3149038166666669</v>
      </c>
      <c r="I249" s="14">
        <v>10.398259777777778</v>
      </c>
      <c r="J249" s="14">
        <v>27.580899638888891</v>
      </c>
      <c r="K249" s="14">
        <v>52.908499444444445</v>
      </c>
      <c r="L249" s="14">
        <v>59.693849388888893</v>
      </c>
      <c r="M249" s="14">
        <v>59.259949388888877</v>
      </c>
      <c r="N249" s="14">
        <v>60.133819388888888</v>
      </c>
      <c r="O249" s="14">
        <v>60.86536938888888</v>
      </c>
      <c r="P249" s="14">
        <v>62.287639388888891</v>
      </c>
      <c r="Q249" s="14">
        <v>66.479519333333329</v>
      </c>
      <c r="R249" s="15">
        <v>78.903619228770552</v>
      </c>
      <c r="S249" s="14">
        <v>51.419219448646103</v>
      </c>
      <c r="T249" s="14">
        <v>51.419219448646103</v>
      </c>
      <c r="U249" s="14">
        <v>51.419219448646103</v>
      </c>
      <c r="V249" s="14">
        <v>51.419219448646103</v>
      </c>
      <c r="W249" s="14">
        <v>51.419219448646103</v>
      </c>
      <c r="X249" s="14">
        <v>51.419219448646103</v>
      </c>
      <c r="Y249" s="14">
        <v>51.419219448646103</v>
      </c>
      <c r="Z249" s="14">
        <v>51.419219448646103</v>
      </c>
      <c r="AA249" s="14">
        <v>51.419219448646103</v>
      </c>
      <c r="AB249" s="14">
        <v>52.908499444444445</v>
      </c>
      <c r="AC249" s="14">
        <v>59.693849388888893</v>
      </c>
      <c r="AD249" s="14">
        <v>59.259949388888877</v>
      </c>
      <c r="AE249" s="14">
        <v>60.133819388888888</v>
      </c>
      <c r="AF249" s="14">
        <v>60.86536938888888</v>
      </c>
      <c r="AG249" s="14">
        <v>62.287639388888891</v>
      </c>
      <c r="AH249" s="14">
        <v>66.479519333333329</v>
      </c>
      <c r="AI249" s="15">
        <v>78.903619228770552</v>
      </c>
      <c r="AJ249" s="14">
        <v>63.249329354004999</v>
      </c>
      <c r="AK249" s="14">
        <v>63.249329354004999</v>
      </c>
      <c r="AL249" s="14">
        <v>63.249329354004999</v>
      </c>
      <c r="AM249" s="14">
        <v>63.249329354004999</v>
      </c>
      <c r="AN249" s="14">
        <v>63.249329354004999</v>
      </c>
      <c r="AO249" s="14">
        <v>63.249329354004999</v>
      </c>
      <c r="AP249" s="14">
        <v>63.249329354004999</v>
      </c>
      <c r="AQ249" s="14">
        <v>63.249329354004999</v>
      </c>
      <c r="AR249" s="14">
        <v>66.479519333333329</v>
      </c>
      <c r="AS249" s="14">
        <v>78.903619228770552</v>
      </c>
    </row>
    <row r="250" spans="1:45" x14ac:dyDescent="0.35">
      <c r="A250" s="16">
        <v>6909.3130799999999</v>
      </c>
      <c r="B250" s="14">
        <v>4.1285748277777792</v>
      </c>
      <c r="C250" s="14">
        <v>4.0955338277777757</v>
      </c>
      <c r="D250" s="14">
        <v>4.0950208277777769</v>
      </c>
      <c r="E250" s="14">
        <v>4.1018868277777782</v>
      </c>
      <c r="F250" s="14">
        <v>4.1475988277777791</v>
      </c>
      <c r="G250" s="14">
        <v>4.2919468277777799</v>
      </c>
      <c r="H250" s="14">
        <v>5.2756018166666667</v>
      </c>
      <c r="I250" s="14">
        <v>10.201129777777775</v>
      </c>
      <c r="J250" s="14">
        <v>27.093329644444445</v>
      </c>
      <c r="K250" s="14">
        <v>52.549829444444441</v>
      </c>
      <c r="L250" s="14">
        <v>59.623089388888893</v>
      </c>
      <c r="M250" s="14">
        <v>59.210579388888881</v>
      </c>
      <c r="N250" s="14">
        <v>60.077659388888883</v>
      </c>
      <c r="O250" s="14">
        <v>60.810229388888892</v>
      </c>
      <c r="P250" s="14">
        <v>62.235549388888884</v>
      </c>
      <c r="Q250" s="14">
        <v>66.435129333333336</v>
      </c>
      <c r="R250" s="15">
        <v>78.857859229136665</v>
      </c>
      <c r="S250" s="14">
        <v>51.367489449060002</v>
      </c>
      <c r="T250" s="14">
        <v>51.367489449060002</v>
      </c>
      <c r="U250" s="14">
        <v>51.367489449060002</v>
      </c>
      <c r="V250" s="14">
        <v>51.367489449060002</v>
      </c>
      <c r="W250" s="14">
        <v>51.367489449060002</v>
      </c>
      <c r="X250" s="14">
        <v>51.367489449060002</v>
      </c>
      <c r="Y250" s="14">
        <v>51.367489449060002</v>
      </c>
      <c r="Z250" s="14">
        <v>51.367489449060002</v>
      </c>
      <c r="AA250" s="14">
        <v>51.367489449060002</v>
      </c>
      <c r="AB250" s="14">
        <v>52.549829444444441</v>
      </c>
      <c r="AC250" s="14">
        <v>59.623089388888893</v>
      </c>
      <c r="AD250" s="14">
        <v>59.210579388888881</v>
      </c>
      <c r="AE250" s="14">
        <v>60.077659388888883</v>
      </c>
      <c r="AF250" s="14">
        <v>60.810229388888892</v>
      </c>
      <c r="AG250" s="14">
        <v>62.235549388888884</v>
      </c>
      <c r="AH250" s="14">
        <v>66.435129333333336</v>
      </c>
      <c r="AI250" s="15">
        <v>78.857859229136665</v>
      </c>
      <c r="AJ250" s="14">
        <v>63.196929354424434</v>
      </c>
      <c r="AK250" s="14">
        <v>63.196929354424434</v>
      </c>
      <c r="AL250" s="14">
        <v>63.196929354424434</v>
      </c>
      <c r="AM250" s="14">
        <v>63.196929354424434</v>
      </c>
      <c r="AN250" s="14">
        <v>63.196929354424434</v>
      </c>
      <c r="AO250" s="14">
        <v>63.196929354424434</v>
      </c>
      <c r="AP250" s="14">
        <v>63.196929354424434</v>
      </c>
      <c r="AQ250" s="14">
        <v>63.196929354424434</v>
      </c>
      <c r="AR250" s="14">
        <v>66.435129333333336</v>
      </c>
      <c r="AS250" s="14">
        <v>78.857859229136665</v>
      </c>
    </row>
    <row r="251" spans="1:45" x14ac:dyDescent="0.35">
      <c r="A251" s="16">
        <v>6939.3358799999996</v>
      </c>
      <c r="B251" s="14">
        <v>4.1284458277777762</v>
      </c>
      <c r="C251" s="14">
        <v>4.0970508277777755</v>
      </c>
      <c r="D251" s="14">
        <v>4.0961158277777763</v>
      </c>
      <c r="E251" s="14">
        <v>4.1031998277777779</v>
      </c>
      <c r="F251" s="14">
        <v>4.1483098277777781</v>
      </c>
      <c r="G251" s="14">
        <v>4.2900098277777783</v>
      </c>
      <c r="H251" s="14">
        <v>5.2362118166666685</v>
      </c>
      <c r="I251" s="14">
        <v>10.008129777777778</v>
      </c>
      <c r="J251" s="14">
        <v>26.608629644444445</v>
      </c>
      <c r="K251" s="14">
        <v>52.18425944444445</v>
      </c>
      <c r="L251" s="14">
        <v>59.549399388888887</v>
      </c>
      <c r="M251" s="14">
        <v>59.159969388888889</v>
      </c>
      <c r="N251" s="14">
        <v>60.020229388888879</v>
      </c>
      <c r="O251" s="14">
        <v>60.753819388888893</v>
      </c>
      <c r="P251" s="14">
        <v>62.182179388888891</v>
      </c>
      <c r="Q251" s="14">
        <v>66.389559333333338</v>
      </c>
      <c r="R251" s="15">
        <v>78.810979229511673</v>
      </c>
      <c r="S251" s="14">
        <v>51.330119449358889</v>
      </c>
      <c r="T251" s="14">
        <v>51.330119449358889</v>
      </c>
      <c r="U251" s="14">
        <v>51.330119449358889</v>
      </c>
      <c r="V251" s="14">
        <v>51.330119449358889</v>
      </c>
      <c r="W251" s="14">
        <v>51.330119449358889</v>
      </c>
      <c r="X251" s="14">
        <v>51.330119449358889</v>
      </c>
      <c r="Y251" s="14">
        <v>51.330119449358889</v>
      </c>
      <c r="Z251" s="14">
        <v>51.330119449358889</v>
      </c>
      <c r="AA251" s="14">
        <v>51.330119449358889</v>
      </c>
      <c r="AB251" s="14">
        <v>52.18425944444445</v>
      </c>
      <c r="AC251" s="14">
        <v>59.549399388888887</v>
      </c>
      <c r="AD251" s="14">
        <v>59.159969388888889</v>
      </c>
      <c r="AE251" s="14">
        <v>60.020229388888879</v>
      </c>
      <c r="AF251" s="14">
        <v>60.753819388888893</v>
      </c>
      <c r="AG251" s="14">
        <v>62.182179388888891</v>
      </c>
      <c r="AH251" s="14">
        <v>66.389559333333338</v>
      </c>
      <c r="AI251" s="15">
        <v>78.810979229511673</v>
      </c>
      <c r="AJ251" s="14">
        <v>63.153029354775555</v>
      </c>
      <c r="AK251" s="14">
        <v>63.153029354775555</v>
      </c>
      <c r="AL251" s="14">
        <v>63.153029354775555</v>
      </c>
      <c r="AM251" s="14">
        <v>63.153029354775555</v>
      </c>
      <c r="AN251" s="14">
        <v>63.153029354775555</v>
      </c>
      <c r="AO251" s="14">
        <v>63.153029354775555</v>
      </c>
      <c r="AP251" s="14">
        <v>63.153029354775555</v>
      </c>
      <c r="AQ251" s="14">
        <v>63.153029354775555</v>
      </c>
      <c r="AR251" s="14">
        <v>66.389559333333338</v>
      </c>
      <c r="AS251" s="14">
        <v>78.810979229511673</v>
      </c>
    </row>
    <row r="252" spans="1:45" x14ac:dyDescent="0.35">
      <c r="A252" s="16">
        <v>6973.3972800000001</v>
      </c>
      <c r="B252" s="14">
        <v>4.128367827777776</v>
      </c>
      <c r="C252" s="14">
        <v>4.0989438277777763</v>
      </c>
      <c r="D252" s="14">
        <v>4.0974418277777778</v>
      </c>
      <c r="E252" s="14">
        <v>4.104749827777777</v>
      </c>
      <c r="F252" s="14">
        <v>4.1490238277777776</v>
      </c>
      <c r="G252" s="14">
        <v>4.2873478277777757</v>
      </c>
      <c r="H252" s="14">
        <v>5.1883208166666686</v>
      </c>
      <c r="I252" s="14">
        <v>9.7718047833333319</v>
      </c>
      <c r="J252" s="14">
        <v>26.003819650000001</v>
      </c>
      <c r="K252" s="14">
        <v>51.710019444444441</v>
      </c>
      <c r="L252" s="14">
        <v>59.452729388888898</v>
      </c>
      <c r="M252" s="14">
        <v>59.09538938888889</v>
      </c>
      <c r="N252" s="14">
        <v>59.9469393888889</v>
      </c>
      <c r="O252" s="14">
        <v>60.681809388888873</v>
      </c>
      <c r="P252" s="14">
        <v>62.114049388888894</v>
      </c>
      <c r="Q252" s="14">
        <v>66.331419333333329</v>
      </c>
      <c r="R252" s="15">
        <v>78.751129229990568</v>
      </c>
      <c r="S252" s="14">
        <v>51.299569449603332</v>
      </c>
      <c r="T252" s="14">
        <v>51.299569449603332</v>
      </c>
      <c r="U252" s="14">
        <v>51.299569449603332</v>
      </c>
      <c r="V252" s="14">
        <v>51.299569449603332</v>
      </c>
      <c r="W252" s="14">
        <v>51.299569449603332</v>
      </c>
      <c r="X252" s="14">
        <v>51.299569449603332</v>
      </c>
      <c r="Y252" s="14">
        <v>51.299569449603332</v>
      </c>
      <c r="Z252" s="14">
        <v>51.299569449603332</v>
      </c>
      <c r="AA252" s="14">
        <v>51.299569449603332</v>
      </c>
      <c r="AB252" s="14">
        <v>51.710019444444441</v>
      </c>
      <c r="AC252" s="14">
        <v>59.452729388888898</v>
      </c>
      <c r="AD252" s="14">
        <v>59.09538938888889</v>
      </c>
      <c r="AE252" s="14">
        <v>59.9469393888889</v>
      </c>
      <c r="AF252" s="14">
        <v>60.681809388888873</v>
      </c>
      <c r="AG252" s="14">
        <v>62.114049388888894</v>
      </c>
      <c r="AH252" s="14">
        <v>66.331419333333329</v>
      </c>
      <c r="AI252" s="15">
        <v>78.751129229990568</v>
      </c>
      <c r="AJ252" s="14">
        <v>63.112299355101108</v>
      </c>
      <c r="AK252" s="14">
        <v>63.112299355101108</v>
      </c>
      <c r="AL252" s="14">
        <v>63.112299355101108</v>
      </c>
      <c r="AM252" s="14">
        <v>63.112299355101108</v>
      </c>
      <c r="AN252" s="14">
        <v>63.112299355101108</v>
      </c>
      <c r="AO252" s="14">
        <v>63.112299355101108</v>
      </c>
      <c r="AP252" s="14">
        <v>63.112299355101108</v>
      </c>
      <c r="AQ252" s="14">
        <v>63.112299355101108</v>
      </c>
      <c r="AR252" s="14">
        <v>66.331419333333329</v>
      </c>
      <c r="AS252" s="14">
        <v>78.751129229990568</v>
      </c>
    </row>
    <row r="253" spans="1:45" x14ac:dyDescent="0.35">
      <c r="A253" s="16">
        <v>7011.4972799999996</v>
      </c>
      <c r="B253" s="14">
        <v>4.128494827777776</v>
      </c>
      <c r="C253" s="14">
        <v>4.1007848277777761</v>
      </c>
      <c r="D253" s="14">
        <v>4.0987908277777763</v>
      </c>
      <c r="E253" s="14">
        <v>4.1064558277777783</v>
      </c>
      <c r="F253" s="14">
        <v>4.1501098277777775</v>
      </c>
      <c r="G253" s="14">
        <v>4.2853698277777772</v>
      </c>
      <c r="H253" s="14">
        <v>5.143809816666665</v>
      </c>
      <c r="I253" s="14">
        <v>9.5451497833333345</v>
      </c>
      <c r="J253" s="14">
        <v>25.410849655555552</v>
      </c>
      <c r="K253" s="14">
        <v>51.227309444444444</v>
      </c>
      <c r="L253" s="14">
        <v>59.35373938888889</v>
      </c>
      <c r="M253" s="14">
        <v>59.031389388888883</v>
      </c>
      <c r="N253" s="14">
        <v>59.874179388888884</v>
      </c>
      <c r="O253" s="14">
        <v>60.610329388888886</v>
      </c>
      <c r="P253" s="14">
        <v>62.046449388888881</v>
      </c>
      <c r="Q253" s="14">
        <v>66.273829333333339</v>
      </c>
      <c r="R253" s="15">
        <v>78.691739230465544</v>
      </c>
      <c r="S253" s="14">
        <v>51.267939449856115</v>
      </c>
      <c r="T253" s="14">
        <v>51.267939449856115</v>
      </c>
      <c r="U253" s="14">
        <v>51.267939449856115</v>
      </c>
      <c r="V253" s="14">
        <v>51.267939449856115</v>
      </c>
      <c r="W253" s="14">
        <v>51.267939449856115</v>
      </c>
      <c r="X253" s="14">
        <v>51.267939449856115</v>
      </c>
      <c r="Y253" s="14">
        <v>51.267939449856115</v>
      </c>
      <c r="Z253" s="14">
        <v>51.267939449856115</v>
      </c>
      <c r="AA253" s="14">
        <v>51.267939449856115</v>
      </c>
      <c r="AB253" s="14">
        <v>51.267939449856115</v>
      </c>
      <c r="AC253" s="14">
        <v>59.35373938888889</v>
      </c>
      <c r="AD253" s="14">
        <v>59.031389388888883</v>
      </c>
      <c r="AE253" s="14">
        <v>59.874179388888884</v>
      </c>
      <c r="AF253" s="14">
        <v>60.610329388888886</v>
      </c>
      <c r="AG253" s="14">
        <v>62.046449388888881</v>
      </c>
      <c r="AH253" s="14">
        <v>66.273829333333339</v>
      </c>
      <c r="AI253" s="15">
        <v>78.691739230465544</v>
      </c>
      <c r="AJ253" s="14">
        <v>63.068489355451661</v>
      </c>
      <c r="AK253" s="14">
        <v>63.068489355451661</v>
      </c>
      <c r="AL253" s="14">
        <v>63.068489355451661</v>
      </c>
      <c r="AM253" s="14">
        <v>63.068489355451661</v>
      </c>
      <c r="AN253" s="14">
        <v>63.068489355451661</v>
      </c>
      <c r="AO253" s="14">
        <v>63.068489355451661</v>
      </c>
      <c r="AP253" s="14">
        <v>63.068489355451661</v>
      </c>
      <c r="AQ253" s="14">
        <v>63.068489355451661</v>
      </c>
      <c r="AR253" s="14">
        <v>66.273829333333339</v>
      </c>
      <c r="AS253" s="14">
        <v>78.691739230465544</v>
      </c>
    </row>
    <row r="254" spans="1:45" x14ac:dyDescent="0.35">
      <c r="A254" s="16">
        <v>7049.59728</v>
      </c>
      <c r="B254" s="14">
        <v>4.1276778277777773</v>
      </c>
      <c r="C254" s="14">
        <v>4.1025628277777786</v>
      </c>
      <c r="D254" s="14">
        <v>4.1002828277777761</v>
      </c>
      <c r="E254" s="14">
        <v>4.1083708277777795</v>
      </c>
      <c r="F254" s="14">
        <v>4.1514818277777756</v>
      </c>
      <c r="G254" s="14">
        <v>4.2838188277777789</v>
      </c>
      <c r="H254" s="14">
        <v>5.1020248166666669</v>
      </c>
      <c r="I254" s="14">
        <v>9.3273907833333354</v>
      </c>
      <c r="J254" s="14">
        <v>24.828929661111115</v>
      </c>
      <c r="K254" s="14">
        <v>50.737029444444438</v>
      </c>
      <c r="L254" s="14">
        <v>59.252129388888889</v>
      </c>
      <c r="M254" s="14">
        <v>58.967729388888884</v>
      </c>
      <c r="N254" s="14">
        <v>59.801729388888894</v>
      </c>
      <c r="O254" s="14">
        <v>60.539149388888887</v>
      </c>
      <c r="P254" s="14">
        <v>61.979179388888888</v>
      </c>
      <c r="Q254" s="14">
        <v>66.216649333333336</v>
      </c>
      <c r="R254" s="15">
        <v>78.632679230938336</v>
      </c>
      <c r="S254" s="14">
        <v>51.225699450193893</v>
      </c>
      <c r="T254" s="14">
        <v>51.225699450193893</v>
      </c>
      <c r="U254" s="14">
        <v>51.225699450193893</v>
      </c>
      <c r="V254" s="14">
        <v>51.225699450193893</v>
      </c>
      <c r="W254" s="14">
        <v>51.225699450193893</v>
      </c>
      <c r="X254" s="14">
        <v>51.225699450193893</v>
      </c>
      <c r="Y254" s="14">
        <v>51.225699450193893</v>
      </c>
      <c r="Z254" s="14">
        <v>51.225699450193893</v>
      </c>
      <c r="AA254" s="14">
        <v>51.225699450193893</v>
      </c>
      <c r="AB254" s="14">
        <v>51.225699450193893</v>
      </c>
      <c r="AC254" s="14">
        <v>59.252129388888889</v>
      </c>
      <c r="AD254" s="14">
        <v>58.967729388888884</v>
      </c>
      <c r="AE254" s="14">
        <v>59.801729388888894</v>
      </c>
      <c r="AF254" s="14">
        <v>60.539149388888887</v>
      </c>
      <c r="AG254" s="14">
        <v>61.979179388888888</v>
      </c>
      <c r="AH254" s="14">
        <v>66.216649333333336</v>
      </c>
      <c r="AI254" s="15">
        <v>78.632679230938336</v>
      </c>
      <c r="AJ254" s="14">
        <v>63.01950935584388</v>
      </c>
      <c r="AK254" s="14">
        <v>63.01950935584388</v>
      </c>
      <c r="AL254" s="14">
        <v>63.01950935584388</v>
      </c>
      <c r="AM254" s="14">
        <v>63.01950935584388</v>
      </c>
      <c r="AN254" s="14">
        <v>63.01950935584388</v>
      </c>
      <c r="AO254" s="14">
        <v>63.01950935584388</v>
      </c>
      <c r="AP254" s="14">
        <v>63.01950935584388</v>
      </c>
      <c r="AQ254" s="14">
        <v>63.01950935584388</v>
      </c>
      <c r="AR254" s="14">
        <v>66.216649333333336</v>
      </c>
      <c r="AS254" s="14">
        <v>78.632679230938336</v>
      </c>
    </row>
    <row r="255" spans="1:45" x14ac:dyDescent="0.35">
      <c r="A255" s="16">
        <v>7087.6972800000003</v>
      </c>
      <c r="B255" s="14">
        <v>4.127168827777778</v>
      </c>
      <c r="C255" s="14">
        <v>4.1042188277777765</v>
      </c>
      <c r="D255" s="14">
        <v>4.1019188277777765</v>
      </c>
      <c r="E255" s="14">
        <v>4.1104908277777792</v>
      </c>
      <c r="F255" s="14">
        <v>4.1531288277777794</v>
      </c>
      <c r="G255" s="14">
        <v>4.2826848277777785</v>
      </c>
      <c r="H255" s="14">
        <v>5.062839822222224</v>
      </c>
      <c r="I255" s="14">
        <v>9.1182407888888886</v>
      </c>
      <c r="J255" s="14">
        <v>24.256119666666663</v>
      </c>
      <c r="K255" s="14">
        <v>50.239329444444444</v>
      </c>
      <c r="L255" s="14">
        <v>59.147769388888882</v>
      </c>
      <c r="M255" s="14">
        <v>58.90440938888888</v>
      </c>
      <c r="N255" s="14">
        <v>59.729609388888889</v>
      </c>
      <c r="O255" s="14">
        <v>60.468289388888884</v>
      </c>
      <c r="P255" s="14">
        <v>61.912239388888878</v>
      </c>
      <c r="Q255" s="14">
        <v>66.15985933333333</v>
      </c>
      <c r="R255" s="15">
        <v>78.573939231408332</v>
      </c>
      <c r="S255" s="14">
        <v>51.197679450418335</v>
      </c>
      <c r="T255" s="14">
        <v>51.197679450418335</v>
      </c>
      <c r="U255" s="14">
        <v>51.197679450418335</v>
      </c>
      <c r="V255" s="14">
        <v>51.197679450418335</v>
      </c>
      <c r="W255" s="14">
        <v>51.197679450418335</v>
      </c>
      <c r="X255" s="14">
        <v>51.197679450418335</v>
      </c>
      <c r="Y255" s="14">
        <v>51.197679450418335</v>
      </c>
      <c r="Z255" s="14">
        <v>51.197679450418335</v>
      </c>
      <c r="AA255" s="14">
        <v>51.197679450418335</v>
      </c>
      <c r="AB255" s="14">
        <v>51.197679450418335</v>
      </c>
      <c r="AC255" s="14">
        <v>59.147769388888882</v>
      </c>
      <c r="AD255" s="14">
        <v>58.90440938888888</v>
      </c>
      <c r="AE255" s="14">
        <v>59.729609388888889</v>
      </c>
      <c r="AF255" s="14">
        <v>60.468289388888884</v>
      </c>
      <c r="AG255" s="14">
        <v>61.912239388888878</v>
      </c>
      <c r="AH255" s="14">
        <v>66.15985933333333</v>
      </c>
      <c r="AI255" s="15">
        <v>78.573939231408332</v>
      </c>
      <c r="AJ255" s="14">
        <v>62.982239356141662</v>
      </c>
      <c r="AK255" s="14">
        <v>62.982239356141662</v>
      </c>
      <c r="AL255" s="14">
        <v>62.982239356141662</v>
      </c>
      <c r="AM255" s="14">
        <v>62.982239356141662</v>
      </c>
      <c r="AN255" s="14">
        <v>62.982239356141662</v>
      </c>
      <c r="AO255" s="14">
        <v>62.982239356141662</v>
      </c>
      <c r="AP255" s="14">
        <v>62.982239356141662</v>
      </c>
      <c r="AQ255" s="14">
        <v>62.982239356141662</v>
      </c>
      <c r="AR255" s="14">
        <v>66.15985933333333</v>
      </c>
      <c r="AS255" s="14">
        <v>78.573939231408332</v>
      </c>
    </row>
    <row r="256" spans="1:45" x14ac:dyDescent="0.35">
      <c r="A256" s="16">
        <v>7119.4917299999997</v>
      </c>
      <c r="B256" s="14">
        <v>4.1267588277777794</v>
      </c>
      <c r="C256" s="14">
        <v>4.1051278277777765</v>
      </c>
      <c r="D256" s="14">
        <v>4.1029388277777796</v>
      </c>
      <c r="E256" s="14">
        <v>4.112013827777778</v>
      </c>
      <c r="F256" s="14">
        <v>4.1545978277777786</v>
      </c>
      <c r="G256" s="14">
        <v>4.282611827777778</v>
      </c>
      <c r="H256" s="14">
        <v>5.0386648222222199</v>
      </c>
      <c r="I256" s="14">
        <v>8.9829517888888883</v>
      </c>
      <c r="J256" s="14">
        <v>23.878899666666669</v>
      </c>
      <c r="K256" s="14">
        <v>49.903619444444445</v>
      </c>
      <c r="L256" s="14">
        <v>59.077189388888897</v>
      </c>
      <c r="M256" s="14">
        <v>58.862679388888893</v>
      </c>
      <c r="N256" s="14">
        <v>59.681979388888891</v>
      </c>
      <c r="O256" s="14">
        <v>60.421499388888897</v>
      </c>
      <c r="P256" s="14">
        <v>61.868069388888898</v>
      </c>
      <c r="Q256" s="14">
        <v>66.122459333333325</v>
      </c>
      <c r="R256" s="15">
        <v>78.535139231718333</v>
      </c>
      <c r="S256" s="14">
        <v>51.167559450659446</v>
      </c>
      <c r="T256" s="14">
        <v>51.167559450659446</v>
      </c>
      <c r="U256" s="14">
        <v>51.167559450659446</v>
      </c>
      <c r="V256" s="14">
        <v>51.167559450659446</v>
      </c>
      <c r="W256" s="14">
        <v>51.167559450659446</v>
      </c>
      <c r="X256" s="14">
        <v>51.167559450659446</v>
      </c>
      <c r="Y256" s="14">
        <v>51.167559450659446</v>
      </c>
      <c r="Z256" s="14">
        <v>51.167559450659446</v>
      </c>
      <c r="AA256" s="14">
        <v>51.167559450659446</v>
      </c>
      <c r="AB256" s="14">
        <v>51.167559450659446</v>
      </c>
      <c r="AC256" s="14">
        <v>59.077189388888897</v>
      </c>
      <c r="AD256" s="14">
        <v>58.862679388888893</v>
      </c>
      <c r="AE256" s="14">
        <v>59.681979388888891</v>
      </c>
      <c r="AF256" s="14">
        <v>60.421499388888897</v>
      </c>
      <c r="AG256" s="14">
        <v>61.868069388888898</v>
      </c>
      <c r="AH256" s="14">
        <v>66.122459333333325</v>
      </c>
      <c r="AI256" s="15">
        <v>78.535139231718333</v>
      </c>
      <c r="AJ256" s="14">
        <v>62.946169356430545</v>
      </c>
      <c r="AK256" s="14">
        <v>62.946169356430545</v>
      </c>
      <c r="AL256" s="14">
        <v>62.946169356430545</v>
      </c>
      <c r="AM256" s="14">
        <v>62.946169356430545</v>
      </c>
      <c r="AN256" s="14">
        <v>62.946169356430545</v>
      </c>
      <c r="AO256" s="14">
        <v>62.946169356430545</v>
      </c>
      <c r="AP256" s="14">
        <v>62.946169356430545</v>
      </c>
      <c r="AQ256" s="14">
        <v>62.946169356430545</v>
      </c>
      <c r="AR256" s="14">
        <v>66.122459333333325</v>
      </c>
      <c r="AS256" s="14">
        <v>78.535139231718333</v>
      </c>
    </row>
    <row r="257" spans="1:45" x14ac:dyDescent="0.35">
      <c r="A257" s="16">
        <v>7144.98063</v>
      </c>
      <c r="B257" s="14">
        <v>4.1279528277777784</v>
      </c>
      <c r="C257" s="14">
        <v>4.1055978277777783</v>
      </c>
      <c r="D257" s="14">
        <v>4.1035998277777788</v>
      </c>
      <c r="E257" s="14">
        <v>4.113029827777777</v>
      </c>
      <c r="F257" s="14">
        <v>4.1553548277777788</v>
      </c>
      <c r="G257" s="14">
        <v>4.2816228277777784</v>
      </c>
      <c r="H257" s="14">
        <v>5.0140758222222219</v>
      </c>
      <c r="I257" s="14">
        <v>8.8496367888888887</v>
      </c>
      <c r="J257" s="14">
        <v>23.505529672222224</v>
      </c>
      <c r="K257" s="14">
        <v>49.562699444444441</v>
      </c>
      <c r="L257" s="14">
        <v>59.004069388888894</v>
      </c>
      <c r="M257" s="14">
        <v>58.819849388888898</v>
      </c>
      <c r="N257" s="14">
        <v>59.633259388888895</v>
      </c>
      <c r="O257" s="14">
        <v>60.37360938888888</v>
      </c>
      <c r="P257" s="14">
        <v>61.822799388888889</v>
      </c>
      <c r="Q257" s="14">
        <v>66.084009333333327</v>
      </c>
      <c r="R257" s="15">
        <v>78.495269232037771</v>
      </c>
      <c r="S257" s="14">
        <v>51.139329450885</v>
      </c>
      <c r="T257" s="14">
        <v>51.139329450885</v>
      </c>
      <c r="U257" s="14">
        <v>51.139329450885</v>
      </c>
      <c r="V257" s="14">
        <v>51.139329450885</v>
      </c>
      <c r="W257" s="14">
        <v>51.139329450885</v>
      </c>
      <c r="X257" s="14">
        <v>51.139329450885</v>
      </c>
      <c r="Y257" s="14">
        <v>51.139329450885</v>
      </c>
      <c r="Z257" s="14">
        <v>51.139329450885</v>
      </c>
      <c r="AA257" s="14">
        <v>51.139329450885</v>
      </c>
      <c r="AB257" s="14">
        <v>51.139329450885</v>
      </c>
      <c r="AC257" s="14">
        <v>59.004069388888894</v>
      </c>
      <c r="AD257" s="14">
        <v>58.819849388888898</v>
      </c>
      <c r="AE257" s="14">
        <v>59.633259388888895</v>
      </c>
      <c r="AF257" s="14">
        <v>60.37360938888888</v>
      </c>
      <c r="AG257" s="14">
        <v>61.822799388888889</v>
      </c>
      <c r="AH257" s="14">
        <v>66.084009333333327</v>
      </c>
      <c r="AI257" s="15">
        <v>78.495269232037771</v>
      </c>
      <c r="AJ257" s="14">
        <v>62.905359356756662</v>
      </c>
      <c r="AK257" s="14">
        <v>62.905359356756662</v>
      </c>
      <c r="AL257" s="14">
        <v>62.905359356756662</v>
      </c>
      <c r="AM257" s="14">
        <v>62.905359356756662</v>
      </c>
      <c r="AN257" s="14">
        <v>62.905359356756662</v>
      </c>
      <c r="AO257" s="14">
        <v>62.905359356756662</v>
      </c>
      <c r="AP257" s="14">
        <v>62.905359356756662</v>
      </c>
      <c r="AQ257" s="14">
        <v>62.905359356756662</v>
      </c>
      <c r="AR257" s="14">
        <v>66.084009333333327</v>
      </c>
      <c r="AS257" s="14">
        <v>78.495269232037771</v>
      </c>
    </row>
    <row r="258" spans="1:45" x14ac:dyDescent="0.35">
      <c r="A258" s="16">
        <v>7176.7750800000003</v>
      </c>
      <c r="B258" s="14">
        <v>4.1261258277777797</v>
      </c>
      <c r="C258" s="14">
        <v>4.1059058277777778</v>
      </c>
      <c r="D258" s="14">
        <v>4.1044778277777798</v>
      </c>
      <c r="E258" s="14">
        <v>4.1143688277777777</v>
      </c>
      <c r="F258" s="14">
        <v>4.1561488277777769</v>
      </c>
      <c r="G258" s="14">
        <v>4.2796818277777779</v>
      </c>
      <c r="H258" s="14">
        <v>4.9783778222222237</v>
      </c>
      <c r="I258" s="14">
        <v>8.6565387888888878</v>
      </c>
      <c r="J258" s="14">
        <v>22.957839677777777</v>
      </c>
      <c r="K258" s="14">
        <v>49.044339444444439</v>
      </c>
      <c r="L258" s="14">
        <v>58.890829388888882</v>
      </c>
      <c r="M258" s="14">
        <v>58.755149388888896</v>
      </c>
      <c r="N258" s="14">
        <v>59.559799388888891</v>
      </c>
      <c r="O258" s="14">
        <v>60.301389388888893</v>
      </c>
      <c r="P258" s="14">
        <v>61.754489388888878</v>
      </c>
      <c r="Q258" s="14">
        <v>66.026019333333338</v>
      </c>
      <c r="R258" s="15">
        <v>78.43509923251888</v>
      </c>
      <c r="S258" s="14">
        <v>51.096759451225552</v>
      </c>
      <c r="T258" s="14">
        <v>51.096759451225552</v>
      </c>
      <c r="U258" s="14">
        <v>51.096759451225552</v>
      </c>
      <c r="V258" s="14">
        <v>51.096759451225552</v>
      </c>
      <c r="W258" s="14">
        <v>51.096759451225552</v>
      </c>
      <c r="X258" s="14">
        <v>51.096759451225552</v>
      </c>
      <c r="Y258" s="14">
        <v>51.096759451225552</v>
      </c>
      <c r="Z258" s="14">
        <v>51.096759451225552</v>
      </c>
      <c r="AA258" s="14">
        <v>51.096759451225552</v>
      </c>
      <c r="AB258" s="14">
        <v>51.096759451225552</v>
      </c>
      <c r="AC258" s="14">
        <v>58.890829388888882</v>
      </c>
      <c r="AD258" s="14">
        <v>58.755149388888896</v>
      </c>
      <c r="AE258" s="14">
        <v>59.559799388888891</v>
      </c>
      <c r="AF258" s="14">
        <v>60.301389388888893</v>
      </c>
      <c r="AG258" s="14">
        <v>61.754489388888878</v>
      </c>
      <c r="AH258" s="14">
        <v>66.026019333333338</v>
      </c>
      <c r="AI258" s="15">
        <v>78.43509923251888</v>
      </c>
      <c r="AJ258" s="14">
        <v>62.861489357107786</v>
      </c>
      <c r="AK258" s="14">
        <v>62.861489357107786</v>
      </c>
      <c r="AL258" s="14">
        <v>62.861489357107786</v>
      </c>
      <c r="AM258" s="14">
        <v>62.861489357107786</v>
      </c>
      <c r="AN258" s="14">
        <v>62.861489357107786</v>
      </c>
      <c r="AO258" s="14">
        <v>62.861489357107786</v>
      </c>
      <c r="AP258" s="14">
        <v>62.861489357107786</v>
      </c>
      <c r="AQ258" s="14">
        <v>62.861489357107786</v>
      </c>
      <c r="AR258" s="14">
        <v>66.026019333333338</v>
      </c>
      <c r="AS258" s="14">
        <v>78.43509923251888</v>
      </c>
    </row>
    <row r="259" spans="1:45" x14ac:dyDescent="0.35">
      <c r="A259" s="16">
        <v>7214.8750799999998</v>
      </c>
      <c r="B259" s="14">
        <v>4.1260618277777779</v>
      </c>
      <c r="C259" s="14">
        <v>4.1061288277777779</v>
      </c>
      <c r="D259" s="14">
        <v>4.1054448277777782</v>
      </c>
      <c r="E259" s="14">
        <v>4.1159778277777788</v>
      </c>
      <c r="F259" s="14">
        <v>4.1575028277777788</v>
      </c>
      <c r="G259" s="14">
        <v>4.278682827777776</v>
      </c>
      <c r="H259" s="14">
        <v>4.9458608222222207</v>
      </c>
      <c r="I259" s="14">
        <v>8.4723307944444421</v>
      </c>
      <c r="J259" s="14">
        <v>22.421899683333336</v>
      </c>
      <c r="K259" s="14">
        <v>48.520429444444439</v>
      </c>
      <c r="L259" s="14">
        <v>58.774979388888887</v>
      </c>
      <c r="M259" s="14">
        <v>58.69101938888889</v>
      </c>
      <c r="N259" s="14">
        <v>59.487209388888886</v>
      </c>
      <c r="O259" s="14">
        <v>60.230019388888877</v>
      </c>
      <c r="P259" s="14">
        <v>61.68704938888888</v>
      </c>
      <c r="Q259" s="14">
        <v>65.968909333333329</v>
      </c>
      <c r="R259" s="15">
        <v>78.375639232994445</v>
      </c>
      <c r="S259" s="14">
        <v>51.062989451496108</v>
      </c>
      <c r="T259" s="14">
        <v>51.062989451496108</v>
      </c>
      <c r="U259" s="14">
        <v>51.062989451496108</v>
      </c>
      <c r="V259" s="14">
        <v>51.062989451496108</v>
      </c>
      <c r="W259" s="14">
        <v>51.062989451496108</v>
      </c>
      <c r="X259" s="14">
        <v>51.062989451496108</v>
      </c>
      <c r="Y259" s="14">
        <v>51.062989451496108</v>
      </c>
      <c r="Z259" s="14">
        <v>51.062989451496108</v>
      </c>
      <c r="AA259" s="14">
        <v>51.062989451496108</v>
      </c>
      <c r="AB259" s="14">
        <v>51.062989451496108</v>
      </c>
      <c r="AC259" s="14">
        <v>58.774979388888887</v>
      </c>
      <c r="AD259" s="14">
        <v>58.69101938888889</v>
      </c>
      <c r="AE259" s="14">
        <v>59.487209388888886</v>
      </c>
      <c r="AF259" s="14">
        <v>60.230019388888877</v>
      </c>
      <c r="AG259" s="14">
        <v>61.68704938888888</v>
      </c>
      <c r="AH259" s="14">
        <v>65.968909333333329</v>
      </c>
      <c r="AI259" s="15">
        <v>78.375639232994445</v>
      </c>
      <c r="AJ259" s="14">
        <v>62.817509357459436</v>
      </c>
      <c r="AK259" s="14">
        <v>62.817509357459436</v>
      </c>
      <c r="AL259" s="14">
        <v>62.817509357459436</v>
      </c>
      <c r="AM259" s="14">
        <v>62.817509357459436</v>
      </c>
      <c r="AN259" s="14">
        <v>62.817509357459436</v>
      </c>
      <c r="AO259" s="14">
        <v>62.817509357459436</v>
      </c>
      <c r="AP259" s="14">
        <v>62.817509357459436</v>
      </c>
      <c r="AQ259" s="14">
        <v>62.817509357459436</v>
      </c>
      <c r="AR259" s="14">
        <v>65.968909333333329</v>
      </c>
      <c r="AS259" s="14">
        <v>78.375639232994445</v>
      </c>
    </row>
    <row r="260" spans="1:45" x14ac:dyDescent="0.35">
      <c r="A260" s="16">
        <v>7252.9750800000002</v>
      </c>
      <c r="B260" s="14">
        <v>4.1252288277777778</v>
      </c>
      <c r="C260" s="14">
        <v>4.1062348277777776</v>
      </c>
      <c r="D260" s="14">
        <v>4.1064508277777794</v>
      </c>
      <c r="E260" s="14">
        <v>4.1176758277777772</v>
      </c>
      <c r="F260" s="14">
        <v>4.1590118277777792</v>
      </c>
      <c r="G260" s="14">
        <v>4.277960827777779</v>
      </c>
      <c r="H260" s="14">
        <v>4.9153508222222202</v>
      </c>
      <c r="I260" s="14">
        <v>8.2957137944444455</v>
      </c>
      <c r="J260" s="14">
        <v>21.895739683333332</v>
      </c>
      <c r="K260" s="14">
        <v>47.990409499999998</v>
      </c>
      <c r="L260" s="14">
        <v>58.65534938888888</v>
      </c>
      <c r="M260" s="14">
        <v>58.626989388888887</v>
      </c>
      <c r="N260" s="14">
        <v>59.414799388888895</v>
      </c>
      <c r="O260" s="14">
        <v>60.158819388888887</v>
      </c>
      <c r="P260" s="14">
        <v>61.619799388888886</v>
      </c>
      <c r="Q260" s="14">
        <v>65.91203933333334</v>
      </c>
      <c r="R260" s="15">
        <v>78.316329233468892</v>
      </c>
      <c r="S260" s="14">
        <v>51.021159451830549</v>
      </c>
      <c r="T260" s="14">
        <v>51.021159451830549</v>
      </c>
      <c r="U260" s="14">
        <v>51.021159451830549</v>
      </c>
      <c r="V260" s="14">
        <v>51.021159451830549</v>
      </c>
      <c r="W260" s="14">
        <v>51.021159451830549</v>
      </c>
      <c r="X260" s="14">
        <v>51.021159451830549</v>
      </c>
      <c r="Y260" s="14">
        <v>51.021159451830549</v>
      </c>
      <c r="Z260" s="14">
        <v>51.021159451830549</v>
      </c>
      <c r="AA260" s="14">
        <v>51.021159451830549</v>
      </c>
      <c r="AB260" s="14">
        <v>51.021159451830549</v>
      </c>
      <c r="AC260" s="14">
        <v>58.65534938888888</v>
      </c>
      <c r="AD260" s="14">
        <v>58.626989388888887</v>
      </c>
      <c r="AE260" s="14">
        <v>59.414799388888895</v>
      </c>
      <c r="AF260" s="14">
        <v>60.158819388888887</v>
      </c>
      <c r="AG260" s="14">
        <v>61.619799388888886</v>
      </c>
      <c r="AH260" s="14">
        <v>65.91203933333334</v>
      </c>
      <c r="AI260" s="15">
        <v>78.316329233468892</v>
      </c>
      <c r="AJ260" s="14">
        <v>62.768439357852216</v>
      </c>
      <c r="AK260" s="14">
        <v>62.768439357852216</v>
      </c>
      <c r="AL260" s="14">
        <v>62.768439357852216</v>
      </c>
      <c r="AM260" s="14">
        <v>62.768439357852216</v>
      </c>
      <c r="AN260" s="14">
        <v>62.768439357852216</v>
      </c>
      <c r="AO260" s="14">
        <v>62.768439357852216</v>
      </c>
      <c r="AP260" s="14">
        <v>62.768439357852216</v>
      </c>
      <c r="AQ260" s="14">
        <v>62.768439357852216</v>
      </c>
      <c r="AR260" s="14">
        <v>65.91203933333334</v>
      </c>
      <c r="AS260" s="14">
        <v>78.316329233468892</v>
      </c>
    </row>
    <row r="261" spans="1:45" x14ac:dyDescent="0.35">
      <c r="A261" s="16">
        <v>7291.0750799999996</v>
      </c>
      <c r="B261" s="14">
        <v>4.1245738277777768</v>
      </c>
      <c r="C261" s="14">
        <v>4.1062818277777779</v>
      </c>
      <c r="D261" s="14">
        <v>4.1074978277777774</v>
      </c>
      <c r="E261" s="14">
        <v>4.119461827777779</v>
      </c>
      <c r="F261" s="14">
        <v>4.1606718277777768</v>
      </c>
      <c r="G261" s="14">
        <v>4.277508827777778</v>
      </c>
      <c r="H261" s="14">
        <v>4.8867738222222217</v>
      </c>
      <c r="I261" s="14">
        <v>8.1264267944444466</v>
      </c>
      <c r="J261" s="14">
        <v>21.381379688888888</v>
      </c>
      <c r="K261" s="14">
        <v>47.4542395</v>
      </c>
      <c r="L261" s="14">
        <v>58.532169388888889</v>
      </c>
      <c r="M261" s="14">
        <v>58.563049388888885</v>
      </c>
      <c r="N261" s="14">
        <v>59.342579388888893</v>
      </c>
      <c r="O261" s="14">
        <v>60.087779388888897</v>
      </c>
      <c r="P261" s="14">
        <v>61.552729388888892</v>
      </c>
      <c r="Q261" s="14">
        <v>65.855429333333348</v>
      </c>
      <c r="R261" s="15">
        <v>78.257149233942229</v>
      </c>
      <c r="S261" s="14">
        <v>50.984739452121666</v>
      </c>
      <c r="T261" s="14">
        <v>50.984739452121666</v>
      </c>
      <c r="U261" s="14">
        <v>50.984739452121666</v>
      </c>
      <c r="V261" s="14">
        <v>50.984739452121666</v>
      </c>
      <c r="W261" s="14">
        <v>50.984739452121666</v>
      </c>
      <c r="X261" s="14">
        <v>50.984739452121666</v>
      </c>
      <c r="Y261" s="14">
        <v>50.984739452121666</v>
      </c>
      <c r="Z261" s="14">
        <v>50.984739452121666</v>
      </c>
      <c r="AA261" s="14">
        <v>50.984739452121666</v>
      </c>
      <c r="AB261" s="14">
        <v>50.984739452121666</v>
      </c>
      <c r="AC261" s="14">
        <v>58.532169388888889</v>
      </c>
      <c r="AD261" s="14">
        <v>58.563049388888885</v>
      </c>
      <c r="AE261" s="14">
        <v>59.342579388888893</v>
      </c>
      <c r="AF261" s="14">
        <v>60.087779388888897</v>
      </c>
      <c r="AG261" s="14">
        <v>61.552729388888892</v>
      </c>
      <c r="AH261" s="14">
        <v>65.855429333333348</v>
      </c>
      <c r="AI261" s="15">
        <v>78.257149233942229</v>
      </c>
      <c r="AJ261" s="14">
        <v>62.722839358217215</v>
      </c>
      <c r="AK261" s="14">
        <v>62.722839358217215</v>
      </c>
      <c r="AL261" s="14">
        <v>62.722839358217215</v>
      </c>
      <c r="AM261" s="14">
        <v>62.722839358217215</v>
      </c>
      <c r="AN261" s="14">
        <v>62.722839358217215</v>
      </c>
      <c r="AO261" s="14">
        <v>62.722839358217215</v>
      </c>
      <c r="AP261" s="14">
        <v>62.722839358217215</v>
      </c>
      <c r="AQ261" s="14">
        <v>62.722839358217215</v>
      </c>
      <c r="AR261" s="14">
        <v>65.855429333333348</v>
      </c>
      <c r="AS261" s="14">
        <v>78.257149233942229</v>
      </c>
    </row>
    <row r="262" spans="1:45" x14ac:dyDescent="0.35">
      <c r="A262" s="16">
        <v>7329.17508</v>
      </c>
      <c r="B262" s="14">
        <v>4.1239938277777775</v>
      </c>
      <c r="C262" s="14">
        <v>4.106089827777776</v>
      </c>
      <c r="D262" s="14">
        <v>4.1083508277777785</v>
      </c>
      <c r="E262" s="14">
        <v>4.1210938277777762</v>
      </c>
      <c r="F262" s="14">
        <v>4.1622398277777766</v>
      </c>
      <c r="G262" s="14">
        <v>4.2770788277777783</v>
      </c>
      <c r="H262" s="14">
        <v>4.8598138222222236</v>
      </c>
      <c r="I262" s="14">
        <v>7.9639717944444435</v>
      </c>
      <c r="J262" s="14">
        <v>20.878409694444443</v>
      </c>
      <c r="K262" s="14">
        <v>46.910349500000002</v>
      </c>
      <c r="L262" s="14">
        <v>58.405119388888885</v>
      </c>
      <c r="M262" s="14">
        <v>58.498859388888881</v>
      </c>
      <c r="N262" s="14">
        <v>59.270229388888893</v>
      </c>
      <c r="O262" s="14">
        <v>60.016609388888895</v>
      </c>
      <c r="P262" s="14">
        <v>61.485529388888885</v>
      </c>
      <c r="Q262" s="14">
        <v>65.798729333333341</v>
      </c>
      <c r="R262" s="15">
        <v>78.197759234417788</v>
      </c>
      <c r="S262" s="14">
        <v>50.948069452414998</v>
      </c>
      <c r="T262" s="14">
        <v>50.948069452414998</v>
      </c>
      <c r="U262" s="14">
        <v>50.948069452414998</v>
      </c>
      <c r="V262" s="14">
        <v>50.948069452414998</v>
      </c>
      <c r="W262" s="14">
        <v>50.948069452414998</v>
      </c>
      <c r="X262" s="14">
        <v>50.948069452414998</v>
      </c>
      <c r="Y262" s="14">
        <v>50.948069452414998</v>
      </c>
      <c r="Z262" s="14">
        <v>50.948069452414998</v>
      </c>
      <c r="AA262" s="14">
        <v>50.948069452414998</v>
      </c>
      <c r="AB262" s="14">
        <v>50.948069452414998</v>
      </c>
      <c r="AC262" s="14">
        <v>58.405119388888885</v>
      </c>
      <c r="AD262" s="14">
        <v>58.498859388888881</v>
      </c>
      <c r="AE262" s="14">
        <v>59.270229388888893</v>
      </c>
      <c r="AF262" s="14">
        <v>60.016609388888895</v>
      </c>
      <c r="AG262" s="14">
        <v>61.485529388888885</v>
      </c>
      <c r="AH262" s="14">
        <v>65.798729333333341</v>
      </c>
      <c r="AI262" s="15">
        <v>78.197759234417788</v>
      </c>
      <c r="AJ262" s="14">
        <v>62.67701935858333</v>
      </c>
      <c r="AK262" s="14">
        <v>62.67701935858333</v>
      </c>
      <c r="AL262" s="14">
        <v>62.67701935858333</v>
      </c>
      <c r="AM262" s="14">
        <v>62.67701935858333</v>
      </c>
      <c r="AN262" s="14">
        <v>62.67701935858333</v>
      </c>
      <c r="AO262" s="14">
        <v>62.67701935858333</v>
      </c>
      <c r="AP262" s="14">
        <v>62.67701935858333</v>
      </c>
      <c r="AQ262" s="14">
        <v>62.67701935858333</v>
      </c>
      <c r="AR262" s="14">
        <v>65.798729333333341</v>
      </c>
      <c r="AS262" s="14">
        <v>78.197759234417788</v>
      </c>
    </row>
    <row r="263" spans="1:45" x14ac:dyDescent="0.35">
      <c r="A263" s="16">
        <v>7367.2750800000003</v>
      </c>
      <c r="B263" s="14">
        <v>4.123584827777778</v>
      </c>
      <c r="C263" s="14">
        <v>4.105717827777779</v>
      </c>
      <c r="D263" s="14">
        <v>4.1090238277777793</v>
      </c>
      <c r="E263" s="14">
        <v>4.1225728277777778</v>
      </c>
      <c r="F263" s="14">
        <v>4.1637128277777791</v>
      </c>
      <c r="G263" s="14">
        <v>4.2766668277777793</v>
      </c>
      <c r="H263" s="14">
        <v>4.8343018222222236</v>
      </c>
      <c r="I263" s="14">
        <v>7.8081028000000003</v>
      </c>
      <c r="J263" s="14">
        <v>20.386559694444447</v>
      </c>
      <c r="K263" s="14">
        <v>46.3613195</v>
      </c>
      <c r="L263" s="14">
        <v>58.274089388888896</v>
      </c>
      <c r="M263" s="14">
        <v>58.434409388888895</v>
      </c>
      <c r="N263" s="14">
        <v>59.197759388888876</v>
      </c>
      <c r="O263" s="14">
        <v>59.945269388888896</v>
      </c>
      <c r="P263" s="14">
        <v>61.418189388888891</v>
      </c>
      <c r="Q263" s="14">
        <v>65.741949333333352</v>
      </c>
      <c r="R263" s="15">
        <v>78.138149234894442</v>
      </c>
      <c r="S263" s="14">
        <v>50.910689452714443</v>
      </c>
      <c r="T263" s="14">
        <v>50.910689452714443</v>
      </c>
      <c r="U263" s="14">
        <v>50.910689452714443</v>
      </c>
      <c r="V263" s="14">
        <v>50.910689452714443</v>
      </c>
      <c r="W263" s="14">
        <v>50.910689452714443</v>
      </c>
      <c r="X263" s="14">
        <v>50.910689452714443</v>
      </c>
      <c r="Y263" s="14">
        <v>50.910689452714443</v>
      </c>
      <c r="Z263" s="14">
        <v>50.910689452714443</v>
      </c>
      <c r="AA263" s="14">
        <v>50.910689452714443</v>
      </c>
      <c r="AB263" s="14">
        <v>50.910689452714443</v>
      </c>
      <c r="AC263" s="14">
        <v>58.274089388888896</v>
      </c>
      <c r="AD263" s="14">
        <v>58.434409388888895</v>
      </c>
      <c r="AE263" s="14">
        <v>59.197759388888876</v>
      </c>
      <c r="AF263" s="14">
        <v>59.945269388888896</v>
      </c>
      <c r="AG263" s="14">
        <v>61.418189388888891</v>
      </c>
      <c r="AH263" s="14">
        <v>65.741949333333352</v>
      </c>
      <c r="AI263" s="15">
        <v>78.138149234894442</v>
      </c>
      <c r="AJ263" s="14">
        <v>62.630279358957218</v>
      </c>
      <c r="AK263" s="14">
        <v>62.630279358957218</v>
      </c>
      <c r="AL263" s="14">
        <v>62.630279358957218</v>
      </c>
      <c r="AM263" s="14">
        <v>62.630279358957218</v>
      </c>
      <c r="AN263" s="14">
        <v>62.630279358957218</v>
      </c>
      <c r="AO263" s="14">
        <v>62.630279358957218</v>
      </c>
      <c r="AP263" s="14">
        <v>62.630279358957218</v>
      </c>
      <c r="AQ263" s="14">
        <v>62.630279358957218</v>
      </c>
      <c r="AR263" s="14">
        <v>65.741949333333352</v>
      </c>
      <c r="AS263" s="14">
        <v>78.138149234894442</v>
      </c>
    </row>
    <row r="264" spans="1:45" x14ac:dyDescent="0.35">
      <c r="A264" s="16">
        <v>7405.3750799999998</v>
      </c>
      <c r="B264" s="14">
        <v>4.1230558277777778</v>
      </c>
      <c r="C264" s="14">
        <v>4.1053198277777785</v>
      </c>
      <c r="D264" s="14">
        <v>4.1096538277777759</v>
      </c>
      <c r="E264" s="14">
        <v>4.1240298277777789</v>
      </c>
      <c r="F264" s="14">
        <v>4.1652218277777759</v>
      </c>
      <c r="G264" s="14">
        <v>4.2763988277777782</v>
      </c>
      <c r="H264" s="14">
        <v>4.8103168222222221</v>
      </c>
      <c r="I264" s="14">
        <v>7.6587148000000003</v>
      </c>
      <c r="J264" s="14">
        <v>19.904289700000007</v>
      </c>
      <c r="K264" s="14">
        <v>45.807619500000001</v>
      </c>
      <c r="L264" s="14">
        <v>58.139149388888882</v>
      </c>
      <c r="M264" s="14">
        <v>58.369829388888874</v>
      </c>
      <c r="N264" s="14">
        <v>59.125339388888897</v>
      </c>
      <c r="O264" s="14">
        <v>59.873969388888895</v>
      </c>
      <c r="P264" s="14">
        <v>61.350899388888884</v>
      </c>
      <c r="Q264" s="14">
        <v>65.685269333333338</v>
      </c>
      <c r="R264" s="15">
        <v>78.078509235371655</v>
      </c>
      <c r="S264" s="14">
        <v>50.873169453014448</v>
      </c>
      <c r="T264" s="14">
        <v>50.873169453014448</v>
      </c>
      <c r="U264" s="14">
        <v>50.873169453014448</v>
      </c>
      <c r="V264" s="14">
        <v>50.873169453014448</v>
      </c>
      <c r="W264" s="14">
        <v>50.873169453014448</v>
      </c>
      <c r="X264" s="14">
        <v>50.873169453014448</v>
      </c>
      <c r="Y264" s="14">
        <v>50.873169453014448</v>
      </c>
      <c r="Z264" s="14">
        <v>50.873169453014448</v>
      </c>
      <c r="AA264" s="14">
        <v>50.873169453014448</v>
      </c>
      <c r="AB264" s="14">
        <v>50.873169453014448</v>
      </c>
      <c r="AC264" s="14">
        <v>58.139149388888882</v>
      </c>
      <c r="AD264" s="14">
        <v>58.369829388888874</v>
      </c>
      <c r="AE264" s="14">
        <v>59.125339388888897</v>
      </c>
      <c r="AF264" s="14">
        <v>59.873969388888895</v>
      </c>
      <c r="AG264" s="14">
        <v>61.350899388888884</v>
      </c>
      <c r="AH264" s="14">
        <v>65.685269333333338</v>
      </c>
      <c r="AI264" s="15">
        <v>78.078509235371655</v>
      </c>
      <c r="AJ264" s="14">
        <v>62.583449359332221</v>
      </c>
      <c r="AK264" s="14">
        <v>62.583449359332221</v>
      </c>
      <c r="AL264" s="14">
        <v>62.583449359332221</v>
      </c>
      <c r="AM264" s="14">
        <v>62.583449359332221</v>
      </c>
      <c r="AN264" s="14">
        <v>62.583449359332221</v>
      </c>
      <c r="AO264" s="14">
        <v>62.583449359332221</v>
      </c>
      <c r="AP264" s="14">
        <v>62.583449359332221</v>
      </c>
      <c r="AQ264" s="14">
        <v>62.583449359332221</v>
      </c>
      <c r="AR264" s="14">
        <v>65.685269333333338</v>
      </c>
      <c r="AS264" s="14">
        <v>78.078509235371655</v>
      </c>
    </row>
    <row r="265" spans="1:45" x14ac:dyDescent="0.35">
      <c r="A265" s="16">
        <v>7443.4750800000002</v>
      </c>
      <c r="B265" s="14">
        <v>4.122619827777779</v>
      </c>
      <c r="C265" s="14">
        <v>4.1049168277777781</v>
      </c>
      <c r="D265" s="14">
        <v>4.1102458277777778</v>
      </c>
      <c r="E265" s="14">
        <v>4.1254648277777761</v>
      </c>
      <c r="F265" s="14">
        <v>4.1667628277777764</v>
      </c>
      <c r="G265" s="14">
        <v>4.2762718277777783</v>
      </c>
      <c r="H265" s="14">
        <v>4.7877778222222229</v>
      </c>
      <c r="I265" s="14">
        <v>7.5155738000000021</v>
      </c>
      <c r="J265" s="14">
        <v>19.432899705555556</v>
      </c>
      <c r="K265" s="14">
        <v>45.249309499999995</v>
      </c>
      <c r="L265" s="14">
        <v>58.000189388888884</v>
      </c>
      <c r="M265" s="14">
        <v>58.305099388888884</v>
      </c>
      <c r="N265" s="14">
        <v>59.052969388888897</v>
      </c>
      <c r="O265" s="14">
        <v>59.802699388888897</v>
      </c>
      <c r="P265" s="14">
        <v>61.283639388888886</v>
      </c>
      <c r="Q265" s="14">
        <v>65.628689333333341</v>
      </c>
      <c r="R265" s="15">
        <v>78.018859235848893</v>
      </c>
      <c r="S265" s="14">
        <v>50.836179453310557</v>
      </c>
      <c r="T265" s="14">
        <v>50.836179453310557</v>
      </c>
      <c r="U265" s="14">
        <v>50.836179453310557</v>
      </c>
      <c r="V265" s="14">
        <v>50.836179453310557</v>
      </c>
      <c r="W265" s="14">
        <v>50.836179453310557</v>
      </c>
      <c r="X265" s="14">
        <v>50.836179453310557</v>
      </c>
      <c r="Y265" s="14">
        <v>50.836179453310557</v>
      </c>
      <c r="Z265" s="14">
        <v>50.836179453310557</v>
      </c>
      <c r="AA265" s="14">
        <v>50.836179453310557</v>
      </c>
      <c r="AB265" s="14">
        <v>50.836179453310557</v>
      </c>
      <c r="AC265" s="14">
        <v>58.000189388888884</v>
      </c>
      <c r="AD265" s="14">
        <v>58.305099388888884</v>
      </c>
      <c r="AE265" s="14">
        <v>59.052969388888897</v>
      </c>
      <c r="AF265" s="14">
        <v>59.802699388888897</v>
      </c>
      <c r="AG265" s="14">
        <v>61.283639388888886</v>
      </c>
      <c r="AH265" s="14">
        <v>65.628689333333341</v>
      </c>
      <c r="AI265" s="15">
        <v>78.018859235848893</v>
      </c>
      <c r="AJ265" s="14">
        <v>62.537129359702782</v>
      </c>
      <c r="AK265" s="14">
        <v>62.537129359702782</v>
      </c>
      <c r="AL265" s="14">
        <v>62.537129359702782</v>
      </c>
      <c r="AM265" s="14">
        <v>62.537129359702782</v>
      </c>
      <c r="AN265" s="14">
        <v>62.537129359702782</v>
      </c>
      <c r="AO265" s="14">
        <v>62.537129359702782</v>
      </c>
      <c r="AP265" s="14">
        <v>62.537129359702782</v>
      </c>
      <c r="AQ265" s="14">
        <v>62.537129359702782</v>
      </c>
      <c r="AR265" s="14">
        <v>65.628689333333341</v>
      </c>
      <c r="AS265" s="14">
        <v>78.018859235848893</v>
      </c>
    </row>
    <row r="266" spans="1:45" x14ac:dyDescent="0.35">
      <c r="A266" s="16">
        <v>7481.5750799999996</v>
      </c>
      <c r="B266" s="14">
        <v>4.1220338277777797</v>
      </c>
      <c r="C266" s="14">
        <v>4.1044968277777762</v>
      </c>
      <c r="D266" s="14">
        <v>4.1107868277777762</v>
      </c>
      <c r="E266" s="14">
        <v>4.1268628277777788</v>
      </c>
      <c r="F266" s="14">
        <v>4.168323827777777</v>
      </c>
      <c r="G266" s="14">
        <v>4.2762678277777786</v>
      </c>
      <c r="H266" s="14">
        <v>4.7665858222222228</v>
      </c>
      <c r="I266" s="14">
        <v>7.3784467999999999</v>
      </c>
      <c r="J266" s="14">
        <v>18.972979705555559</v>
      </c>
      <c r="K266" s="14">
        <v>44.684869499999998</v>
      </c>
      <c r="L266" s="14">
        <v>57.857089388888895</v>
      </c>
      <c r="M266" s="14">
        <v>58.24017938888889</v>
      </c>
      <c r="N266" s="14">
        <v>58.980639388888875</v>
      </c>
      <c r="O266" s="14">
        <v>59.731449388888876</v>
      </c>
      <c r="P266" s="14">
        <v>61.216409388888891</v>
      </c>
      <c r="Q266" s="14">
        <v>65.572189333333327</v>
      </c>
      <c r="R266" s="15">
        <v>77.95915923632667</v>
      </c>
      <c r="S266" s="14">
        <v>50.799169453606666</v>
      </c>
      <c r="T266" s="14">
        <v>50.799169453606666</v>
      </c>
      <c r="U266" s="14">
        <v>50.799169453606666</v>
      </c>
      <c r="V266" s="14">
        <v>50.799169453606666</v>
      </c>
      <c r="W266" s="14">
        <v>50.799169453606666</v>
      </c>
      <c r="X266" s="14">
        <v>50.799169453606666</v>
      </c>
      <c r="Y266" s="14">
        <v>50.799169453606666</v>
      </c>
      <c r="Z266" s="14">
        <v>50.799169453606666</v>
      </c>
      <c r="AA266" s="14">
        <v>50.799169453606666</v>
      </c>
      <c r="AB266" s="14">
        <v>50.799169453606666</v>
      </c>
      <c r="AC266" s="14">
        <v>57.857089388888895</v>
      </c>
      <c r="AD266" s="14">
        <v>58.24017938888889</v>
      </c>
      <c r="AE266" s="14">
        <v>58.980639388888875</v>
      </c>
      <c r="AF266" s="14">
        <v>59.731449388888876</v>
      </c>
      <c r="AG266" s="14">
        <v>61.216409388888891</v>
      </c>
      <c r="AH266" s="14">
        <v>65.572189333333327</v>
      </c>
      <c r="AI266" s="15">
        <v>77.95915923632667</v>
      </c>
      <c r="AJ266" s="14">
        <v>62.490069360079445</v>
      </c>
      <c r="AK266" s="14">
        <v>62.490069360079445</v>
      </c>
      <c r="AL266" s="14">
        <v>62.490069360079445</v>
      </c>
      <c r="AM266" s="14">
        <v>62.490069360079445</v>
      </c>
      <c r="AN266" s="14">
        <v>62.490069360079445</v>
      </c>
      <c r="AO266" s="14">
        <v>62.490069360079445</v>
      </c>
      <c r="AP266" s="14">
        <v>62.490069360079445</v>
      </c>
      <c r="AQ266" s="14">
        <v>62.490069360079445</v>
      </c>
      <c r="AR266" s="14">
        <v>65.572189333333327</v>
      </c>
      <c r="AS266" s="14">
        <v>77.95915923632667</v>
      </c>
    </row>
    <row r="267" spans="1:45" x14ac:dyDescent="0.35">
      <c r="A267" s="16">
        <v>7519.67508</v>
      </c>
      <c r="B267" s="14">
        <v>4.1217288277777797</v>
      </c>
      <c r="C267" s="14">
        <v>4.1040858277777774</v>
      </c>
      <c r="D267" s="14">
        <v>4.111288827777777</v>
      </c>
      <c r="E267" s="14">
        <v>4.1282258277777792</v>
      </c>
      <c r="F267" s="14">
        <v>4.1699008277777789</v>
      </c>
      <c r="G267" s="14">
        <v>4.2763828277777769</v>
      </c>
      <c r="H267" s="14">
        <v>4.7467048222222239</v>
      </c>
      <c r="I267" s="14">
        <v>7.2471137999999984</v>
      </c>
      <c r="J267" s="14">
        <v>18.524289711111109</v>
      </c>
      <c r="K267" s="14">
        <v>44.116879500000003</v>
      </c>
      <c r="L267" s="14">
        <v>57.709739388888892</v>
      </c>
      <c r="M267" s="14">
        <v>58.175039388888891</v>
      </c>
      <c r="N267" s="14">
        <v>58.908339388888891</v>
      </c>
      <c r="O267" s="14">
        <v>59.660219388888891</v>
      </c>
      <c r="P267" s="14">
        <v>61.149209388888899</v>
      </c>
      <c r="Q267" s="14">
        <v>65.515569333333332</v>
      </c>
      <c r="R267" s="15">
        <v>77.899429236804437</v>
      </c>
      <c r="S267" s="14">
        <v>50.76603945387167</v>
      </c>
      <c r="T267" s="14">
        <v>50.76603945387167</v>
      </c>
      <c r="U267" s="14">
        <v>50.76603945387167</v>
      </c>
      <c r="V267" s="14">
        <v>50.76603945387167</v>
      </c>
      <c r="W267" s="14">
        <v>50.76603945387167</v>
      </c>
      <c r="X267" s="14">
        <v>50.76603945387167</v>
      </c>
      <c r="Y267" s="14">
        <v>50.76603945387167</v>
      </c>
      <c r="Z267" s="14">
        <v>50.76603945387167</v>
      </c>
      <c r="AA267" s="14">
        <v>50.76603945387167</v>
      </c>
      <c r="AB267" s="14">
        <v>50.76603945387167</v>
      </c>
      <c r="AC267" s="14">
        <v>57.709739388888892</v>
      </c>
      <c r="AD267" s="14">
        <v>58.175039388888891</v>
      </c>
      <c r="AE267" s="14">
        <v>58.908339388888891</v>
      </c>
      <c r="AF267" s="14">
        <v>59.660219388888891</v>
      </c>
      <c r="AG267" s="14">
        <v>61.149209388888899</v>
      </c>
      <c r="AH267" s="14">
        <v>65.515569333333332</v>
      </c>
      <c r="AI267" s="15">
        <v>77.899429236804437</v>
      </c>
      <c r="AJ267" s="14">
        <v>62.44575936043389</v>
      </c>
      <c r="AK267" s="14">
        <v>62.44575936043389</v>
      </c>
      <c r="AL267" s="14">
        <v>62.44575936043389</v>
      </c>
      <c r="AM267" s="14">
        <v>62.44575936043389</v>
      </c>
      <c r="AN267" s="14">
        <v>62.44575936043389</v>
      </c>
      <c r="AO267" s="14">
        <v>62.44575936043389</v>
      </c>
      <c r="AP267" s="14">
        <v>62.44575936043389</v>
      </c>
      <c r="AQ267" s="14">
        <v>62.44575936043389</v>
      </c>
      <c r="AR267" s="14">
        <v>65.515569333333332</v>
      </c>
      <c r="AS267" s="14">
        <v>77.899429236804437</v>
      </c>
    </row>
    <row r="268" spans="1:45" x14ac:dyDescent="0.35">
      <c r="A268" s="16">
        <v>7557.7750800000003</v>
      </c>
      <c r="B268" s="14">
        <v>4.1217158277777779</v>
      </c>
      <c r="C268" s="14">
        <v>4.1035358277777769</v>
      </c>
      <c r="D268" s="14">
        <v>4.1115868277777778</v>
      </c>
      <c r="E268" s="14">
        <v>4.1293758277777766</v>
      </c>
      <c r="F268" s="14">
        <v>4.1713108277777762</v>
      </c>
      <c r="G268" s="14">
        <v>4.2764328277777768</v>
      </c>
      <c r="H268" s="14">
        <v>4.7278568222222201</v>
      </c>
      <c r="I268" s="14">
        <v>7.1211868055555572</v>
      </c>
      <c r="J268" s="14">
        <v>18.086329716666668</v>
      </c>
      <c r="K268" s="14">
        <v>43.545709500000001</v>
      </c>
      <c r="L268" s="14">
        <v>57.557809388888877</v>
      </c>
      <c r="M268" s="14">
        <v>58.109419388888881</v>
      </c>
      <c r="N268" s="14">
        <v>58.835839388888886</v>
      </c>
      <c r="O268" s="14">
        <v>59.588769388888892</v>
      </c>
      <c r="P268" s="14">
        <v>61.081769388888887</v>
      </c>
      <c r="Q268" s="14">
        <v>65.458709333333331</v>
      </c>
      <c r="R268" s="15">
        <v>77.839419237284446</v>
      </c>
      <c r="S268" s="14">
        <v>50.73868945409</v>
      </c>
      <c r="T268" s="14">
        <v>50.73868945409</v>
      </c>
      <c r="U268" s="14">
        <v>50.73868945409</v>
      </c>
      <c r="V268" s="14">
        <v>50.73868945409</v>
      </c>
      <c r="W268" s="14">
        <v>50.73868945409</v>
      </c>
      <c r="X268" s="14">
        <v>50.73868945409</v>
      </c>
      <c r="Y268" s="14">
        <v>50.73868945409</v>
      </c>
      <c r="Z268" s="14">
        <v>50.73868945409</v>
      </c>
      <c r="AA268" s="14">
        <v>50.73868945409</v>
      </c>
      <c r="AB268" s="14">
        <v>50.73868945409</v>
      </c>
      <c r="AC268" s="14">
        <v>57.557809388888877</v>
      </c>
      <c r="AD268" s="14">
        <v>58.109419388888881</v>
      </c>
      <c r="AE268" s="14">
        <v>58.835839388888886</v>
      </c>
      <c r="AF268" s="14">
        <v>59.588769388888892</v>
      </c>
      <c r="AG268" s="14">
        <v>61.081769388888887</v>
      </c>
      <c r="AH268" s="14">
        <v>65.458709333333331</v>
      </c>
      <c r="AI268" s="15">
        <v>77.839419237284446</v>
      </c>
      <c r="AJ268" s="14">
        <v>62.40220936078223</v>
      </c>
      <c r="AK268" s="14">
        <v>62.40220936078223</v>
      </c>
      <c r="AL268" s="14">
        <v>62.40220936078223</v>
      </c>
      <c r="AM268" s="14">
        <v>62.40220936078223</v>
      </c>
      <c r="AN268" s="14">
        <v>62.40220936078223</v>
      </c>
      <c r="AO268" s="14">
        <v>62.40220936078223</v>
      </c>
      <c r="AP268" s="14">
        <v>62.40220936078223</v>
      </c>
      <c r="AQ268" s="14">
        <v>62.40220936078223</v>
      </c>
      <c r="AR268" s="14">
        <v>65.458709333333331</v>
      </c>
      <c r="AS268" s="14">
        <v>77.839419237284446</v>
      </c>
    </row>
    <row r="269" spans="1:45" x14ac:dyDescent="0.35">
      <c r="A269" s="16">
        <v>7595.8750799999998</v>
      </c>
      <c r="B269" s="14">
        <v>4.1262578277777786</v>
      </c>
      <c r="C269" s="14">
        <v>4.1031768277777774</v>
      </c>
      <c r="D269" s="14">
        <v>4.1118468277777769</v>
      </c>
      <c r="E269" s="14">
        <v>4.1303488277777785</v>
      </c>
      <c r="F269" s="14">
        <v>4.1725678277777769</v>
      </c>
      <c r="G269" s="14">
        <v>4.2764158277777788</v>
      </c>
      <c r="H269" s="14">
        <v>4.7099748222222244</v>
      </c>
      <c r="I269" s="14">
        <v>7.0004638055555546</v>
      </c>
      <c r="J269" s="14">
        <v>17.657579716666667</v>
      </c>
      <c r="K269" s="14">
        <v>42.971389500000001</v>
      </c>
      <c r="L269" s="14">
        <v>57.401179388888899</v>
      </c>
      <c r="M269" s="14">
        <v>58.04328938888888</v>
      </c>
      <c r="N269" s="14">
        <v>58.763119388888896</v>
      </c>
      <c r="O269" s="14">
        <v>59.517099388888887</v>
      </c>
      <c r="P269" s="14">
        <v>61.014049388888893</v>
      </c>
      <c r="Q269" s="14">
        <v>65.401699333333326</v>
      </c>
      <c r="R269" s="15">
        <v>77.779109237766676</v>
      </c>
      <c r="S269" s="14">
        <v>50.738959454088338</v>
      </c>
      <c r="T269" s="14">
        <v>50.738959454088338</v>
      </c>
      <c r="U269" s="14">
        <v>50.738959454088338</v>
      </c>
      <c r="V269" s="14">
        <v>50.738959454088338</v>
      </c>
      <c r="W269" s="14">
        <v>50.738959454088338</v>
      </c>
      <c r="X269" s="14">
        <v>50.738959454088338</v>
      </c>
      <c r="Y269" s="14">
        <v>50.738959454088338</v>
      </c>
      <c r="Z269" s="14">
        <v>50.738959454088338</v>
      </c>
      <c r="AA269" s="14">
        <v>50.738959454088338</v>
      </c>
      <c r="AB269" s="14">
        <v>50.738959454088338</v>
      </c>
      <c r="AC269" s="14">
        <v>57.401179388888899</v>
      </c>
      <c r="AD269" s="14">
        <v>58.04328938888888</v>
      </c>
      <c r="AE269" s="14">
        <v>58.763119388888896</v>
      </c>
      <c r="AF269" s="14">
        <v>59.517099388888887</v>
      </c>
      <c r="AG269" s="14">
        <v>61.014049388888893</v>
      </c>
      <c r="AH269" s="14">
        <v>65.401699333333326</v>
      </c>
      <c r="AI269" s="15">
        <v>77.779109237766676</v>
      </c>
      <c r="AJ269" s="14">
        <v>62.378839360968897</v>
      </c>
      <c r="AK269" s="14">
        <v>62.378839360968897</v>
      </c>
      <c r="AL269" s="14">
        <v>62.378839360968897</v>
      </c>
      <c r="AM269" s="14">
        <v>62.378839360968897</v>
      </c>
      <c r="AN269" s="14">
        <v>62.378839360968897</v>
      </c>
      <c r="AO269" s="14">
        <v>62.378839360968897</v>
      </c>
      <c r="AP269" s="14">
        <v>62.378839360968897</v>
      </c>
      <c r="AQ269" s="14">
        <v>62.378839360968897</v>
      </c>
      <c r="AR269" s="14">
        <v>65.401699333333326</v>
      </c>
      <c r="AS269" s="14">
        <v>77.779109237766676</v>
      </c>
    </row>
    <row r="270" spans="1:45" x14ac:dyDescent="0.35">
      <c r="A270" s="16">
        <v>7633.9750800000002</v>
      </c>
      <c r="B270" s="14">
        <v>4.1208618277777767</v>
      </c>
      <c r="C270" s="14">
        <v>4.1023768277777766</v>
      </c>
      <c r="D270" s="14">
        <v>4.1117988277777764</v>
      </c>
      <c r="E270" s="14">
        <v>4.1311358277777783</v>
      </c>
      <c r="F270" s="14">
        <v>4.1737028277777775</v>
      </c>
      <c r="G270" s="14">
        <v>4.2763788277777772</v>
      </c>
      <c r="H270" s="14">
        <v>4.6930468222222208</v>
      </c>
      <c r="I270" s="14">
        <v>6.8847978055555554</v>
      </c>
      <c r="J270" s="14">
        <v>17.239269722222222</v>
      </c>
      <c r="K270" s="14">
        <v>42.392429499999999</v>
      </c>
      <c r="L270" s="14">
        <v>57.239809388888894</v>
      </c>
      <c r="M270" s="14">
        <v>57.976689388888886</v>
      </c>
      <c r="N270" s="14">
        <v>58.68998938888889</v>
      </c>
      <c r="O270" s="14">
        <v>59.445279388888885</v>
      </c>
      <c r="P270" s="14">
        <v>60.945919388888882</v>
      </c>
      <c r="Q270" s="14">
        <v>65.344609333333338</v>
      </c>
      <c r="R270" s="15">
        <v>77.718609238250565</v>
      </c>
      <c r="S270" s="14">
        <v>50.682319454541108</v>
      </c>
      <c r="T270" s="14">
        <v>50.682319454541108</v>
      </c>
      <c r="U270" s="14">
        <v>50.682319454541108</v>
      </c>
      <c r="V270" s="14">
        <v>50.682319454541108</v>
      </c>
      <c r="W270" s="14">
        <v>50.682319454541108</v>
      </c>
      <c r="X270" s="14">
        <v>50.682319454541108</v>
      </c>
      <c r="Y270" s="14">
        <v>50.682319454541108</v>
      </c>
      <c r="Z270" s="14">
        <v>50.682319454541108</v>
      </c>
      <c r="AA270" s="14">
        <v>50.682319454541108</v>
      </c>
      <c r="AB270" s="14">
        <v>50.682319454541108</v>
      </c>
      <c r="AC270" s="14">
        <v>57.239809388888894</v>
      </c>
      <c r="AD270" s="14">
        <v>57.976689388888886</v>
      </c>
      <c r="AE270" s="14">
        <v>58.68998938888889</v>
      </c>
      <c r="AF270" s="14">
        <v>59.445279388888885</v>
      </c>
      <c r="AG270" s="14">
        <v>60.945919388888882</v>
      </c>
      <c r="AH270" s="14">
        <v>65.344609333333338</v>
      </c>
      <c r="AI270" s="15">
        <v>77.718609238250565</v>
      </c>
      <c r="AJ270" s="14">
        <v>62.320729361433877</v>
      </c>
      <c r="AK270" s="14">
        <v>62.320729361433877</v>
      </c>
      <c r="AL270" s="14">
        <v>62.320729361433877</v>
      </c>
      <c r="AM270" s="14">
        <v>62.320729361433877</v>
      </c>
      <c r="AN270" s="14">
        <v>62.320729361433877</v>
      </c>
      <c r="AO270" s="14">
        <v>62.320729361433877</v>
      </c>
      <c r="AP270" s="14">
        <v>62.320729361433877</v>
      </c>
      <c r="AQ270" s="14">
        <v>62.320729361433877</v>
      </c>
      <c r="AR270" s="14">
        <v>65.344609333333338</v>
      </c>
      <c r="AS270" s="14">
        <v>77.718609238250565</v>
      </c>
    </row>
    <row r="271" spans="1:45" x14ac:dyDescent="0.35">
      <c r="A271" s="16">
        <v>7672.0750799999996</v>
      </c>
      <c r="B271" s="14">
        <v>4.120604827777778</v>
      </c>
      <c r="C271" s="14">
        <v>4.1015198277777758</v>
      </c>
      <c r="D271" s="14">
        <v>4.1116208277777764</v>
      </c>
      <c r="E271" s="14">
        <v>4.1317708277777774</v>
      </c>
      <c r="F271" s="14">
        <v>4.1747228277777797</v>
      </c>
      <c r="G271" s="14">
        <v>4.2763258277777778</v>
      </c>
      <c r="H271" s="14">
        <v>4.6770218222222226</v>
      </c>
      <c r="I271" s="14">
        <v>6.7740008055555538</v>
      </c>
      <c r="J271" s="14">
        <v>16.831799727777778</v>
      </c>
      <c r="K271" s="14">
        <v>41.811539500000002</v>
      </c>
      <c r="L271" s="14">
        <v>57.073579388888888</v>
      </c>
      <c r="M271" s="14">
        <v>57.909599388888893</v>
      </c>
      <c r="N271" s="14">
        <v>58.616699388888883</v>
      </c>
      <c r="O271" s="14">
        <v>59.373319388888881</v>
      </c>
      <c r="P271" s="14">
        <v>60.877649388888891</v>
      </c>
      <c r="Q271" s="14">
        <v>65.287439333333324</v>
      </c>
      <c r="R271" s="15">
        <v>77.657929238736116</v>
      </c>
      <c r="S271" s="14">
        <v>50.611899455104449</v>
      </c>
      <c r="T271" s="14">
        <v>50.611899455104449</v>
      </c>
      <c r="U271" s="14">
        <v>50.611899455104449</v>
      </c>
      <c r="V271" s="14">
        <v>50.611899455104449</v>
      </c>
      <c r="W271" s="14">
        <v>50.611899455104449</v>
      </c>
      <c r="X271" s="14">
        <v>50.611899455104449</v>
      </c>
      <c r="Y271" s="14">
        <v>50.611899455104449</v>
      </c>
      <c r="Z271" s="14">
        <v>50.611899455104449</v>
      </c>
      <c r="AA271" s="14">
        <v>50.611899455104449</v>
      </c>
      <c r="AB271" s="14">
        <v>50.611899455104449</v>
      </c>
      <c r="AC271" s="14">
        <v>57.073579388888888</v>
      </c>
      <c r="AD271" s="14">
        <v>57.909599388888893</v>
      </c>
      <c r="AE271" s="14">
        <v>58.616699388888883</v>
      </c>
      <c r="AF271" s="14">
        <v>59.373319388888881</v>
      </c>
      <c r="AG271" s="14">
        <v>60.877649388888891</v>
      </c>
      <c r="AH271" s="14">
        <v>65.287439333333324</v>
      </c>
      <c r="AI271" s="15">
        <v>77.657929238736116</v>
      </c>
      <c r="AJ271" s="14">
        <v>62.259289361925553</v>
      </c>
      <c r="AK271" s="14">
        <v>62.259289361925553</v>
      </c>
      <c r="AL271" s="14">
        <v>62.259289361925553</v>
      </c>
      <c r="AM271" s="14">
        <v>62.259289361925553</v>
      </c>
      <c r="AN271" s="14">
        <v>62.259289361925553</v>
      </c>
      <c r="AO271" s="14">
        <v>62.259289361925553</v>
      </c>
      <c r="AP271" s="14">
        <v>62.259289361925553</v>
      </c>
      <c r="AQ271" s="14">
        <v>62.259289361925553</v>
      </c>
      <c r="AR271" s="14">
        <v>65.287439333333324</v>
      </c>
      <c r="AS271" s="14">
        <v>77.657929238736116</v>
      </c>
    </row>
    <row r="272" spans="1:45" x14ac:dyDescent="0.35">
      <c r="A272" s="16">
        <v>7702.4804039999999</v>
      </c>
      <c r="B272" s="14">
        <v>4.1207658277777766</v>
      </c>
      <c r="C272" s="14">
        <v>4.1009538277777775</v>
      </c>
      <c r="D272" s="14">
        <v>4.1114268277777795</v>
      </c>
      <c r="E272" s="14">
        <v>4.1322338277777764</v>
      </c>
      <c r="F272" s="14">
        <v>4.1756998277777768</v>
      </c>
      <c r="G272" s="14">
        <v>4.2770148277777764</v>
      </c>
      <c r="H272" s="14">
        <v>4.6689888222222224</v>
      </c>
      <c r="I272" s="14">
        <v>6.7108448055555554</v>
      </c>
      <c r="J272" s="14">
        <v>16.593929727777777</v>
      </c>
      <c r="K272" s="14">
        <v>41.465679555555553</v>
      </c>
      <c r="L272" s="14">
        <v>56.973489388888893</v>
      </c>
      <c r="M272" s="14">
        <v>57.870159388888879</v>
      </c>
      <c r="N272" s="14">
        <v>58.57371938888889</v>
      </c>
      <c r="O272" s="14">
        <v>59.331089388888891</v>
      </c>
      <c r="P272" s="14">
        <v>60.837639388888888</v>
      </c>
      <c r="Q272" s="14">
        <v>65.253999333333326</v>
      </c>
      <c r="R272" s="15">
        <v>77.62227923902168</v>
      </c>
      <c r="S272" s="14">
        <v>50.575049455399444</v>
      </c>
      <c r="T272" s="14">
        <v>50.575049455399444</v>
      </c>
      <c r="U272" s="14">
        <v>50.575049455399444</v>
      </c>
      <c r="V272" s="14">
        <v>50.575049455399444</v>
      </c>
      <c r="W272" s="14">
        <v>50.575049455399444</v>
      </c>
      <c r="X272" s="14">
        <v>50.575049455399444</v>
      </c>
      <c r="Y272" s="14">
        <v>50.575049455399444</v>
      </c>
      <c r="Z272" s="14">
        <v>50.575049455399444</v>
      </c>
      <c r="AA272" s="14">
        <v>50.575049455399444</v>
      </c>
      <c r="AB272" s="14">
        <v>50.575049455399444</v>
      </c>
      <c r="AC272" s="14">
        <v>56.973489388888893</v>
      </c>
      <c r="AD272" s="14">
        <v>57.870159388888879</v>
      </c>
      <c r="AE272" s="14">
        <v>58.57371938888889</v>
      </c>
      <c r="AF272" s="14">
        <v>59.331089388888891</v>
      </c>
      <c r="AG272" s="14">
        <v>60.837639388888888</v>
      </c>
      <c r="AH272" s="14">
        <v>65.253999333333326</v>
      </c>
      <c r="AI272" s="15">
        <v>77.62227923902168</v>
      </c>
      <c r="AJ272" s="14">
        <v>62.215679362274436</v>
      </c>
      <c r="AK272" s="14">
        <v>62.215679362274436</v>
      </c>
      <c r="AL272" s="14">
        <v>62.215679362274436</v>
      </c>
      <c r="AM272" s="14">
        <v>62.215679362274436</v>
      </c>
      <c r="AN272" s="14">
        <v>62.215679362274436</v>
      </c>
      <c r="AO272" s="14">
        <v>62.215679362274436</v>
      </c>
      <c r="AP272" s="14">
        <v>62.215679362274436</v>
      </c>
      <c r="AQ272" s="14">
        <v>62.215679362274436</v>
      </c>
      <c r="AR272" s="14">
        <v>65.253999333333326</v>
      </c>
      <c r="AS272" s="14">
        <v>77.62227923902168</v>
      </c>
    </row>
    <row r="273" spans="1:45" x14ac:dyDescent="0.35">
      <c r="A273" s="16">
        <v>7725.191052000001</v>
      </c>
      <c r="B273" s="14">
        <v>4.1211218277777757</v>
      </c>
      <c r="C273" s="14">
        <v>4.1002298277777767</v>
      </c>
      <c r="D273" s="14">
        <v>4.1110208277777796</v>
      </c>
      <c r="E273" s="14">
        <v>4.1322798277777766</v>
      </c>
      <c r="F273" s="14">
        <v>4.1759898277777792</v>
      </c>
      <c r="G273" s="14">
        <v>4.2767448277777795</v>
      </c>
      <c r="H273" s="14">
        <v>4.6598138222222234</v>
      </c>
      <c r="I273" s="14">
        <v>6.6479008055555546</v>
      </c>
      <c r="J273" s="14">
        <v>16.358339727777778</v>
      </c>
      <c r="K273" s="14">
        <v>41.118139555555551</v>
      </c>
      <c r="L273" s="14">
        <v>56.870579388888892</v>
      </c>
      <c r="M273" s="14">
        <v>57.829489388888888</v>
      </c>
      <c r="N273" s="14">
        <v>58.529659388888895</v>
      </c>
      <c r="O273" s="14">
        <v>59.287789388888896</v>
      </c>
      <c r="P273" s="14">
        <v>60.796539388888895</v>
      </c>
      <c r="Q273" s="14">
        <v>65.219549333333333</v>
      </c>
      <c r="R273" s="15">
        <v>77.585639239314446</v>
      </c>
      <c r="S273" s="14">
        <v>50.55022945559778</v>
      </c>
      <c r="T273" s="14">
        <v>50.55022945559778</v>
      </c>
      <c r="U273" s="14">
        <v>50.55022945559778</v>
      </c>
      <c r="V273" s="14">
        <v>50.55022945559778</v>
      </c>
      <c r="W273" s="14">
        <v>50.55022945559778</v>
      </c>
      <c r="X273" s="14">
        <v>50.55022945559778</v>
      </c>
      <c r="Y273" s="14">
        <v>50.55022945559778</v>
      </c>
      <c r="Z273" s="14">
        <v>50.55022945559778</v>
      </c>
      <c r="AA273" s="14">
        <v>50.55022945559778</v>
      </c>
      <c r="AB273" s="14">
        <v>50.55022945559778</v>
      </c>
      <c r="AC273" s="14">
        <v>56.870579388888892</v>
      </c>
      <c r="AD273" s="14">
        <v>57.829489388888888</v>
      </c>
      <c r="AE273" s="14">
        <v>58.529659388888895</v>
      </c>
      <c r="AF273" s="14">
        <v>59.287789388888896</v>
      </c>
      <c r="AG273" s="14">
        <v>60.796539388888895</v>
      </c>
      <c r="AH273" s="14">
        <v>65.219549333333333</v>
      </c>
      <c r="AI273" s="15">
        <v>77.585639239314446</v>
      </c>
      <c r="AJ273" s="14">
        <v>62.181639362546676</v>
      </c>
      <c r="AK273" s="14">
        <v>62.181639362546676</v>
      </c>
      <c r="AL273" s="14">
        <v>62.181639362546676</v>
      </c>
      <c r="AM273" s="14">
        <v>62.181639362546676</v>
      </c>
      <c r="AN273" s="14">
        <v>62.181639362546676</v>
      </c>
      <c r="AO273" s="14">
        <v>62.181639362546676</v>
      </c>
      <c r="AP273" s="14">
        <v>62.181639362546676</v>
      </c>
      <c r="AQ273" s="14">
        <v>62.181639362546676</v>
      </c>
      <c r="AR273" s="14">
        <v>65.219549333333333</v>
      </c>
      <c r="AS273" s="14">
        <v>77.585639239314446</v>
      </c>
    </row>
    <row r="274" spans="1:45" x14ac:dyDescent="0.35">
      <c r="A274" s="16">
        <v>7755.5963760000004</v>
      </c>
      <c r="B274" s="14">
        <v>4.121244827777776</v>
      </c>
      <c r="C274" s="14">
        <v>4.0995678277777774</v>
      </c>
      <c r="D274" s="14">
        <v>4.1107718277777785</v>
      </c>
      <c r="E274" s="14">
        <v>4.1325548277777777</v>
      </c>
      <c r="F274" s="14">
        <v>4.1764278277777773</v>
      </c>
      <c r="G274" s="14">
        <v>4.2760058277777766</v>
      </c>
      <c r="H274" s="14">
        <v>4.6444728222222214</v>
      </c>
      <c r="I274" s="14">
        <v>6.545676805555555</v>
      </c>
      <c r="J274" s="14">
        <v>15.972669733333333</v>
      </c>
      <c r="K274" s="14">
        <v>40.532879555555553</v>
      </c>
      <c r="L274" s="14">
        <v>56.692629388888889</v>
      </c>
      <c r="M274" s="14">
        <v>57.760539388888873</v>
      </c>
      <c r="N274" s="14">
        <v>58.455509388888885</v>
      </c>
      <c r="O274" s="14">
        <v>59.214909388888891</v>
      </c>
      <c r="P274" s="14">
        <v>60.7273593888889</v>
      </c>
      <c r="Q274" s="14">
        <v>65.16164933333333</v>
      </c>
      <c r="R274" s="15">
        <v>77.52409923980666</v>
      </c>
      <c r="S274" s="14">
        <v>50.529809455761111</v>
      </c>
      <c r="T274" s="14">
        <v>50.529809455761111</v>
      </c>
      <c r="U274" s="14">
        <v>50.529809455761111</v>
      </c>
      <c r="V274" s="14">
        <v>50.529809455761111</v>
      </c>
      <c r="W274" s="14">
        <v>50.529809455761111</v>
      </c>
      <c r="X274" s="14">
        <v>50.529809455761111</v>
      </c>
      <c r="Y274" s="14">
        <v>50.529809455761111</v>
      </c>
      <c r="Z274" s="14">
        <v>50.529809455761111</v>
      </c>
      <c r="AA274" s="14">
        <v>50.529809455761111</v>
      </c>
      <c r="AB274" s="14">
        <v>50.529809455761111</v>
      </c>
      <c r="AC274" s="14">
        <v>56.692629388888889</v>
      </c>
      <c r="AD274" s="14">
        <v>57.760539388888873</v>
      </c>
      <c r="AE274" s="14">
        <v>58.455509388888885</v>
      </c>
      <c r="AF274" s="14">
        <v>59.214909388888891</v>
      </c>
      <c r="AG274" s="14">
        <v>60.7273593888889</v>
      </c>
      <c r="AH274" s="14">
        <v>65.16164933333333</v>
      </c>
      <c r="AI274" s="15">
        <v>77.52409923980666</v>
      </c>
      <c r="AJ274" s="14">
        <v>62.150729362793882</v>
      </c>
      <c r="AK274" s="14">
        <v>62.150729362793882</v>
      </c>
      <c r="AL274" s="14">
        <v>62.150729362793882</v>
      </c>
      <c r="AM274" s="14">
        <v>62.150729362793882</v>
      </c>
      <c r="AN274" s="14">
        <v>62.150729362793882</v>
      </c>
      <c r="AO274" s="14">
        <v>62.150729362793882</v>
      </c>
      <c r="AP274" s="14">
        <v>62.150729362793882</v>
      </c>
      <c r="AQ274" s="14">
        <v>62.150729362793882</v>
      </c>
      <c r="AR274" s="14">
        <v>65.16164933333333</v>
      </c>
      <c r="AS274" s="14">
        <v>77.52409923980666</v>
      </c>
    </row>
    <row r="275" spans="1:45" x14ac:dyDescent="0.35">
      <c r="A275" s="16">
        <v>7793.6963759999999</v>
      </c>
      <c r="B275" s="14">
        <v>4.1219528277777764</v>
      </c>
      <c r="C275" s="14">
        <v>4.0993808277777788</v>
      </c>
      <c r="D275" s="14">
        <v>4.1108888277777762</v>
      </c>
      <c r="E275" s="14">
        <v>4.1333338277777782</v>
      </c>
      <c r="F275" s="14">
        <v>4.1776558277777793</v>
      </c>
      <c r="G275" s="14">
        <v>4.2764468277777787</v>
      </c>
      <c r="H275" s="14">
        <v>4.6315588222222219</v>
      </c>
      <c r="I275" s="14">
        <v>6.4493568111111124</v>
      </c>
      <c r="J275" s="14">
        <v>15.598269733333332</v>
      </c>
      <c r="K275" s="14">
        <v>39.946779555555551</v>
      </c>
      <c r="L275" s="14">
        <v>56.51074938888889</v>
      </c>
      <c r="M275" s="14">
        <v>57.692369388888892</v>
      </c>
      <c r="N275" s="14">
        <v>58.382639388888897</v>
      </c>
      <c r="O275" s="14">
        <v>59.143269388888889</v>
      </c>
      <c r="P275" s="14">
        <v>60.659449388888888</v>
      </c>
      <c r="Q275" s="14">
        <v>65.105029333333334</v>
      </c>
      <c r="R275" s="15">
        <v>77.463719240290004</v>
      </c>
      <c r="S275" s="14">
        <v>50.507269455941668</v>
      </c>
      <c r="T275" s="14">
        <v>50.507269455941668</v>
      </c>
      <c r="U275" s="14">
        <v>50.507269455941668</v>
      </c>
      <c r="V275" s="14">
        <v>50.507269455941668</v>
      </c>
      <c r="W275" s="14">
        <v>50.507269455941668</v>
      </c>
      <c r="X275" s="14">
        <v>50.507269455941668</v>
      </c>
      <c r="Y275" s="14">
        <v>50.507269455941668</v>
      </c>
      <c r="Z275" s="14">
        <v>50.507269455941668</v>
      </c>
      <c r="AA275" s="14">
        <v>50.507269455941668</v>
      </c>
      <c r="AB275" s="14">
        <v>50.507269455941668</v>
      </c>
      <c r="AC275" s="14">
        <v>56.51074938888889</v>
      </c>
      <c r="AD275" s="14">
        <v>57.692369388888892</v>
      </c>
      <c r="AE275" s="14">
        <v>58.382639388888897</v>
      </c>
      <c r="AF275" s="14">
        <v>59.143269388888889</v>
      </c>
      <c r="AG275" s="14">
        <v>60.659449388888888</v>
      </c>
      <c r="AH275" s="14">
        <v>65.105029333333334</v>
      </c>
      <c r="AI275" s="15">
        <v>77.463719240290004</v>
      </c>
      <c r="AJ275" s="14">
        <v>62.117919363056117</v>
      </c>
      <c r="AK275" s="14">
        <v>62.117919363056117</v>
      </c>
      <c r="AL275" s="14">
        <v>62.117919363056117</v>
      </c>
      <c r="AM275" s="14">
        <v>62.117919363056117</v>
      </c>
      <c r="AN275" s="14">
        <v>62.117919363056117</v>
      </c>
      <c r="AO275" s="14">
        <v>62.117919363056117</v>
      </c>
      <c r="AP275" s="14">
        <v>62.117919363056117</v>
      </c>
      <c r="AQ275" s="14">
        <v>62.117919363056117</v>
      </c>
      <c r="AR275" s="14">
        <v>65.105029333333334</v>
      </c>
      <c r="AS275" s="14">
        <v>77.463719240290004</v>
      </c>
    </row>
    <row r="276" spans="1:45" x14ac:dyDescent="0.35">
      <c r="A276" s="16">
        <v>7824.1001759999999</v>
      </c>
      <c r="B276" s="14">
        <v>4.1207238277777787</v>
      </c>
      <c r="C276" s="14">
        <v>4.0992438277777765</v>
      </c>
      <c r="D276" s="14">
        <v>4.1109338277777772</v>
      </c>
      <c r="E276" s="14">
        <v>4.133972827777777</v>
      </c>
      <c r="F276" s="14">
        <v>4.1788438277777793</v>
      </c>
      <c r="G276" s="14">
        <v>4.2775208277777761</v>
      </c>
      <c r="H276" s="14">
        <v>4.6254088222222238</v>
      </c>
      <c r="I276" s="14">
        <v>6.3947858111111104</v>
      </c>
      <c r="J276" s="14">
        <v>15.37921973888889</v>
      </c>
      <c r="K276" s="14">
        <v>39.598499555555556</v>
      </c>
      <c r="L276" s="14">
        <v>56.400939388888894</v>
      </c>
      <c r="M276" s="14">
        <v>57.652379388888889</v>
      </c>
      <c r="N276" s="14">
        <v>58.34002938888888</v>
      </c>
      <c r="O276" s="14">
        <v>59.101359388888881</v>
      </c>
      <c r="P276" s="14">
        <v>60.619779388888887</v>
      </c>
      <c r="Q276" s="14">
        <v>65.072059333333343</v>
      </c>
      <c r="R276" s="15">
        <v>77.428399240572219</v>
      </c>
      <c r="S276" s="14">
        <v>50.460099456318886</v>
      </c>
      <c r="T276" s="14">
        <v>50.460099456318886</v>
      </c>
      <c r="U276" s="14">
        <v>50.460099456318886</v>
      </c>
      <c r="V276" s="14">
        <v>50.460099456318886</v>
      </c>
      <c r="W276" s="14">
        <v>50.460099456318886</v>
      </c>
      <c r="X276" s="14">
        <v>50.460099456318886</v>
      </c>
      <c r="Y276" s="14">
        <v>50.460099456318886</v>
      </c>
      <c r="Z276" s="14">
        <v>50.460099456318886</v>
      </c>
      <c r="AA276" s="14">
        <v>50.460099456318886</v>
      </c>
      <c r="AB276" s="14">
        <v>50.460099456318886</v>
      </c>
      <c r="AC276" s="14">
        <v>56.400939388888894</v>
      </c>
      <c r="AD276" s="14">
        <v>57.652379388888889</v>
      </c>
      <c r="AE276" s="14">
        <v>58.34002938888888</v>
      </c>
      <c r="AF276" s="14">
        <v>59.101359388888881</v>
      </c>
      <c r="AG276" s="14">
        <v>60.619779388888887</v>
      </c>
      <c r="AH276" s="14">
        <v>65.072059333333343</v>
      </c>
      <c r="AI276" s="15">
        <v>77.428399240572219</v>
      </c>
      <c r="AJ276" s="14">
        <v>62.068659363450557</v>
      </c>
      <c r="AK276" s="14">
        <v>62.068659363450557</v>
      </c>
      <c r="AL276" s="14">
        <v>62.068659363450557</v>
      </c>
      <c r="AM276" s="14">
        <v>62.068659363450557</v>
      </c>
      <c r="AN276" s="14">
        <v>62.068659363450557</v>
      </c>
      <c r="AO276" s="14">
        <v>62.068659363450557</v>
      </c>
      <c r="AP276" s="14">
        <v>62.068659363450557</v>
      </c>
      <c r="AQ276" s="14">
        <v>62.068659363450557</v>
      </c>
      <c r="AR276" s="14">
        <v>65.072059333333343</v>
      </c>
      <c r="AS276" s="14">
        <v>77.428399240572219</v>
      </c>
    </row>
    <row r="277" spans="1:45" x14ac:dyDescent="0.35">
      <c r="A277" s="16">
        <v>7846.8077759999996</v>
      </c>
      <c r="B277" s="14">
        <v>4.1208228277777792</v>
      </c>
      <c r="C277" s="14">
        <v>4.098904827777778</v>
      </c>
      <c r="D277" s="14">
        <v>4.1107378277777764</v>
      </c>
      <c r="E277" s="14">
        <v>4.1341698277777779</v>
      </c>
      <c r="F277" s="14">
        <v>4.1793278277777786</v>
      </c>
      <c r="G277" s="14">
        <v>4.277604827777779</v>
      </c>
      <c r="H277" s="14">
        <v>4.6180478222222217</v>
      </c>
      <c r="I277" s="14">
        <v>6.3402548111111106</v>
      </c>
      <c r="J277" s="14">
        <v>15.16231973888889</v>
      </c>
      <c r="K277" s="14">
        <v>39.248999555555557</v>
      </c>
      <c r="L277" s="14">
        <v>56.288069388888886</v>
      </c>
      <c r="M277" s="14">
        <v>57.611089388888885</v>
      </c>
      <c r="N277" s="14">
        <v>58.296319388888882</v>
      </c>
      <c r="O277" s="14">
        <v>59.058349388888892</v>
      </c>
      <c r="P277" s="14">
        <v>60.579009388888885</v>
      </c>
      <c r="Q277" s="14">
        <v>65.03803933333333</v>
      </c>
      <c r="R277" s="15">
        <v>77.39207924086277</v>
      </c>
      <c r="S277" s="14">
        <v>50.430979456551668</v>
      </c>
      <c r="T277" s="14">
        <v>50.430979456551668</v>
      </c>
      <c r="U277" s="14">
        <v>50.430979456551668</v>
      </c>
      <c r="V277" s="14">
        <v>50.430979456551668</v>
      </c>
      <c r="W277" s="14">
        <v>50.430979456551668</v>
      </c>
      <c r="X277" s="14">
        <v>50.430979456551668</v>
      </c>
      <c r="Y277" s="14">
        <v>50.430979456551668</v>
      </c>
      <c r="Z277" s="14">
        <v>50.430979456551668</v>
      </c>
      <c r="AA277" s="14">
        <v>50.430979456551668</v>
      </c>
      <c r="AB277" s="14">
        <v>50.430979456551668</v>
      </c>
      <c r="AC277" s="14">
        <v>56.288069388888886</v>
      </c>
      <c r="AD277" s="14">
        <v>57.611089388888885</v>
      </c>
      <c r="AE277" s="14">
        <v>58.296319388888882</v>
      </c>
      <c r="AF277" s="14">
        <v>59.058349388888892</v>
      </c>
      <c r="AG277" s="14">
        <v>60.579009388888885</v>
      </c>
      <c r="AH277" s="14">
        <v>65.03803933333333</v>
      </c>
      <c r="AI277" s="15">
        <v>77.39207924086277</v>
      </c>
      <c r="AJ277" s="14">
        <v>62.030119363758885</v>
      </c>
      <c r="AK277" s="14">
        <v>62.030119363758885</v>
      </c>
      <c r="AL277" s="14">
        <v>62.030119363758885</v>
      </c>
      <c r="AM277" s="14">
        <v>62.030119363758885</v>
      </c>
      <c r="AN277" s="14">
        <v>62.030119363758885</v>
      </c>
      <c r="AO277" s="14">
        <v>62.030119363758885</v>
      </c>
      <c r="AP277" s="14">
        <v>62.030119363758885</v>
      </c>
      <c r="AQ277" s="14">
        <v>62.030119363758885</v>
      </c>
      <c r="AR277" s="14">
        <v>65.03803933333333</v>
      </c>
      <c r="AS277" s="14">
        <v>77.39207924086277</v>
      </c>
    </row>
    <row r="278" spans="1:45" x14ac:dyDescent="0.35">
      <c r="A278" s="16">
        <v>7877.2115759999997</v>
      </c>
      <c r="B278" s="14">
        <v>4.1208818277777777</v>
      </c>
      <c r="C278" s="14">
        <v>4.0986158277777758</v>
      </c>
      <c r="D278" s="14">
        <v>4.1106268277777778</v>
      </c>
      <c r="E278" s="14">
        <v>4.1344858277777794</v>
      </c>
      <c r="F278" s="14">
        <v>4.1798778277777791</v>
      </c>
      <c r="G278" s="14">
        <v>4.2772318277777783</v>
      </c>
      <c r="H278" s="14">
        <v>4.6053998222222212</v>
      </c>
      <c r="I278" s="14">
        <v>6.2518688111111116</v>
      </c>
      <c r="J278" s="14">
        <v>14.807509738888889</v>
      </c>
      <c r="K278" s="14">
        <v>38.662159555555554</v>
      </c>
      <c r="L278" s="14">
        <v>56.092919388888888</v>
      </c>
      <c r="M278" s="14">
        <v>57.540689388888886</v>
      </c>
      <c r="N278" s="14">
        <v>58.222469388888889</v>
      </c>
      <c r="O278" s="14">
        <v>58.985659388888884</v>
      </c>
      <c r="P278" s="14">
        <v>60.51007938888889</v>
      </c>
      <c r="Q278" s="14">
        <v>64.980569333333335</v>
      </c>
      <c r="R278" s="15">
        <v>77.33078924135333</v>
      </c>
      <c r="S278" s="14">
        <v>50.415369456676665</v>
      </c>
      <c r="T278" s="14">
        <v>50.415369456676665</v>
      </c>
      <c r="U278" s="14">
        <v>50.415369456676665</v>
      </c>
      <c r="V278" s="14">
        <v>50.415369456676665</v>
      </c>
      <c r="W278" s="14">
        <v>50.415369456676665</v>
      </c>
      <c r="X278" s="14">
        <v>50.415369456676665</v>
      </c>
      <c r="Y278" s="14">
        <v>50.415369456676665</v>
      </c>
      <c r="Z278" s="14">
        <v>50.415369456676665</v>
      </c>
      <c r="AA278" s="14">
        <v>50.415369456676665</v>
      </c>
      <c r="AB278" s="14">
        <v>50.415369456676665</v>
      </c>
      <c r="AC278" s="14">
        <v>56.092919388888888</v>
      </c>
      <c r="AD278" s="14">
        <v>57.540689388888886</v>
      </c>
      <c r="AE278" s="14">
        <v>58.222469388888889</v>
      </c>
      <c r="AF278" s="14">
        <v>58.985659388888884</v>
      </c>
      <c r="AG278" s="14">
        <v>60.51007938888889</v>
      </c>
      <c r="AH278" s="14">
        <v>64.980569333333335</v>
      </c>
      <c r="AI278" s="15">
        <v>77.33078924135333</v>
      </c>
      <c r="AJ278" s="14">
        <v>62.001659363986668</v>
      </c>
      <c r="AK278" s="14">
        <v>62.001659363986668</v>
      </c>
      <c r="AL278" s="14">
        <v>62.001659363986668</v>
      </c>
      <c r="AM278" s="14">
        <v>62.001659363986668</v>
      </c>
      <c r="AN278" s="14">
        <v>62.001659363986668</v>
      </c>
      <c r="AO278" s="14">
        <v>62.001659363986668</v>
      </c>
      <c r="AP278" s="14">
        <v>62.001659363986668</v>
      </c>
      <c r="AQ278" s="14">
        <v>62.001659363986668</v>
      </c>
      <c r="AR278" s="14">
        <v>64.980569333333335</v>
      </c>
      <c r="AS278" s="14">
        <v>77.33078924135333</v>
      </c>
    </row>
    <row r="279" spans="1:45" x14ac:dyDescent="0.35">
      <c r="A279" s="16">
        <v>7915.3115760000001</v>
      </c>
      <c r="B279" s="14">
        <v>4.1229238277777789</v>
      </c>
      <c r="C279" s="14">
        <v>4.0987948277777795</v>
      </c>
      <c r="D279" s="14">
        <v>4.1108788277777784</v>
      </c>
      <c r="E279" s="14">
        <v>4.1352668277777758</v>
      </c>
      <c r="F279" s="14">
        <v>4.1811688277777783</v>
      </c>
      <c r="G279" s="14">
        <v>4.2779968277777769</v>
      </c>
      <c r="H279" s="14">
        <v>4.5949938222222206</v>
      </c>
      <c r="I279" s="14">
        <v>6.1690278111111105</v>
      </c>
      <c r="J279" s="14">
        <v>14.464279744444443</v>
      </c>
      <c r="K279" s="14">
        <v>38.075839555555561</v>
      </c>
      <c r="L279" s="14">
        <v>55.893649388888889</v>
      </c>
      <c r="M279" s="14">
        <v>57.470889388888885</v>
      </c>
      <c r="N279" s="14">
        <v>58.149849388888889</v>
      </c>
      <c r="O279" s="14">
        <v>58.914149388888895</v>
      </c>
      <c r="P279" s="14">
        <v>60.442359388888889</v>
      </c>
      <c r="Q279" s="14">
        <v>64.924309333333341</v>
      </c>
      <c r="R279" s="15">
        <v>77.270629241834442</v>
      </c>
      <c r="S279" s="14">
        <v>50.407909456736661</v>
      </c>
      <c r="T279" s="14">
        <v>50.407909456736661</v>
      </c>
      <c r="U279" s="14">
        <v>50.407909456736661</v>
      </c>
      <c r="V279" s="14">
        <v>50.407909456736661</v>
      </c>
      <c r="W279" s="14">
        <v>50.407909456736661</v>
      </c>
      <c r="X279" s="14">
        <v>50.407909456736661</v>
      </c>
      <c r="Y279" s="14">
        <v>50.407909456736661</v>
      </c>
      <c r="Z279" s="14">
        <v>50.407909456736661</v>
      </c>
      <c r="AA279" s="14">
        <v>50.407909456736661</v>
      </c>
      <c r="AB279" s="14">
        <v>50.407909456736661</v>
      </c>
      <c r="AC279" s="14">
        <v>55.893649388888889</v>
      </c>
      <c r="AD279" s="14">
        <v>57.470889388888885</v>
      </c>
      <c r="AE279" s="14">
        <v>58.149849388888889</v>
      </c>
      <c r="AF279" s="14">
        <v>58.914149388888895</v>
      </c>
      <c r="AG279" s="14">
        <v>60.442359388888889</v>
      </c>
      <c r="AH279" s="14">
        <v>64.924309333333341</v>
      </c>
      <c r="AI279" s="15">
        <v>77.270629241834442</v>
      </c>
      <c r="AJ279" s="14">
        <v>61.979469364163897</v>
      </c>
      <c r="AK279" s="14">
        <v>61.979469364163897</v>
      </c>
      <c r="AL279" s="14">
        <v>61.979469364163897</v>
      </c>
      <c r="AM279" s="14">
        <v>61.979469364163897</v>
      </c>
      <c r="AN279" s="14">
        <v>61.979469364163897</v>
      </c>
      <c r="AO279" s="14">
        <v>61.979469364163897</v>
      </c>
      <c r="AP279" s="14">
        <v>61.979469364163897</v>
      </c>
      <c r="AQ279" s="14">
        <v>61.979469364163897</v>
      </c>
      <c r="AR279" s="14">
        <v>64.924309333333341</v>
      </c>
      <c r="AS279" s="14">
        <v>77.270629241834442</v>
      </c>
    </row>
    <row r="280" spans="1:45" x14ac:dyDescent="0.35">
      <c r="A280" s="16">
        <v>7945.7161380000007</v>
      </c>
      <c r="B280" s="14">
        <v>4.1199018277777775</v>
      </c>
      <c r="C280" s="14">
        <v>4.0987408277777764</v>
      </c>
      <c r="D280" s="14">
        <v>4.110921827777779</v>
      </c>
      <c r="E280" s="14">
        <v>4.1358528277777786</v>
      </c>
      <c r="F280" s="14">
        <v>4.1823418277777771</v>
      </c>
      <c r="G280" s="14">
        <v>4.2792198277777791</v>
      </c>
      <c r="H280" s="14">
        <v>4.5902298222222235</v>
      </c>
      <c r="I280" s="14">
        <v>6.1222488111111097</v>
      </c>
      <c r="J280" s="14">
        <v>14.264459744444444</v>
      </c>
      <c r="K280" s="14">
        <v>37.727039555555557</v>
      </c>
      <c r="L280" s="14">
        <v>55.773749388888888</v>
      </c>
      <c r="M280" s="14">
        <v>57.429829388888898</v>
      </c>
      <c r="N280" s="14">
        <v>58.107329388888878</v>
      </c>
      <c r="O280" s="14">
        <v>58.872249388888882</v>
      </c>
      <c r="P280" s="14">
        <v>60.402739388888889</v>
      </c>
      <c r="Q280" s="14">
        <v>64.89148933333334</v>
      </c>
      <c r="R280" s="15">
        <v>77.235389242116668</v>
      </c>
      <c r="S280" s="14">
        <v>50.361629457106666</v>
      </c>
      <c r="T280" s="14">
        <v>50.361629457106666</v>
      </c>
      <c r="U280" s="14">
        <v>50.361629457106666</v>
      </c>
      <c r="V280" s="14">
        <v>50.361629457106666</v>
      </c>
      <c r="W280" s="14">
        <v>50.361629457106666</v>
      </c>
      <c r="X280" s="14">
        <v>50.361629457106666</v>
      </c>
      <c r="Y280" s="14">
        <v>50.361629457106666</v>
      </c>
      <c r="Z280" s="14">
        <v>50.361629457106666</v>
      </c>
      <c r="AA280" s="14">
        <v>50.361629457106666</v>
      </c>
      <c r="AB280" s="14">
        <v>50.361629457106666</v>
      </c>
      <c r="AC280" s="14">
        <v>55.773749388888888</v>
      </c>
      <c r="AD280" s="14">
        <v>57.429829388888898</v>
      </c>
      <c r="AE280" s="14">
        <v>58.107329388888878</v>
      </c>
      <c r="AF280" s="14">
        <v>58.872249388888882</v>
      </c>
      <c r="AG280" s="14">
        <v>60.402739388888889</v>
      </c>
      <c r="AH280" s="14">
        <v>64.89148933333334</v>
      </c>
      <c r="AI280" s="15">
        <v>77.235389242116668</v>
      </c>
      <c r="AJ280" s="14">
        <v>61.93508936451888</v>
      </c>
      <c r="AK280" s="14">
        <v>61.93508936451888</v>
      </c>
      <c r="AL280" s="14">
        <v>61.93508936451888</v>
      </c>
      <c r="AM280" s="14">
        <v>61.93508936451888</v>
      </c>
      <c r="AN280" s="14">
        <v>61.93508936451888</v>
      </c>
      <c r="AO280" s="14">
        <v>61.93508936451888</v>
      </c>
      <c r="AP280" s="14">
        <v>61.93508936451888</v>
      </c>
      <c r="AQ280" s="14">
        <v>61.93508936451888</v>
      </c>
      <c r="AR280" s="14">
        <v>64.89148933333334</v>
      </c>
      <c r="AS280" s="14">
        <v>77.235389242116668</v>
      </c>
    </row>
    <row r="281" spans="1:45" x14ac:dyDescent="0.35">
      <c r="A281" s="16">
        <v>7968.4252619999997</v>
      </c>
      <c r="B281" s="14">
        <v>4.1199418277777786</v>
      </c>
      <c r="C281" s="14">
        <v>4.0983678277777793</v>
      </c>
      <c r="D281" s="14">
        <v>4.1106198277777786</v>
      </c>
      <c r="E281" s="14">
        <v>4.1358888277777774</v>
      </c>
      <c r="F281" s="14">
        <v>4.1827088277777786</v>
      </c>
      <c r="G281" s="14">
        <v>4.2793388277777762</v>
      </c>
      <c r="H281" s="14">
        <v>4.5841168222222235</v>
      </c>
      <c r="I281" s="14">
        <v>6.0752138111111105</v>
      </c>
      <c r="J281" s="14">
        <v>14.066429750000001</v>
      </c>
      <c r="K281" s="14">
        <v>37.377389561111109</v>
      </c>
      <c r="L281" s="14">
        <v>55.650649388888887</v>
      </c>
      <c r="M281" s="14">
        <v>57.387279388888892</v>
      </c>
      <c r="N281" s="14">
        <v>58.063579388888883</v>
      </c>
      <c r="O281" s="14">
        <v>58.829099388888899</v>
      </c>
      <c r="P281" s="14">
        <v>60.361859388888888</v>
      </c>
      <c r="Q281" s="14">
        <v>64.85747933333333</v>
      </c>
      <c r="R281" s="15">
        <v>77.19899924240778</v>
      </c>
      <c r="S281" s="14">
        <v>50.316539457467229</v>
      </c>
      <c r="T281" s="14">
        <v>50.316539457467229</v>
      </c>
      <c r="U281" s="14">
        <v>50.316539457467229</v>
      </c>
      <c r="V281" s="14">
        <v>50.316539457467229</v>
      </c>
      <c r="W281" s="14">
        <v>50.316539457467229</v>
      </c>
      <c r="X281" s="14">
        <v>50.316539457467229</v>
      </c>
      <c r="Y281" s="14">
        <v>50.316539457467229</v>
      </c>
      <c r="Z281" s="14">
        <v>50.316539457467229</v>
      </c>
      <c r="AA281" s="14">
        <v>50.316539457467229</v>
      </c>
      <c r="AB281" s="14">
        <v>50.316539457467229</v>
      </c>
      <c r="AC281" s="14">
        <v>55.650649388888887</v>
      </c>
      <c r="AD281" s="14">
        <v>57.387279388888892</v>
      </c>
      <c r="AE281" s="14">
        <v>58.063579388888883</v>
      </c>
      <c r="AF281" s="14">
        <v>58.829099388888899</v>
      </c>
      <c r="AG281" s="14">
        <v>60.361859388888888</v>
      </c>
      <c r="AH281" s="14">
        <v>64.85747933333333</v>
      </c>
      <c r="AI281" s="15">
        <v>77.19899924240778</v>
      </c>
      <c r="AJ281" s="14">
        <v>61.890859364872767</v>
      </c>
      <c r="AK281" s="14">
        <v>61.890859364872767</v>
      </c>
      <c r="AL281" s="14">
        <v>61.890859364872767</v>
      </c>
      <c r="AM281" s="14">
        <v>61.890859364872767</v>
      </c>
      <c r="AN281" s="14">
        <v>61.890859364872767</v>
      </c>
      <c r="AO281" s="14">
        <v>61.890859364872767</v>
      </c>
      <c r="AP281" s="14">
        <v>61.890859364872767</v>
      </c>
      <c r="AQ281" s="14">
        <v>61.890859364872767</v>
      </c>
      <c r="AR281" s="14">
        <v>64.85747933333333</v>
      </c>
      <c r="AS281" s="14">
        <v>77.19899924240778</v>
      </c>
    </row>
    <row r="282" spans="1:45" x14ac:dyDescent="0.35">
      <c r="A282" s="16">
        <v>7991.133624000001</v>
      </c>
      <c r="B282" s="14">
        <v>4.1200608277777757</v>
      </c>
      <c r="C282" s="14">
        <v>4.0980428277777783</v>
      </c>
      <c r="D282" s="14">
        <v>4.1103418277777788</v>
      </c>
      <c r="E282" s="14">
        <v>4.1359278277777793</v>
      </c>
      <c r="F282" s="14">
        <v>4.1830848277777797</v>
      </c>
      <c r="G282" s="14">
        <v>4.2794908277777761</v>
      </c>
      <c r="H282" s="14">
        <v>4.5782448222222207</v>
      </c>
      <c r="I282" s="14">
        <v>6.0295148111111114</v>
      </c>
      <c r="J282" s="14">
        <v>13.871829750000002</v>
      </c>
      <c r="K282" s="14">
        <v>37.028399561111115</v>
      </c>
      <c r="L282" s="14">
        <v>55.525629388888895</v>
      </c>
      <c r="M282" s="14">
        <v>57.344519388888884</v>
      </c>
      <c r="N282" s="14">
        <v>58.019849388888879</v>
      </c>
      <c r="O282" s="14">
        <v>58.785959388888891</v>
      </c>
      <c r="P282" s="14">
        <v>60.321019388888885</v>
      </c>
      <c r="Q282" s="14">
        <v>64.823519333333337</v>
      </c>
      <c r="R282" s="15">
        <v>77.162649242698336</v>
      </c>
      <c r="S282" s="14">
        <v>50.294569457643341</v>
      </c>
      <c r="T282" s="14">
        <v>50.294569457643341</v>
      </c>
      <c r="U282" s="14">
        <v>50.294569457643341</v>
      </c>
      <c r="V282" s="14">
        <v>50.294569457643341</v>
      </c>
      <c r="W282" s="14">
        <v>50.294569457643341</v>
      </c>
      <c r="X282" s="14">
        <v>50.294569457643341</v>
      </c>
      <c r="Y282" s="14">
        <v>50.294569457643341</v>
      </c>
      <c r="Z282" s="14">
        <v>50.294569457643341</v>
      </c>
      <c r="AA282" s="14">
        <v>50.294569457643341</v>
      </c>
      <c r="AB282" s="14">
        <v>50.294569457643341</v>
      </c>
      <c r="AC282" s="14">
        <v>55.525629388888895</v>
      </c>
      <c r="AD282" s="14">
        <v>57.344519388888884</v>
      </c>
      <c r="AE282" s="14">
        <v>58.019849388888879</v>
      </c>
      <c r="AF282" s="14">
        <v>58.785959388888891</v>
      </c>
      <c r="AG282" s="14">
        <v>60.321019388888885</v>
      </c>
      <c r="AH282" s="14">
        <v>64.823519333333337</v>
      </c>
      <c r="AI282" s="15">
        <v>77.162649242698336</v>
      </c>
      <c r="AJ282" s="14">
        <v>61.864029365087227</v>
      </c>
      <c r="AK282" s="14">
        <v>61.864029365087227</v>
      </c>
      <c r="AL282" s="14">
        <v>61.864029365087227</v>
      </c>
      <c r="AM282" s="14">
        <v>61.864029365087227</v>
      </c>
      <c r="AN282" s="14">
        <v>61.864029365087227</v>
      </c>
      <c r="AO282" s="14">
        <v>61.864029365087227</v>
      </c>
      <c r="AP282" s="14">
        <v>61.864029365087227</v>
      </c>
      <c r="AQ282" s="14">
        <v>61.864029365087227</v>
      </c>
      <c r="AR282" s="14">
        <v>64.823519333333337</v>
      </c>
      <c r="AS282" s="14">
        <v>77.162649242698336</v>
      </c>
    </row>
    <row r="283" spans="1:45" x14ac:dyDescent="0.35">
      <c r="A283" s="16">
        <v>8013.8412240000007</v>
      </c>
      <c r="B283" s="14">
        <v>4.1201498277777775</v>
      </c>
      <c r="C283" s="14">
        <v>4.0977638277777793</v>
      </c>
      <c r="D283" s="14">
        <v>4.1100868277777796</v>
      </c>
      <c r="E283" s="14">
        <v>4.1359698277777763</v>
      </c>
      <c r="F283" s="14">
        <v>4.1834698277777784</v>
      </c>
      <c r="G283" s="14">
        <v>4.2796758277777789</v>
      </c>
      <c r="H283" s="14">
        <v>4.5726018222222224</v>
      </c>
      <c r="I283" s="14">
        <v>5.9851118111111115</v>
      </c>
      <c r="J283" s="14">
        <v>13.68057975</v>
      </c>
      <c r="K283" s="14">
        <v>36.680089566666666</v>
      </c>
      <c r="L283" s="14">
        <v>55.398659444444448</v>
      </c>
      <c r="M283" s="14">
        <v>57.301519388888892</v>
      </c>
      <c r="N283" s="14">
        <v>57.976169388888884</v>
      </c>
      <c r="O283" s="14">
        <v>58.742769388888895</v>
      </c>
      <c r="P283" s="14">
        <v>60.280189388888886</v>
      </c>
      <c r="Q283" s="14">
        <v>64.789599333333342</v>
      </c>
      <c r="R283" s="15">
        <v>77.12634924298888</v>
      </c>
      <c r="S283" s="14">
        <v>50.269709457842218</v>
      </c>
      <c r="T283" s="14">
        <v>50.269709457842218</v>
      </c>
      <c r="U283" s="14">
        <v>50.269709457842218</v>
      </c>
      <c r="V283" s="14">
        <v>50.269709457842218</v>
      </c>
      <c r="W283" s="14">
        <v>50.269709457842218</v>
      </c>
      <c r="X283" s="14">
        <v>50.269709457842218</v>
      </c>
      <c r="Y283" s="14">
        <v>50.269709457842218</v>
      </c>
      <c r="Z283" s="14">
        <v>50.269709457842218</v>
      </c>
      <c r="AA283" s="14">
        <v>50.269709457842218</v>
      </c>
      <c r="AB283" s="14">
        <v>50.269709457842218</v>
      </c>
      <c r="AC283" s="14">
        <v>55.398659444444448</v>
      </c>
      <c r="AD283" s="14">
        <v>57.301519388888892</v>
      </c>
      <c r="AE283" s="14">
        <v>57.976169388888884</v>
      </c>
      <c r="AF283" s="14">
        <v>58.742769388888895</v>
      </c>
      <c r="AG283" s="14">
        <v>60.280189388888886</v>
      </c>
      <c r="AH283" s="14">
        <v>64.789599333333342</v>
      </c>
      <c r="AI283" s="15">
        <v>77.12634924298888</v>
      </c>
      <c r="AJ283" s="14">
        <v>61.833769365329445</v>
      </c>
      <c r="AK283" s="14">
        <v>61.833769365329445</v>
      </c>
      <c r="AL283" s="14">
        <v>61.833769365329445</v>
      </c>
      <c r="AM283" s="14">
        <v>61.833769365329445</v>
      </c>
      <c r="AN283" s="14">
        <v>61.833769365329445</v>
      </c>
      <c r="AO283" s="14">
        <v>61.833769365329445</v>
      </c>
      <c r="AP283" s="14">
        <v>61.833769365329445</v>
      </c>
      <c r="AQ283" s="14">
        <v>61.833769365329445</v>
      </c>
      <c r="AR283" s="14">
        <v>64.789599333333342</v>
      </c>
      <c r="AS283" s="14">
        <v>77.12634924298888</v>
      </c>
    </row>
    <row r="284" spans="1:45" x14ac:dyDescent="0.35">
      <c r="A284" s="16">
        <v>8036.5488240000004</v>
      </c>
      <c r="B284" s="14">
        <v>4.1202628277777755</v>
      </c>
      <c r="C284" s="14">
        <v>4.0974978277777767</v>
      </c>
      <c r="D284" s="14">
        <v>4.1098248277777767</v>
      </c>
      <c r="E284" s="14">
        <v>4.1359848277777784</v>
      </c>
      <c r="F284" s="14">
        <v>4.1838328277777768</v>
      </c>
      <c r="G284" s="14">
        <v>4.2798618277777773</v>
      </c>
      <c r="H284" s="14">
        <v>4.5671518222222218</v>
      </c>
      <c r="I284" s="14">
        <v>5.9419448111111111</v>
      </c>
      <c r="J284" s="14">
        <v>13.492579750000001</v>
      </c>
      <c r="K284" s="14">
        <v>36.332429566666661</v>
      </c>
      <c r="L284" s="14">
        <v>55.269679444444442</v>
      </c>
      <c r="M284" s="14">
        <v>57.258239388888896</v>
      </c>
      <c r="N284" s="14">
        <v>57.932469388888904</v>
      </c>
      <c r="O284" s="14">
        <v>58.699409388888881</v>
      </c>
      <c r="P284" s="14">
        <v>60.23934938888889</v>
      </c>
      <c r="Q284" s="14">
        <v>64.755679333333333</v>
      </c>
      <c r="R284" s="15">
        <v>77.090039243279449</v>
      </c>
      <c r="S284" s="14">
        <v>50.245389458036669</v>
      </c>
      <c r="T284" s="14">
        <v>50.245389458036669</v>
      </c>
      <c r="U284" s="14">
        <v>50.245389458036669</v>
      </c>
      <c r="V284" s="14">
        <v>50.245389458036669</v>
      </c>
      <c r="W284" s="14">
        <v>50.245389458036669</v>
      </c>
      <c r="X284" s="14">
        <v>50.245389458036669</v>
      </c>
      <c r="Y284" s="14">
        <v>50.245389458036669</v>
      </c>
      <c r="Z284" s="14">
        <v>50.245389458036669</v>
      </c>
      <c r="AA284" s="14">
        <v>50.245389458036669</v>
      </c>
      <c r="AB284" s="14">
        <v>50.245389458036669</v>
      </c>
      <c r="AC284" s="14">
        <v>55.269679444444442</v>
      </c>
      <c r="AD284" s="14">
        <v>57.258239388888896</v>
      </c>
      <c r="AE284" s="14">
        <v>57.932469388888904</v>
      </c>
      <c r="AF284" s="14">
        <v>58.699409388888881</v>
      </c>
      <c r="AG284" s="14">
        <v>60.23934938888889</v>
      </c>
      <c r="AH284" s="14">
        <v>64.755679333333333</v>
      </c>
      <c r="AI284" s="15">
        <v>77.090039243279449</v>
      </c>
      <c r="AJ284" s="14">
        <v>61.804119365566663</v>
      </c>
      <c r="AK284" s="14">
        <v>61.804119365566663</v>
      </c>
      <c r="AL284" s="14">
        <v>61.804119365566663</v>
      </c>
      <c r="AM284" s="14">
        <v>61.804119365566663</v>
      </c>
      <c r="AN284" s="14">
        <v>61.804119365566663</v>
      </c>
      <c r="AO284" s="14">
        <v>61.804119365566663</v>
      </c>
      <c r="AP284" s="14">
        <v>61.804119365566663</v>
      </c>
      <c r="AQ284" s="14">
        <v>61.804119365566663</v>
      </c>
      <c r="AR284" s="14">
        <v>64.755679333333333</v>
      </c>
      <c r="AS284" s="14">
        <v>77.090039243279449</v>
      </c>
    </row>
    <row r="285" spans="1:45" x14ac:dyDescent="0.35">
      <c r="A285" s="16">
        <v>8059.2564240000011</v>
      </c>
      <c r="B285" s="14">
        <v>4.1204038277777775</v>
      </c>
      <c r="C285" s="14">
        <v>4.097245827777777</v>
      </c>
      <c r="D285" s="14">
        <v>4.1095548277777798</v>
      </c>
      <c r="E285" s="14">
        <v>4.1359718277777766</v>
      </c>
      <c r="F285" s="14">
        <v>4.1841718277777789</v>
      </c>
      <c r="G285" s="14">
        <v>4.2800478277777758</v>
      </c>
      <c r="H285" s="14">
        <v>4.5618918222222229</v>
      </c>
      <c r="I285" s="14">
        <v>5.8999798111111126</v>
      </c>
      <c r="J285" s="14">
        <v>13.307189755555555</v>
      </c>
      <c r="K285" s="14">
        <v>35.984789572222226</v>
      </c>
      <c r="L285" s="14">
        <v>55.138669444444446</v>
      </c>
      <c r="M285" s="14">
        <v>57.214679388888889</v>
      </c>
      <c r="N285" s="14">
        <v>57.888759388888879</v>
      </c>
      <c r="O285" s="14">
        <v>58.656029388888882</v>
      </c>
      <c r="P285" s="14">
        <v>60.198479388888892</v>
      </c>
      <c r="Q285" s="14">
        <v>64.721759333333338</v>
      </c>
      <c r="R285" s="15">
        <v>77.05372924356999</v>
      </c>
      <c r="S285" s="14">
        <v>50.220449458236118</v>
      </c>
      <c r="T285" s="14">
        <v>50.220449458236118</v>
      </c>
      <c r="U285" s="14">
        <v>50.220449458236118</v>
      </c>
      <c r="V285" s="14">
        <v>50.220449458236118</v>
      </c>
      <c r="W285" s="14">
        <v>50.220449458236118</v>
      </c>
      <c r="X285" s="14">
        <v>50.220449458236118</v>
      </c>
      <c r="Y285" s="14">
        <v>50.220449458236118</v>
      </c>
      <c r="Z285" s="14">
        <v>50.220449458236118</v>
      </c>
      <c r="AA285" s="14">
        <v>50.220449458236118</v>
      </c>
      <c r="AB285" s="14">
        <v>50.220449458236118</v>
      </c>
      <c r="AC285" s="14">
        <v>55.138669444444446</v>
      </c>
      <c r="AD285" s="14">
        <v>57.214679388888889</v>
      </c>
      <c r="AE285" s="14">
        <v>57.888759388888879</v>
      </c>
      <c r="AF285" s="14">
        <v>58.656029388888882</v>
      </c>
      <c r="AG285" s="14">
        <v>60.198479388888892</v>
      </c>
      <c r="AH285" s="14">
        <v>64.721759333333338</v>
      </c>
      <c r="AI285" s="15">
        <v>77.05372924356999</v>
      </c>
      <c r="AJ285" s="14">
        <v>61.773239365813893</v>
      </c>
      <c r="AK285" s="14">
        <v>61.773239365813893</v>
      </c>
      <c r="AL285" s="14">
        <v>61.773239365813893</v>
      </c>
      <c r="AM285" s="14">
        <v>61.773239365813893</v>
      </c>
      <c r="AN285" s="14">
        <v>61.773239365813893</v>
      </c>
      <c r="AO285" s="14">
        <v>61.773239365813893</v>
      </c>
      <c r="AP285" s="14">
        <v>61.773239365813893</v>
      </c>
      <c r="AQ285" s="14">
        <v>61.773239365813893</v>
      </c>
      <c r="AR285" s="14">
        <v>64.721759333333338</v>
      </c>
      <c r="AS285" s="14">
        <v>77.05372924356999</v>
      </c>
    </row>
    <row r="286" spans="1:45" x14ac:dyDescent="0.35">
      <c r="A286" s="16">
        <v>8081.9647860000005</v>
      </c>
      <c r="B286" s="14">
        <v>4.1206028277777778</v>
      </c>
      <c r="C286" s="14">
        <v>4.096991827777777</v>
      </c>
      <c r="D286" s="14">
        <v>4.1092618277777779</v>
      </c>
      <c r="E286" s="14">
        <v>4.1359148277777775</v>
      </c>
      <c r="F286" s="14">
        <v>4.1844698277777761</v>
      </c>
      <c r="G286" s="14">
        <v>4.2802158277777771</v>
      </c>
      <c r="H286" s="14">
        <v>4.5567928222222225</v>
      </c>
      <c r="I286" s="14">
        <v>5.859168811111112</v>
      </c>
      <c r="J286" s="14">
        <v>13.124729755555554</v>
      </c>
      <c r="K286" s="14">
        <v>35.636999572222223</v>
      </c>
      <c r="L286" s="14">
        <v>55.005569444444454</v>
      </c>
      <c r="M286" s="14">
        <v>57.170789388888892</v>
      </c>
      <c r="N286" s="14">
        <v>57.8450193888889</v>
      </c>
      <c r="O286" s="14">
        <v>58.612599388888889</v>
      </c>
      <c r="P286" s="14">
        <v>60.157569388888888</v>
      </c>
      <c r="Q286" s="14">
        <v>64.687819333333337</v>
      </c>
      <c r="R286" s="15">
        <v>77.017389243860563</v>
      </c>
      <c r="S286" s="14">
        <v>50.195869458432782</v>
      </c>
      <c r="T286" s="14">
        <v>50.195869458432782</v>
      </c>
      <c r="U286" s="14">
        <v>50.195869458432782</v>
      </c>
      <c r="V286" s="14">
        <v>50.195869458432782</v>
      </c>
      <c r="W286" s="14">
        <v>50.195869458432782</v>
      </c>
      <c r="X286" s="14">
        <v>50.195869458432782</v>
      </c>
      <c r="Y286" s="14">
        <v>50.195869458432782</v>
      </c>
      <c r="Z286" s="14">
        <v>50.195869458432782</v>
      </c>
      <c r="AA286" s="14">
        <v>50.195869458432782</v>
      </c>
      <c r="AB286" s="14">
        <v>50.195869458432782</v>
      </c>
      <c r="AC286" s="14">
        <v>55.005569444444454</v>
      </c>
      <c r="AD286" s="14">
        <v>57.170789388888892</v>
      </c>
      <c r="AE286" s="14">
        <v>57.8450193888889</v>
      </c>
      <c r="AF286" s="14">
        <v>58.612599388888889</v>
      </c>
      <c r="AG286" s="14">
        <v>60.157569388888888</v>
      </c>
      <c r="AH286" s="14">
        <v>64.687819333333337</v>
      </c>
      <c r="AI286" s="15">
        <v>77.017389243860563</v>
      </c>
      <c r="AJ286" s="14">
        <v>61.741149366070559</v>
      </c>
      <c r="AK286" s="14">
        <v>61.741149366070559</v>
      </c>
      <c r="AL286" s="14">
        <v>61.741149366070559</v>
      </c>
      <c r="AM286" s="14">
        <v>61.741149366070559</v>
      </c>
      <c r="AN286" s="14">
        <v>61.741149366070559</v>
      </c>
      <c r="AO286" s="14">
        <v>61.741149366070559</v>
      </c>
      <c r="AP286" s="14">
        <v>61.741149366070559</v>
      </c>
      <c r="AQ286" s="14">
        <v>61.741149366070559</v>
      </c>
      <c r="AR286" s="14">
        <v>64.687819333333337</v>
      </c>
      <c r="AS286" s="14">
        <v>77.017389243860563</v>
      </c>
    </row>
    <row r="287" spans="1:45" x14ac:dyDescent="0.35">
      <c r="A287" s="16">
        <v>8104.6739100000004</v>
      </c>
      <c r="B287" s="14">
        <v>4.1208758277777786</v>
      </c>
      <c r="C287" s="14">
        <v>4.0967368277777778</v>
      </c>
      <c r="D287" s="14">
        <v>4.1089488277777795</v>
      </c>
      <c r="E287" s="14">
        <v>4.1358148277777769</v>
      </c>
      <c r="F287" s="14">
        <v>4.1847278277777793</v>
      </c>
      <c r="G287" s="14">
        <v>4.2803668277777778</v>
      </c>
      <c r="H287" s="14">
        <v>4.5518548222222206</v>
      </c>
      <c r="I287" s="14">
        <v>5.8194828111111123</v>
      </c>
      <c r="J287" s="14">
        <v>12.945549755555557</v>
      </c>
      <c r="K287" s="14">
        <v>35.290229577777779</v>
      </c>
      <c r="L287" s="14">
        <v>54.870369444444435</v>
      </c>
      <c r="M287" s="14">
        <v>57.126569388888889</v>
      </c>
      <c r="N287" s="14">
        <v>57.801249388888891</v>
      </c>
      <c r="O287" s="14">
        <v>58.569129388888896</v>
      </c>
      <c r="P287" s="14">
        <v>60.116619388888893</v>
      </c>
      <c r="Q287" s="14">
        <v>64.653859333333344</v>
      </c>
      <c r="R287" s="15">
        <v>76.981039244151106</v>
      </c>
      <c r="S287" s="14">
        <v>50.173759458609446</v>
      </c>
      <c r="T287" s="14">
        <v>50.173759458609446</v>
      </c>
      <c r="U287" s="14">
        <v>50.173759458609446</v>
      </c>
      <c r="V287" s="14">
        <v>50.173759458609446</v>
      </c>
      <c r="W287" s="14">
        <v>50.173759458609446</v>
      </c>
      <c r="X287" s="14">
        <v>50.173759458609446</v>
      </c>
      <c r="Y287" s="14">
        <v>50.173759458609446</v>
      </c>
      <c r="Z287" s="14">
        <v>50.173759458609446</v>
      </c>
      <c r="AA287" s="14">
        <v>50.173759458609446</v>
      </c>
      <c r="AB287" s="14">
        <v>50.173759458609446</v>
      </c>
      <c r="AC287" s="14">
        <v>54.870369444444435</v>
      </c>
      <c r="AD287" s="14">
        <v>57.126569388888889</v>
      </c>
      <c r="AE287" s="14">
        <v>57.801249388888891</v>
      </c>
      <c r="AF287" s="14">
        <v>58.569129388888896</v>
      </c>
      <c r="AG287" s="14">
        <v>60.116619388888893</v>
      </c>
      <c r="AH287" s="14">
        <v>64.653859333333344</v>
      </c>
      <c r="AI287" s="15">
        <v>76.981039244151106</v>
      </c>
      <c r="AJ287" s="14">
        <v>61.708969366327793</v>
      </c>
      <c r="AK287" s="14">
        <v>61.708969366327793</v>
      </c>
      <c r="AL287" s="14">
        <v>61.708969366327793</v>
      </c>
      <c r="AM287" s="14">
        <v>61.708969366327793</v>
      </c>
      <c r="AN287" s="14">
        <v>61.708969366327793</v>
      </c>
      <c r="AO287" s="14">
        <v>61.708969366327793</v>
      </c>
      <c r="AP287" s="14">
        <v>61.708969366327793</v>
      </c>
      <c r="AQ287" s="14">
        <v>61.708969366327793</v>
      </c>
      <c r="AR287" s="14">
        <v>64.653859333333344</v>
      </c>
      <c r="AS287" s="14">
        <v>76.981039244151106</v>
      </c>
    </row>
    <row r="288" spans="1:45" x14ac:dyDescent="0.35">
      <c r="A288" s="16">
        <v>8135.0784720000001</v>
      </c>
      <c r="B288" s="14">
        <v>4.1211348277777775</v>
      </c>
      <c r="C288" s="14">
        <v>4.096565827777777</v>
      </c>
      <c r="D288" s="14">
        <v>4.1086578277777779</v>
      </c>
      <c r="E288" s="14">
        <v>4.1356458277777755</v>
      </c>
      <c r="F288" s="14">
        <v>4.1848878277777777</v>
      </c>
      <c r="G288" s="14">
        <v>4.2800588277777782</v>
      </c>
      <c r="H288" s="14">
        <v>4.5430568222222218</v>
      </c>
      <c r="I288" s="14">
        <v>5.7549718166666644</v>
      </c>
      <c r="J288" s="14">
        <v>12.652889761111112</v>
      </c>
      <c r="K288" s="14">
        <v>34.710759583333328</v>
      </c>
      <c r="L288" s="14">
        <v>54.637069444444442</v>
      </c>
      <c r="M288" s="14">
        <v>57.050959388888892</v>
      </c>
      <c r="N288" s="14">
        <v>57.727299388888888</v>
      </c>
      <c r="O288" s="14">
        <v>58.495659388888875</v>
      </c>
      <c r="P288" s="14">
        <v>60.047389388888888</v>
      </c>
      <c r="Q288" s="14">
        <v>64.596469333333346</v>
      </c>
      <c r="R288" s="15">
        <v>76.919759244641654</v>
      </c>
      <c r="S288" s="14">
        <v>50.157599458738886</v>
      </c>
      <c r="T288" s="14">
        <v>50.157599458738886</v>
      </c>
      <c r="U288" s="14">
        <v>50.157599458738886</v>
      </c>
      <c r="V288" s="14">
        <v>50.157599458738886</v>
      </c>
      <c r="W288" s="14">
        <v>50.157599458738886</v>
      </c>
      <c r="X288" s="14">
        <v>50.157599458738886</v>
      </c>
      <c r="Y288" s="14">
        <v>50.157599458738886</v>
      </c>
      <c r="Z288" s="14">
        <v>50.157599458738886</v>
      </c>
      <c r="AA288" s="14">
        <v>50.157599458738886</v>
      </c>
      <c r="AB288" s="14">
        <v>50.157599458738886</v>
      </c>
      <c r="AC288" s="14">
        <v>54.637069444444442</v>
      </c>
      <c r="AD288" s="14">
        <v>57.050959388888892</v>
      </c>
      <c r="AE288" s="14">
        <v>57.727299388888888</v>
      </c>
      <c r="AF288" s="14">
        <v>58.495659388888875</v>
      </c>
      <c r="AG288" s="14">
        <v>60.047389388888888</v>
      </c>
      <c r="AH288" s="14">
        <v>64.596469333333346</v>
      </c>
      <c r="AI288" s="15">
        <v>76.919759244641654</v>
      </c>
      <c r="AJ288" s="14">
        <v>61.681179366550005</v>
      </c>
      <c r="AK288" s="14">
        <v>61.681179366550005</v>
      </c>
      <c r="AL288" s="14">
        <v>61.681179366550005</v>
      </c>
      <c r="AM288" s="14">
        <v>61.681179366550005</v>
      </c>
      <c r="AN288" s="14">
        <v>61.681179366550005</v>
      </c>
      <c r="AO288" s="14">
        <v>61.681179366550005</v>
      </c>
      <c r="AP288" s="14">
        <v>61.681179366550005</v>
      </c>
      <c r="AQ288" s="14">
        <v>61.681179366550005</v>
      </c>
      <c r="AR288" s="14">
        <v>64.596469333333346</v>
      </c>
      <c r="AS288" s="14">
        <v>76.919759244641654</v>
      </c>
    </row>
    <row r="289" spans="1:45" x14ac:dyDescent="0.35">
      <c r="A289" s="16">
        <v>8173.1784720000005</v>
      </c>
      <c r="B289" s="14">
        <v>4.1233708277777801</v>
      </c>
      <c r="C289" s="14">
        <v>4.0967668277777767</v>
      </c>
      <c r="D289" s="14">
        <v>4.1086678277777757</v>
      </c>
      <c r="E289" s="14">
        <v>4.1358758277777792</v>
      </c>
      <c r="F289" s="14">
        <v>4.1857098277777798</v>
      </c>
      <c r="G289" s="14">
        <v>4.280788827777779</v>
      </c>
      <c r="H289" s="14">
        <v>4.5361658222222205</v>
      </c>
      <c r="I289" s="14">
        <v>5.6949308166666652</v>
      </c>
      <c r="J289" s="14">
        <v>12.370629761111111</v>
      </c>
      <c r="K289" s="14">
        <v>34.135859588888884</v>
      </c>
      <c r="L289" s="14">
        <v>54.398849444444437</v>
      </c>
      <c r="M289" s="14">
        <v>56.975549388888879</v>
      </c>
      <c r="N289" s="14">
        <v>57.654479388888895</v>
      </c>
      <c r="O289" s="14">
        <v>58.423269388888883</v>
      </c>
      <c r="P289" s="14">
        <v>59.979259388888877</v>
      </c>
      <c r="Q289" s="14">
        <v>64.540179333333327</v>
      </c>
      <c r="R289" s="15">
        <v>76.859419245124442</v>
      </c>
      <c r="S289" s="14">
        <v>50.14630945882945</v>
      </c>
      <c r="T289" s="14">
        <v>50.14630945882945</v>
      </c>
      <c r="U289" s="14">
        <v>50.14630945882945</v>
      </c>
      <c r="V289" s="14">
        <v>50.14630945882945</v>
      </c>
      <c r="W289" s="14">
        <v>50.14630945882945</v>
      </c>
      <c r="X289" s="14">
        <v>50.14630945882945</v>
      </c>
      <c r="Y289" s="14">
        <v>50.14630945882945</v>
      </c>
      <c r="Z289" s="14">
        <v>50.14630945882945</v>
      </c>
      <c r="AA289" s="14">
        <v>50.14630945882945</v>
      </c>
      <c r="AB289" s="14">
        <v>50.14630945882945</v>
      </c>
      <c r="AC289" s="14">
        <v>54.398849444444437</v>
      </c>
      <c r="AD289" s="14">
        <v>56.975549388888879</v>
      </c>
      <c r="AE289" s="14">
        <v>57.654479388888895</v>
      </c>
      <c r="AF289" s="14">
        <v>58.423269388888883</v>
      </c>
      <c r="AG289" s="14">
        <v>59.979259388888877</v>
      </c>
      <c r="AH289" s="14">
        <v>64.540179333333327</v>
      </c>
      <c r="AI289" s="15">
        <v>76.859419245124442</v>
      </c>
      <c r="AJ289" s="14">
        <v>61.655369366756659</v>
      </c>
      <c r="AK289" s="14">
        <v>61.655369366756659</v>
      </c>
      <c r="AL289" s="14">
        <v>61.655369366756659</v>
      </c>
      <c r="AM289" s="14">
        <v>61.655369366756659</v>
      </c>
      <c r="AN289" s="14">
        <v>61.655369366756659</v>
      </c>
      <c r="AO289" s="14">
        <v>61.655369366756659</v>
      </c>
      <c r="AP289" s="14">
        <v>61.655369366756659</v>
      </c>
      <c r="AQ289" s="14">
        <v>61.655369366756659</v>
      </c>
      <c r="AR289" s="14">
        <v>64.540179333333327</v>
      </c>
      <c r="AS289" s="14">
        <v>76.859419245124442</v>
      </c>
    </row>
    <row r="290" spans="1:45" x14ac:dyDescent="0.35">
      <c r="A290" s="16">
        <v>8203.5830340000011</v>
      </c>
      <c r="B290" s="14">
        <v>4.1206348277777769</v>
      </c>
      <c r="C290" s="14">
        <v>4.0967498277777796</v>
      </c>
      <c r="D290" s="14">
        <v>4.1085978277777793</v>
      </c>
      <c r="E290" s="14">
        <v>4.1361588277777788</v>
      </c>
      <c r="F290" s="14">
        <v>4.1866278277777784</v>
      </c>
      <c r="G290" s="14">
        <v>4.282018827777776</v>
      </c>
      <c r="H290" s="14">
        <v>4.5334168222222244</v>
      </c>
      <c r="I290" s="14">
        <v>5.661419816666668</v>
      </c>
      <c r="J290" s="14">
        <v>12.206789761111112</v>
      </c>
      <c r="K290" s="14">
        <v>33.795069588888886</v>
      </c>
      <c r="L290" s="14">
        <v>54.255509444444449</v>
      </c>
      <c r="M290" s="14">
        <v>56.931059388888897</v>
      </c>
      <c r="N290" s="14">
        <v>57.611869388888891</v>
      </c>
      <c r="O290" s="14">
        <v>58.380889388888896</v>
      </c>
      <c r="P290" s="14">
        <v>59.939419388888886</v>
      </c>
      <c r="Q290" s="14">
        <v>64.50736933333333</v>
      </c>
      <c r="R290" s="15">
        <v>76.824059245407227</v>
      </c>
      <c r="S290" s="14">
        <v>50.092299459261113</v>
      </c>
      <c r="T290" s="14">
        <v>50.092299459261113</v>
      </c>
      <c r="U290" s="14">
        <v>50.092299459261113</v>
      </c>
      <c r="V290" s="14">
        <v>50.092299459261113</v>
      </c>
      <c r="W290" s="14">
        <v>50.092299459261113</v>
      </c>
      <c r="X290" s="14">
        <v>50.092299459261113</v>
      </c>
      <c r="Y290" s="14">
        <v>50.092299459261113</v>
      </c>
      <c r="Z290" s="14">
        <v>50.092299459261113</v>
      </c>
      <c r="AA290" s="14">
        <v>50.092299459261113</v>
      </c>
      <c r="AB290" s="14">
        <v>50.092299459261113</v>
      </c>
      <c r="AC290" s="14">
        <v>54.255509444444449</v>
      </c>
      <c r="AD290" s="14">
        <v>56.931059388888897</v>
      </c>
      <c r="AE290" s="14">
        <v>57.611869388888891</v>
      </c>
      <c r="AF290" s="14">
        <v>58.380889388888896</v>
      </c>
      <c r="AG290" s="14">
        <v>59.939419388888886</v>
      </c>
      <c r="AH290" s="14">
        <v>64.50736933333333</v>
      </c>
      <c r="AI290" s="15">
        <v>76.824059245407227</v>
      </c>
      <c r="AJ290" s="14">
        <v>61.605939367152217</v>
      </c>
      <c r="AK290" s="14">
        <v>61.605939367152217</v>
      </c>
      <c r="AL290" s="14">
        <v>61.605939367152217</v>
      </c>
      <c r="AM290" s="14">
        <v>61.605939367152217</v>
      </c>
      <c r="AN290" s="14">
        <v>61.605939367152217</v>
      </c>
      <c r="AO290" s="14">
        <v>61.605939367152217</v>
      </c>
      <c r="AP290" s="14">
        <v>61.605939367152217</v>
      </c>
      <c r="AQ290" s="14">
        <v>61.605939367152217</v>
      </c>
      <c r="AR290" s="14">
        <v>64.50736933333333</v>
      </c>
      <c r="AS290" s="14">
        <v>76.824059245407227</v>
      </c>
    </row>
    <row r="291" spans="1:45" x14ac:dyDescent="0.35">
      <c r="A291" s="16">
        <v>8226.2921580000002</v>
      </c>
      <c r="B291" s="14">
        <v>4.1207468277777792</v>
      </c>
      <c r="C291" s="14">
        <v>4.0965418277777763</v>
      </c>
      <c r="D291" s="14">
        <v>4.1083248277777784</v>
      </c>
      <c r="E291" s="14">
        <v>4.1360378277777778</v>
      </c>
      <c r="F291" s="14">
        <v>4.1868658277777762</v>
      </c>
      <c r="G291" s="14">
        <v>4.282255827777778</v>
      </c>
      <c r="H291" s="14">
        <v>4.5294048222222232</v>
      </c>
      <c r="I291" s="14">
        <v>5.6274488166666679</v>
      </c>
      <c r="J291" s="14">
        <v>12.04445976111111</v>
      </c>
      <c r="K291" s="14">
        <v>33.453019594444442</v>
      </c>
      <c r="L291" s="14">
        <v>54.108369444444435</v>
      </c>
      <c r="M291" s="14">
        <v>56.885139388888888</v>
      </c>
      <c r="N291" s="14">
        <v>57.568199388888893</v>
      </c>
      <c r="O291" s="14">
        <v>58.3374293888889</v>
      </c>
      <c r="P291" s="14">
        <v>59.898509388888897</v>
      </c>
      <c r="Q291" s="14">
        <v>64.473549333333324</v>
      </c>
      <c r="R291" s="15">
        <v>76.787769245697774</v>
      </c>
      <c r="S291" s="14">
        <v>50.055599459554998</v>
      </c>
      <c r="T291" s="14">
        <v>50.055599459554998</v>
      </c>
      <c r="U291" s="14">
        <v>50.055599459554998</v>
      </c>
      <c r="V291" s="14">
        <v>50.055599459554998</v>
      </c>
      <c r="W291" s="14">
        <v>50.055599459554998</v>
      </c>
      <c r="X291" s="14">
        <v>50.055599459554998</v>
      </c>
      <c r="Y291" s="14">
        <v>50.055599459554998</v>
      </c>
      <c r="Z291" s="14">
        <v>50.055599459554998</v>
      </c>
      <c r="AA291" s="14">
        <v>50.055599459554998</v>
      </c>
      <c r="AB291" s="14">
        <v>50.055599459554998</v>
      </c>
      <c r="AC291" s="14">
        <v>54.108369444444435</v>
      </c>
      <c r="AD291" s="14">
        <v>56.885139388888888</v>
      </c>
      <c r="AE291" s="14">
        <v>57.568199388888893</v>
      </c>
      <c r="AF291" s="14">
        <v>58.3374293888889</v>
      </c>
      <c r="AG291" s="14">
        <v>59.898509388888897</v>
      </c>
      <c r="AH291" s="14">
        <v>64.473549333333324</v>
      </c>
      <c r="AI291" s="15">
        <v>76.787769245697774</v>
      </c>
      <c r="AJ291" s="14">
        <v>61.566179367470554</v>
      </c>
      <c r="AK291" s="14">
        <v>61.566179367470554</v>
      </c>
      <c r="AL291" s="14">
        <v>61.566179367470554</v>
      </c>
      <c r="AM291" s="14">
        <v>61.566179367470554</v>
      </c>
      <c r="AN291" s="14">
        <v>61.566179367470554</v>
      </c>
      <c r="AO291" s="14">
        <v>61.566179367470554</v>
      </c>
      <c r="AP291" s="14">
        <v>61.566179367470554</v>
      </c>
      <c r="AQ291" s="14">
        <v>61.566179367470554</v>
      </c>
      <c r="AR291" s="14">
        <v>64.473549333333324</v>
      </c>
      <c r="AS291" s="14">
        <v>76.787769245697774</v>
      </c>
    </row>
    <row r="292" spans="1:45" x14ac:dyDescent="0.35">
      <c r="A292" s="16">
        <v>8249.0028060000004</v>
      </c>
      <c r="B292" s="14">
        <v>4.1210578277777783</v>
      </c>
      <c r="C292" s="14">
        <v>4.0962228277777788</v>
      </c>
      <c r="D292" s="14">
        <v>4.1079238277777783</v>
      </c>
      <c r="E292" s="14">
        <v>4.135770827777776</v>
      </c>
      <c r="F292" s="14">
        <v>4.1869558277777781</v>
      </c>
      <c r="G292" s="14">
        <v>4.2823598277777783</v>
      </c>
      <c r="H292" s="14">
        <v>4.5254078222222205</v>
      </c>
      <c r="I292" s="14">
        <v>5.5943198166666654</v>
      </c>
      <c r="J292" s="14">
        <v>11.884949766666669</v>
      </c>
      <c r="K292" s="14">
        <v>33.112289594444441</v>
      </c>
      <c r="L292" s="14">
        <v>53.958789444444442</v>
      </c>
      <c r="M292" s="14">
        <v>56.838689388888888</v>
      </c>
      <c r="N292" s="14">
        <v>57.524349388888886</v>
      </c>
      <c r="O292" s="14">
        <v>58.293779388888879</v>
      </c>
      <c r="P292" s="14">
        <v>59.857409388888897</v>
      </c>
      <c r="Q292" s="14">
        <v>64.439559333333321</v>
      </c>
      <c r="R292" s="15">
        <v>76.751309245989447</v>
      </c>
      <c r="S292" s="14">
        <v>50.032789459737224</v>
      </c>
      <c r="T292" s="14">
        <v>50.032789459737224</v>
      </c>
      <c r="U292" s="14">
        <v>50.032789459737224</v>
      </c>
      <c r="V292" s="14">
        <v>50.032789459737224</v>
      </c>
      <c r="W292" s="14">
        <v>50.032789459737224</v>
      </c>
      <c r="X292" s="14">
        <v>50.032789459737224</v>
      </c>
      <c r="Y292" s="14">
        <v>50.032789459737224</v>
      </c>
      <c r="Z292" s="14">
        <v>50.032789459737224</v>
      </c>
      <c r="AA292" s="14">
        <v>50.032789459737224</v>
      </c>
      <c r="AB292" s="14">
        <v>50.032789459737224</v>
      </c>
      <c r="AC292" s="14">
        <v>53.958789444444442</v>
      </c>
      <c r="AD292" s="14">
        <v>56.838689388888888</v>
      </c>
      <c r="AE292" s="14">
        <v>57.524349388888886</v>
      </c>
      <c r="AF292" s="14">
        <v>58.293779388888879</v>
      </c>
      <c r="AG292" s="14">
        <v>59.857409388888897</v>
      </c>
      <c r="AH292" s="14">
        <v>64.439559333333321</v>
      </c>
      <c r="AI292" s="15">
        <v>76.751309245989447</v>
      </c>
      <c r="AJ292" s="14">
        <v>61.53790936769667</v>
      </c>
      <c r="AK292" s="14">
        <v>61.53790936769667</v>
      </c>
      <c r="AL292" s="14">
        <v>61.53790936769667</v>
      </c>
      <c r="AM292" s="14">
        <v>61.53790936769667</v>
      </c>
      <c r="AN292" s="14">
        <v>61.53790936769667</v>
      </c>
      <c r="AO292" s="14">
        <v>61.53790936769667</v>
      </c>
      <c r="AP292" s="14">
        <v>61.53790936769667</v>
      </c>
      <c r="AQ292" s="14">
        <v>61.53790936769667</v>
      </c>
      <c r="AR292" s="14">
        <v>64.439559333333321</v>
      </c>
      <c r="AS292" s="14">
        <v>76.751309245989447</v>
      </c>
    </row>
    <row r="293" spans="1:45" x14ac:dyDescent="0.35">
      <c r="A293" s="16">
        <v>8271.714978</v>
      </c>
      <c r="B293" s="14">
        <v>4.1215148277777773</v>
      </c>
      <c r="C293" s="14">
        <v>4.0958078277777767</v>
      </c>
      <c r="D293" s="14">
        <v>4.1074028277777765</v>
      </c>
      <c r="E293" s="14">
        <v>4.1353618277777766</v>
      </c>
      <c r="F293" s="14">
        <v>4.1868958277777759</v>
      </c>
      <c r="G293" s="14">
        <v>4.2823348277777775</v>
      </c>
      <c r="H293" s="14">
        <v>4.5214338222222219</v>
      </c>
      <c r="I293" s="14">
        <v>5.5620108166666666</v>
      </c>
      <c r="J293" s="14">
        <v>11.728259766666664</v>
      </c>
      <c r="K293" s="14">
        <v>32.772939600000001</v>
      </c>
      <c r="L293" s="14">
        <v>53.806929444444449</v>
      </c>
      <c r="M293" s="14">
        <v>56.791689388888898</v>
      </c>
      <c r="N293" s="14">
        <v>57.480339388888893</v>
      </c>
      <c r="O293" s="14">
        <v>58.249949388888886</v>
      </c>
      <c r="P293" s="14">
        <v>59.816119388888893</v>
      </c>
      <c r="Q293" s="14">
        <v>64.405409333333338</v>
      </c>
      <c r="R293" s="15">
        <v>76.714679246282216</v>
      </c>
      <c r="S293" s="14">
        <v>50.009099459927221</v>
      </c>
      <c r="T293" s="14">
        <v>50.009099459927221</v>
      </c>
      <c r="U293" s="14">
        <v>50.009099459927221</v>
      </c>
      <c r="V293" s="14">
        <v>50.009099459927221</v>
      </c>
      <c r="W293" s="14">
        <v>50.009099459927221</v>
      </c>
      <c r="X293" s="14">
        <v>50.009099459927221</v>
      </c>
      <c r="Y293" s="14">
        <v>50.009099459927221</v>
      </c>
      <c r="Z293" s="14">
        <v>50.009099459927221</v>
      </c>
      <c r="AA293" s="14">
        <v>50.009099459927221</v>
      </c>
      <c r="AB293" s="14">
        <v>50.009099459927221</v>
      </c>
      <c r="AC293" s="14">
        <v>53.806929444444449</v>
      </c>
      <c r="AD293" s="14">
        <v>56.791689388888898</v>
      </c>
      <c r="AE293" s="14">
        <v>57.480339388888893</v>
      </c>
      <c r="AF293" s="14">
        <v>58.249949388888886</v>
      </c>
      <c r="AG293" s="14">
        <v>59.816119388888893</v>
      </c>
      <c r="AH293" s="14">
        <v>64.405409333333338</v>
      </c>
      <c r="AI293" s="15">
        <v>76.714679246282216</v>
      </c>
      <c r="AJ293" s="14">
        <v>61.508569367931109</v>
      </c>
      <c r="AK293" s="14">
        <v>61.508569367931109</v>
      </c>
      <c r="AL293" s="14">
        <v>61.508569367931109</v>
      </c>
      <c r="AM293" s="14">
        <v>61.508569367931109</v>
      </c>
      <c r="AN293" s="14">
        <v>61.508569367931109</v>
      </c>
      <c r="AO293" s="14">
        <v>61.508569367931109</v>
      </c>
      <c r="AP293" s="14">
        <v>61.508569367931109</v>
      </c>
      <c r="AQ293" s="14">
        <v>61.508569367931109</v>
      </c>
      <c r="AR293" s="14">
        <v>64.405409333333338</v>
      </c>
      <c r="AS293" s="14">
        <v>76.714679246282216</v>
      </c>
    </row>
    <row r="294" spans="1:45" x14ac:dyDescent="0.35">
      <c r="A294" s="16">
        <v>8294.4271499999995</v>
      </c>
      <c r="B294" s="14">
        <v>4.1219488277777767</v>
      </c>
      <c r="C294" s="14">
        <v>4.0954708277777776</v>
      </c>
      <c r="D294" s="14">
        <v>4.1069318277777791</v>
      </c>
      <c r="E294" s="14">
        <v>4.1349788277777773</v>
      </c>
      <c r="F294" s="14">
        <v>4.186853827777778</v>
      </c>
      <c r="G294" s="14">
        <v>4.2823388277777772</v>
      </c>
      <c r="H294" s="14">
        <v>4.5176288222222203</v>
      </c>
      <c r="I294" s="14">
        <v>5.5306648166666665</v>
      </c>
      <c r="J294" s="14">
        <v>11.574499766666667</v>
      </c>
      <c r="K294" s="14">
        <v>32.4352096</v>
      </c>
      <c r="L294" s="14">
        <v>53.652969444444437</v>
      </c>
      <c r="M294" s="14">
        <v>56.744349388888885</v>
      </c>
      <c r="N294" s="14">
        <v>57.436369388888885</v>
      </c>
      <c r="O294" s="14">
        <v>58.206149388888889</v>
      </c>
      <c r="P294" s="14">
        <v>59.774869388888888</v>
      </c>
      <c r="Q294" s="14">
        <v>64.371309333333329</v>
      </c>
      <c r="R294" s="15">
        <v>76.678139246574432</v>
      </c>
      <c r="S294" s="14">
        <v>49.985249460117785</v>
      </c>
      <c r="T294" s="14">
        <v>49.985249460117785</v>
      </c>
      <c r="U294" s="14">
        <v>49.985249460117785</v>
      </c>
      <c r="V294" s="14">
        <v>49.985249460117785</v>
      </c>
      <c r="W294" s="14">
        <v>49.985249460117785</v>
      </c>
      <c r="X294" s="14">
        <v>49.985249460117785</v>
      </c>
      <c r="Y294" s="14">
        <v>49.985249460117785</v>
      </c>
      <c r="Z294" s="14">
        <v>49.985249460117785</v>
      </c>
      <c r="AA294" s="14">
        <v>49.985249460117785</v>
      </c>
      <c r="AB294" s="14">
        <v>49.985249460117785</v>
      </c>
      <c r="AC294" s="14">
        <v>53.652969444444437</v>
      </c>
      <c r="AD294" s="14">
        <v>56.744349388888885</v>
      </c>
      <c r="AE294" s="14">
        <v>57.436369388888885</v>
      </c>
      <c r="AF294" s="14">
        <v>58.206149388888889</v>
      </c>
      <c r="AG294" s="14">
        <v>59.774869388888888</v>
      </c>
      <c r="AH294" s="14">
        <v>64.371309333333329</v>
      </c>
      <c r="AI294" s="15">
        <v>76.678139246574432</v>
      </c>
      <c r="AJ294" s="14">
        <v>61.479189368166104</v>
      </c>
      <c r="AK294" s="14">
        <v>61.479189368166104</v>
      </c>
      <c r="AL294" s="14">
        <v>61.479189368166104</v>
      </c>
      <c r="AM294" s="14">
        <v>61.479189368166104</v>
      </c>
      <c r="AN294" s="14">
        <v>61.479189368166104</v>
      </c>
      <c r="AO294" s="14">
        <v>61.479189368166104</v>
      </c>
      <c r="AP294" s="14">
        <v>61.479189368166104</v>
      </c>
      <c r="AQ294" s="14">
        <v>61.479189368166104</v>
      </c>
      <c r="AR294" s="14">
        <v>64.371309333333329</v>
      </c>
      <c r="AS294" s="14">
        <v>76.678139246574432</v>
      </c>
    </row>
    <row r="295" spans="1:45" x14ac:dyDescent="0.35">
      <c r="A295" s="16">
        <v>8317.1393220000009</v>
      </c>
      <c r="B295" s="14">
        <v>4.1223508277777769</v>
      </c>
      <c r="C295" s="14">
        <v>4.0952118277777787</v>
      </c>
      <c r="D295" s="14">
        <v>4.106510827777778</v>
      </c>
      <c r="E295" s="14">
        <v>4.1346228277777781</v>
      </c>
      <c r="F295" s="14">
        <v>4.186822827777779</v>
      </c>
      <c r="G295" s="14">
        <v>4.2823698277777762</v>
      </c>
      <c r="H295" s="14">
        <v>4.513986822222221</v>
      </c>
      <c r="I295" s="14">
        <v>5.5002568166666661</v>
      </c>
      <c r="J295" s="14">
        <v>11.423619766666668</v>
      </c>
      <c r="K295" s="14">
        <v>32.099089605555562</v>
      </c>
      <c r="L295" s="14">
        <v>53.496909444444441</v>
      </c>
      <c r="M295" s="14">
        <v>56.696659388888897</v>
      </c>
      <c r="N295" s="14">
        <v>57.392449388888885</v>
      </c>
      <c r="O295" s="14">
        <v>58.162379388888894</v>
      </c>
      <c r="P295" s="14">
        <v>59.733649388888885</v>
      </c>
      <c r="Q295" s="14">
        <v>64.337259333333336</v>
      </c>
      <c r="R295" s="15">
        <v>76.641679246866104</v>
      </c>
      <c r="S295" s="14">
        <v>49.961009460311665</v>
      </c>
      <c r="T295" s="14">
        <v>49.961009460311665</v>
      </c>
      <c r="U295" s="14">
        <v>49.961009460311665</v>
      </c>
      <c r="V295" s="14">
        <v>49.961009460311665</v>
      </c>
      <c r="W295" s="14">
        <v>49.961009460311665</v>
      </c>
      <c r="X295" s="14">
        <v>49.961009460311665</v>
      </c>
      <c r="Y295" s="14">
        <v>49.961009460311665</v>
      </c>
      <c r="Z295" s="14">
        <v>49.961009460311665</v>
      </c>
      <c r="AA295" s="14">
        <v>49.961009460311665</v>
      </c>
      <c r="AB295" s="14">
        <v>49.961009460311665</v>
      </c>
      <c r="AC295" s="14">
        <v>53.496909444444441</v>
      </c>
      <c r="AD295" s="14">
        <v>56.696659388888897</v>
      </c>
      <c r="AE295" s="14">
        <v>57.392449388888885</v>
      </c>
      <c r="AF295" s="14">
        <v>58.162379388888894</v>
      </c>
      <c r="AG295" s="14">
        <v>59.733649388888885</v>
      </c>
      <c r="AH295" s="14">
        <v>64.337259333333336</v>
      </c>
      <c r="AI295" s="15">
        <v>76.641679246866104</v>
      </c>
      <c r="AJ295" s="14">
        <v>61.449099368406664</v>
      </c>
      <c r="AK295" s="14">
        <v>61.449099368406664</v>
      </c>
      <c r="AL295" s="14">
        <v>61.449099368406664</v>
      </c>
      <c r="AM295" s="14">
        <v>61.449099368406664</v>
      </c>
      <c r="AN295" s="14">
        <v>61.449099368406664</v>
      </c>
      <c r="AO295" s="14">
        <v>61.449099368406664</v>
      </c>
      <c r="AP295" s="14">
        <v>61.449099368406664</v>
      </c>
      <c r="AQ295" s="14">
        <v>61.449099368406664</v>
      </c>
      <c r="AR295" s="14">
        <v>64.337259333333336</v>
      </c>
      <c r="AS295" s="14">
        <v>76.641679246866104</v>
      </c>
    </row>
    <row r="296" spans="1:45" x14ac:dyDescent="0.35">
      <c r="A296" s="16">
        <v>8339.8514940000005</v>
      </c>
      <c r="B296" s="14">
        <v>4.1227598277777764</v>
      </c>
      <c r="C296" s="14">
        <v>4.0950028277777761</v>
      </c>
      <c r="D296" s="14">
        <v>4.1061068277777775</v>
      </c>
      <c r="E296" s="14">
        <v>4.1342618277777792</v>
      </c>
      <c r="F296" s="14">
        <v>4.186763827777777</v>
      </c>
      <c r="G296" s="14">
        <v>4.2823968277777764</v>
      </c>
      <c r="H296" s="14">
        <v>4.5104728222222219</v>
      </c>
      <c r="I296" s="14">
        <v>5.4707308166666655</v>
      </c>
      <c r="J296" s="14">
        <v>11.275549772222222</v>
      </c>
      <c r="K296" s="14">
        <v>31.764569605555558</v>
      </c>
      <c r="L296" s="14">
        <v>53.338689444444441</v>
      </c>
      <c r="M296" s="14">
        <v>56.648569388888887</v>
      </c>
      <c r="N296" s="14">
        <v>57.348539388888895</v>
      </c>
      <c r="O296" s="14">
        <v>58.118609388888885</v>
      </c>
      <c r="P296" s="14">
        <v>59.69242938888889</v>
      </c>
      <c r="Q296" s="14">
        <v>64.303239333333337</v>
      </c>
      <c r="R296" s="15">
        <v>76.605249247157772</v>
      </c>
      <c r="S296" s="14">
        <v>49.936859460504998</v>
      </c>
      <c r="T296" s="14">
        <v>49.936859460504998</v>
      </c>
      <c r="U296" s="14">
        <v>49.936859460504998</v>
      </c>
      <c r="V296" s="14">
        <v>49.936859460504998</v>
      </c>
      <c r="W296" s="14">
        <v>49.936859460504998</v>
      </c>
      <c r="X296" s="14">
        <v>49.936859460504998</v>
      </c>
      <c r="Y296" s="14">
        <v>49.936859460504998</v>
      </c>
      <c r="Z296" s="14">
        <v>49.936859460504998</v>
      </c>
      <c r="AA296" s="14">
        <v>49.936859460504998</v>
      </c>
      <c r="AB296" s="14">
        <v>49.936859460504998</v>
      </c>
      <c r="AC296" s="14">
        <v>53.338689444444441</v>
      </c>
      <c r="AD296" s="14">
        <v>56.648569388888887</v>
      </c>
      <c r="AE296" s="14">
        <v>57.348539388888895</v>
      </c>
      <c r="AF296" s="14">
        <v>58.118609388888885</v>
      </c>
      <c r="AG296" s="14">
        <v>59.69242938888889</v>
      </c>
      <c r="AH296" s="14">
        <v>64.303239333333337</v>
      </c>
      <c r="AI296" s="15">
        <v>76.605249247157772</v>
      </c>
      <c r="AJ296" s="14">
        <v>61.418259368653899</v>
      </c>
      <c r="AK296" s="14">
        <v>61.418259368653899</v>
      </c>
      <c r="AL296" s="14">
        <v>61.418259368653899</v>
      </c>
      <c r="AM296" s="14">
        <v>61.418259368653899</v>
      </c>
      <c r="AN296" s="14">
        <v>61.418259368653899</v>
      </c>
      <c r="AO296" s="14">
        <v>61.418259368653899</v>
      </c>
      <c r="AP296" s="14">
        <v>61.418259368653899</v>
      </c>
      <c r="AQ296" s="14">
        <v>61.418259368653899</v>
      </c>
      <c r="AR296" s="14">
        <v>64.303239333333337</v>
      </c>
      <c r="AS296" s="14">
        <v>76.605249247157772</v>
      </c>
    </row>
    <row r="297" spans="1:45" x14ac:dyDescent="0.35">
      <c r="A297" s="16">
        <v>8362.563666</v>
      </c>
      <c r="B297" s="14">
        <v>4.1231648277777762</v>
      </c>
      <c r="C297" s="14">
        <v>4.0948398277777782</v>
      </c>
      <c r="D297" s="14">
        <v>4.1057198277777793</v>
      </c>
      <c r="E297" s="14">
        <v>4.133896827777777</v>
      </c>
      <c r="F297" s="14">
        <v>4.1866578277777773</v>
      </c>
      <c r="G297" s="14">
        <v>4.2824188277777768</v>
      </c>
      <c r="H297" s="14">
        <v>4.5070828222222223</v>
      </c>
      <c r="I297" s="14">
        <v>5.4420618166666657</v>
      </c>
      <c r="J297" s="14">
        <v>11.130039772222224</v>
      </c>
      <c r="K297" s="14">
        <v>31.430869611111106</v>
      </c>
      <c r="L297" s="14">
        <v>53.178289444444445</v>
      </c>
      <c r="M297" s="14">
        <v>56.600049388888891</v>
      </c>
      <c r="N297" s="14">
        <v>57.304629388888898</v>
      </c>
      <c r="O297" s="14">
        <v>58.074819388888891</v>
      </c>
      <c r="P297" s="14">
        <v>59.651199388888877</v>
      </c>
      <c r="Q297" s="14">
        <v>64.269219333333339</v>
      </c>
      <c r="R297" s="15">
        <v>76.568859247448884</v>
      </c>
      <c r="S297" s="14">
        <v>49.913749460689999</v>
      </c>
      <c r="T297" s="14">
        <v>49.913749460689999</v>
      </c>
      <c r="U297" s="14">
        <v>49.913749460689999</v>
      </c>
      <c r="V297" s="14">
        <v>49.913749460689999</v>
      </c>
      <c r="W297" s="14">
        <v>49.913749460689999</v>
      </c>
      <c r="X297" s="14">
        <v>49.913749460689999</v>
      </c>
      <c r="Y297" s="14">
        <v>49.913749460689999</v>
      </c>
      <c r="Z297" s="14">
        <v>49.913749460689999</v>
      </c>
      <c r="AA297" s="14">
        <v>49.913749460689999</v>
      </c>
      <c r="AB297" s="14">
        <v>49.913749460689999</v>
      </c>
      <c r="AC297" s="14">
        <v>53.178289444444445</v>
      </c>
      <c r="AD297" s="14">
        <v>56.600049388888891</v>
      </c>
      <c r="AE297" s="14">
        <v>57.304629388888898</v>
      </c>
      <c r="AF297" s="14">
        <v>58.074819388888891</v>
      </c>
      <c r="AG297" s="14">
        <v>59.651199388888877</v>
      </c>
      <c r="AH297" s="14">
        <v>64.269219333333339</v>
      </c>
      <c r="AI297" s="15">
        <v>76.568859247448884</v>
      </c>
      <c r="AJ297" s="14">
        <v>61.387149368902783</v>
      </c>
      <c r="AK297" s="14">
        <v>61.387149368902783</v>
      </c>
      <c r="AL297" s="14">
        <v>61.387149368902783</v>
      </c>
      <c r="AM297" s="14">
        <v>61.387149368902783</v>
      </c>
      <c r="AN297" s="14">
        <v>61.387149368902783</v>
      </c>
      <c r="AO297" s="14">
        <v>61.387149368902783</v>
      </c>
      <c r="AP297" s="14">
        <v>61.387149368902783</v>
      </c>
      <c r="AQ297" s="14">
        <v>61.387149368902783</v>
      </c>
      <c r="AR297" s="14">
        <v>64.269219333333339</v>
      </c>
      <c r="AS297" s="14">
        <v>76.568859247448884</v>
      </c>
    </row>
    <row r="298" spans="1:45" x14ac:dyDescent="0.35">
      <c r="A298" s="16">
        <v>8388.931152000001</v>
      </c>
      <c r="B298" s="14">
        <v>4.1234058277777779</v>
      </c>
      <c r="C298" s="14">
        <v>4.0949278277777763</v>
      </c>
      <c r="D298" s="14">
        <v>4.1054848277777758</v>
      </c>
      <c r="E298" s="14">
        <v>4.1335748277777755</v>
      </c>
      <c r="F298" s="14">
        <v>4.1865458277777794</v>
      </c>
      <c r="G298" s="14">
        <v>4.2823088277777783</v>
      </c>
      <c r="H298" s="14">
        <v>4.5024858222222228</v>
      </c>
      <c r="I298" s="14">
        <v>5.405268816666668</v>
      </c>
      <c r="J298" s="14">
        <v>10.941339772222223</v>
      </c>
      <c r="K298" s="14">
        <v>30.991559611111111</v>
      </c>
      <c r="L298" s="14">
        <v>52.962349444444442</v>
      </c>
      <c r="M298" s="14">
        <v>56.535099388888895</v>
      </c>
      <c r="N298" s="14">
        <v>57.246529388888881</v>
      </c>
      <c r="O298" s="14">
        <v>58.016879388888896</v>
      </c>
      <c r="P298" s="14">
        <v>59.596639388888889</v>
      </c>
      <c r="Q298" s="14">
        <v>64.224279333333342</v>
      </c>
      <c r="R298" s="15">
        <v>76.520879247832781</v>
      </c>
      <c r="S298" s="14">
        <v>49.893619460850552</v>
      </c>
      <c r="T298" s="14">
        <v>49.893619460850552</v>
      </c>
      <c r="U298" s="14">
        <v>49.893619460850552</v>
      </c>
      <c r="V298" s="14">
        <v>49.893619460850552</v>
      </c>
      <c r="W298" s="14">
        <v>49.893619460850552</v>
      </c>
      <c r="X298" s="14">
        <v>49.893619460850552</v>
      </c>
      <c r="Y298" s="14">
        <v>49.893619460850552</v>
      </c>
      <c r="Z298" s="14">
        <v>49.893619460850552</v>
      </c>
      <c r="AA298" s="14">
        <v>49.893619460850552</v>
      </c>
      <c r="AB298" s="14">
        <v>49.893619460850552</v>
      </c>
      <c r="AC298" s="14">
        <v>52.962349444444442</v>
      </c>
      <c r="AD298" s="14">
        <v>56.535099388888895</v>
      </c>
      <c r="AE298" s="14">
        <v>57.246529388888881</v>
      </c>
      <c r="AF298" s="14">
        <v>58.016879388888896</v>
      </c>
      <c r="AG298" s="14">
        <v>59.596639388888889</v>
      </c>
      <c r="AH298" s="14">
        <v>64.224279333333342</v>
      </c>
      <c r="AI298" s="15">
        <v>76.520879247832781</v>
      </c>
      <c r="AJ298" s="14">
        <v>61.359039369127231</v>
      </c>
      <c r="AK298" s="14">
        <v>61.359039369127231</v>
      </c>
      <c r="AL298" s="14">
        <v>61.359039369127231</v>
      </c>
      <c r="AM298" s="14">
        <v>61.359039369127231</v>
      </c>
      <c r="AN298" s="14">
        <v>61.359039369127231</v>
      </c>
      <c r="AO298" s="14">
        <v>61.359039369127231</v>
      </c>
      <c r="AP298" s="14">
        <v>61.359039369127231</v>
      </c>
      <c r="AQ298" s="14">
        <v>61.359039369127231</v>
      </c>
      <c r="AR298" s="14">
        <v>64.224279333333342</v>
      </c>
      <c r="AS298" s="14">
        <v>76.520879247832781</v>
      </c>
    </row>
    <row r="299" spans="1:45" x14ac:dyDescent="0.35">
      <c r="A299" s="16">
        <v>8418.9539520000017</v>
      </c>
      <c r="B299" s="14">
        <v>4.1234488277777794</v>
      </c>
      <c r="C299" s="14">
        <v>4.0952228277777776</v>
      </c>
      <c r="D299" s="14">
        <v>4.1054548277777769</v>
      </c>
      <c r="E299" s="14">
        <v>4.1335318277777784</v>
      </c>
      <c r="F299" s="14">
        <v>4.1868458277777796</v>
      </c>
      <c r="G299" s="14">
        <v>4.2827668277777775</v>
      </c>
      <c r="H299" s="14">
        <v>4.4988338222222204</v>
      </c>
      <c r="I299" s="14">
        <v>5.3706678166666677</v>
      </c>
      <c r="J299" s="14">
        <v>10.758319772222222</v>
      </c>
      <c r="K299" s="14">
        <v>30.55640961666667</v>
      </c>
      <c r="L299" s="14">
        <v>52.743209444444439</v>
      </c>
      <c r="M299" s="14">
        <v>56.469909388888894</v>
      </c>
      <c r="N299" s="14">
        <v>57.189089388888888</v>
      </c>
      <c r="O299" s="14">
        <v>57.959569388888895</v>
      </c>
      <c r="P299" s="14">
        <v>59.542709388888888</v>
      </c>
      <c r="Q299" s="14">
        <v>64.179979333333321</v>
      </c>
      <c r="R299" s="15">
        <v>76.473569248211106</v>
      </c>
      <c r="S299" s="14">
        <v>49.855979461151669</v>
      </c>
      <c r="T299" s="14">
        <v>49.855979461151669</v>
      </c>
      <c r="U299" s="14">
        <v>49.855979461151669</v>
      </c>
      <c r="V299" s="14">
        <v>49.855979461151669</v>
      </c>
      <c r="W299" s="14">
        <v>49.855979461151669</v>
      </c>
      <c r="X299" s="14">
        <v>49.855979461151669</v>
      </c>
      <c r="Y299" s="14">
        <v>49.855979461151669</v>
      </c>
      <c r="Z299" s="14">
        <v>49.855979461151669</v>
      </c>
      <c r="AA299" s="14">
        <v>49.855979461151669</v>
      </c>
      <c r="AB299" s="14">
        <v>49.855979461151669</v>
      </c>
      <c r="AC299" s="14">
        <v>52.743209444444439</v>
      </c>
      <c r="AD299" s="14">
        <v>56.469909388888894</v>
      </c>
      <c r="AE299" s="14">
        <v>57.189089388888888</v>
      </c>
      <c r="AF299" s="14">
        <v>57.959569388888895</v>
      </c>
      <c r="AG299" s="14">
        <v>59.542709388888888</v>
      </c>
      <c r="AH299" s="14">
        <v>64.179979333333321</v>
      </c>
      <c r="AI299" s="15">
        <v>76.473569248211106</v>
      </c>
      <c r="AJ299" s="14">
        <v>61.314459369483899</v>
      </c>
      <c r="AK299" s="14">
        <v>61.314459369483899</v>
      </c>
      <c r="AL299" s="14">
        <v>61.314459369483899</v>
      </c>
      <c r="AM299" s="14">
        <v>61.314459369483899</v>
      </c>
      <c r="AN299" s="14">
        <v>61.314459369483899</v>
      </c>
      <c r="AO299" s="14">
        <v>61.314459369483899</v>
      </c>
      <c r="AP299" s="14">
        <v>61.314459369483899</v>
      </c>
      <c r="AQ299" s="14">
        <v>61.314459369483899</v>
      </c>
      <c r="AR299" s="14">
        <v>64.179979333333321</v>
      </c>
      <c r="AS299" s="14">
        <v>76.473569248211106</v>
      </c>
    </row>
    <row r="300" spans="1:45" x14ac:dyDescent="0.35">
      <c r="A300" s="16">
        <v>8453.0153520000003</v>
      </c>
      <c r="B300" s="14">
        <v>4.1234438277777761</v>
      </c>
      <c r="C300" s="14">
        <v>4.0957558277777766</v>
      </c>
      <c r="D300" s="14">
        <v>4.1055938277777786</v>
      </c>
      <c r="E300" s="14">
        <v>4.1335428277777773</v>
      </c>
      <c r="F300" s="14">
        <v>4.1871508277777796</v>
      </c>
      <c r="G300" s="14">
        <v>4.2830848277777793</v>
      </c>
      <c r="H300" s="14">
        <v>4.4940488222222221</v>
      </c>
      <c r="I300" s="14">
        <v>5.3284198166666661</v>
      </c>
      <c r="J300" s="14">
        <v>10.533079777777779</v>
      </c>
      <c r="K300" s="14">
        <v>30.00935962222222</v>
      </c>
      <c r="L300" s="14">
        <v>52.458599444444445</v>
      </c>
      <c r="M300" s="14">
        <v>56.38536938888889</v>
      </c>
      <c r="N300" s="14">
        <v>57.115999388888895</v>
      </c>
      <c r="O300" s="14">
        <v>57.886619388888874</v>
      </c>
      <c r="P300" s="14">
        <v>59.474069388888893</v>
      </c>
      <c r="Q300" s="14">
        <v>64.123649333333333</v>
      </c>
      <c r="R300" s="15">
        <v>76.413549248691126</v>
      </c>
      <c r="S300" s="14">
        <v>49.83085946135278</v>
      </c>
      <c r="T300" s="14">
        <v>49.83085946135278</v>
      </c>
      <c r="U300" s="14">
        <v>49.83085946135278</v>
      </c>
      <c r="V300" s="14">
        <v>49.83085946135278</v>
      </c>
      <c r="W300" s="14">
        <v>49.83085946135278</v>
      </c>
      <c r="X300" s="14">
        <v>49.83085946135278</v>
      </c>
      <c r="Y300" s="14">
        <v>49.83085946135278</v>
      </c>
      <c r="Z300" s="14">
        <v>49.83085946135278</v>
      </c>
      <c r="AA300" s="14">
        <v>49.83085946135278</v>
      </c>
      <c r="AB300" s="14">
        <v>49.83085946135278</v>
      </c>
      <c r="AC300" s="14">
        <v>52.458599444444445</v>
      </c>
      <c r="AD300" s="14">
        <v>56.38536938888889</v>
      </c>
      <c r="AE300" s="14">
        <v>57.115999388888895</v>
      </c>
      <c r="AF300" s="14">
        <v>57.886619388888874</v>
      </c>
      <c r="AG300" s="14">
        <v>59.474069388888893</v>
      </c>
      <c r="AH300" s="14">
        <v>64.123649333333333</v>
      </c>
      <c r="AI300" s="15">
        <v>76.413549248691126</v>
      </c>
      <c r="AJ300" s="14">
        <v>61.277959369776099</v>
      </c>
      <c r="AK300" s="14">
        <v>61.277959369776099</v>
      </c>
      <c r="AL300" s="14">
        <v>61.277959369776099</v>
      </c>
      <c r="AM300" s="14">
        <v>61.277959369776099</v>
      </c>
      <c r="AN300" s="14">
        <v>61.277959369776099</v>
      </c>
      <c r="AO300" s="14">
        <v>61.277959369776099</v>
      </c>
      <c r="AP300" s="14">
        <v>61.277959369776099</v>
      </c>
      <c r="AQ300" s="14">
        <v>61.277959369776099</v>
      </c>
      <c r="AR300" s="14">
        <v>64.123649333333333</v>
      </c>
      <c r="AS300" s="14">
        <v>76.413549248691126</v>
      </c>
    </row>
    <row r="301" spans="1:45" x14ac:dyDescent="0.35">
      <c r="A301" s="16">
        <v>8491.1153520000007</v>
      </c>
      <c r="B301" s="14">
        <v>4.1246238277777776</v>
      </c>
      <c r="C301" s="14">
        <v>4.0965768277777785</v>
      </c>
      <c r="D301" s="14">
        <v>4.1059958277777788</v>
      </c>
      <c r="E301" s="14">
        <v>4.1338788277777798</v>
      </c>
      <c r="F301" s="14">
        <v>4.1879028277777763</v>
      </c>
      <c r="G301" s="14">
        <v>4.2840448277777794</v>
      </c>
      <c r="H301" s="14">
        <v>4.4904008222222203</v>
      </c>
      <c r="I301" s="14">
        <v>5.2891188166666661</v>
      </c>
      <c r="J301" s="14">
        <v>10.316159777777779</v>
      </c>
      <c r="K301" s="14">
        <v>29.468709622222224</v>
      </c>
      <c r="L301" s="14">
        <v>52.16837944444444</v>
      </c>
      <c r="M301" s="14">
        <v>56.300189388888889</v>
      </c>
      <c r="N301" s="14">
        <v>57.043639388888892</v>
      </c>
      <c r="O301" s="14">
        <v>57.814379388888888</v>
      </c>
      <c r="P301" s="14">
        <v>59.406139388888882</v>
      </c>
      <c r="Q301" s="14">
        <v>64.068079333333344</v>
      </c>
      <c r="R301" s="15">
        <v>76.354329249165005</v>
      </c>
      <c r="S301" s="14">
        <v>49.809139461526669</v>
      </c>
      <c r="T301" s="14">
        <v>49.809139461526669</v>
      </c>
      <c r="U301" s="14">
        <v>49.809139461526669</v>
      </c>
      <c r="V301" s="14">
        <v>49.809139461526669</v>
      </c>
      <c r="W301" s="14">
        <v>49.809139461526669</v>
      </c>
      <c r="X301" s="14">
        <v>49.809139461526669</v>
      </c>
      <c r="Y301" s="14">
        <v>49.809139461526669</v>
      </c>
      <c r="Z301" s="14">
        <v>49.809139461526669</v>
      </c>
      <c r="AA301" s="14">
        <v>49.809139461526669</v>
      </c>
      <c r="AB301" s="14">
        <v>49.809139461526669</v>
      </c>
      <c r="AC301" s="14">
        <v>52.16837944444444</v>
      </c>
      <c r="AD301" s="14">
        <v>56.300189388888889</v>
      </c>
      <c r="AE301" s="14">
        <v>57.043639388888892</v>
      </c>
      <c r="AF301" s="14">
        <v>57.814379388888888</v>
      </c>
      <c r="AG301" s="14">
        <v>59.406139388888882</v>
      </c>
      <c r="AH301" s="14">
        <v>64.068079333333344</v>
      </c>
      <c r="AI301" s="15">
        <v>76.354329249165005</v>
      </c>
      <c r="AJ301" s="14">
        <v>61.246349370028888</v>
      </c>
      <c r="AK301" s="14">
        <v>61.246349370028888</v>
      </c>
      <c r="AL301" s="14">
        <v>61.246349370028888</v>
      </c>
      <c r="AM301" s="14">
        <v>61.246349370028888</v>
      </c>
      <c r="AN301" s="14">
        <v>61.246349370028888</v>
      </c>
      <c r="AO301" s="14">
        <v>61.246349370028888</v>
      </c>
      <c r="AP301" s="14">
        <v>61.246349370028888</v>
      </c>
      <c r="AQ301" s="14">
        <v>61.246349370028888</v>
      </c>
      <c r="AR301" s="14">
        <v>64.068079333333344</v>
      </c>
      <c r="AS301" s="14">
        <v>76.354329249165005</v>
      </c>
    </row>
    <row r="302" spans="1:45" x14ac:dyDescent="0.35">
      <c r="A302" s="16">
        <v>8521.5199140000004</v>
      </c>
      <c r="B302" s="14">
        <v>4.1228048277777773</v>
      </c>
      <c r="C302" s="14">
        <v>4.096920827777776</v>
      </c>
      <c r="D302" s="14">
        <v>4.106129827777778</v>
      </c>
      <c r="E302" s="14">
        <v>4.1341888277777787</v>
      </c>
      <c r="F302" s="14">
        <v>4.1887328277777769</v>
      </c>
      <c r="G302" s="14">
        <v>4.2853648277777783</v>
      </c>
      <c r="H302" s="14">
        <v>4.4894508222222225</v>
      </c>
      <c r="I302" s="14">
        <v>5.2676038166666652</v>
      </c>
      <c r="J302" s="14">
        <v>10.19074977777778</v>
      </c>
      <c r="K302" s="14">
        <v>29.14870962777778</v>
      </c>
      <c r="L302" s="14">
        <v>51.993879444444445</v>
      </c>
      <c r="M302" s="14">
        <v>56.24966938888889</v>
      </c>
      <c r="N302" s="14">
        <v>57.001239388888884</v>
      </c>
      <c r="O302" s="14">
        <v>57.772019388888893</v>
      </c>
      <c r="P302" s="14">
        <v>59.36637938888888</v>
      </c>
      <c r="Q302" s="14">
        <v>64.035619333333329</v>
      </c>
      <c r="R302" s="15">
        <v>76.319649249442207</v>
      </c>
      <c r="S302" s="14">
        <v>49.761389461908884</v>
      </c>
      <c r="T302" s="14">
        <v>49.761389461908884</v>
      </c>
      <c r="U302" s="14">
        <v>49.761389461908884</v>
      </c>
      <c r="V302" s="14">
        <v>49.761389461908884</v>
      </c>
      <c r="W302" s="14">
        <v>49.761389461908884</v>
      </c>
      <c r="X302" s="14">
        <v>49.761389461908884</v>
      </c>
      <c r="Y302" s="14">
        <v>49.761389461908884</v>
      </c>
      <c r="Z302" s="14">
        <v>49.761389461908884</v>
      </c>
      <c r="AA302" s="14">
        <v>49.761389461908884</v>
      </c>
      <c r="AB302" s="14">
        <v>49.761389461908884</v>
      </c>
      <c r="AC302" s="14">
        <v>51.993879444444445</v>
      </c>
      <c r="AD302" s="14">
        <v>56.24966938888889</v>
      </c>
      <c r="AE302" s="14">
        <v>57.001239388888884</v>
      </c>
      <c r="AF302" s="14">
        <v>57.772019388888893</v>
      </c>
      <c r="AG302" s="14">
        <v>59.36637938888888</v>
      </c>
      <c r="AH302" s="14">
        <v>64.035619333333329</v>
      </c>
      <c r="AI302" s="15">
        <v>76.319649249442207</v>
      </c>
      <c r="AJ302" s="14">
        <v>61.196599370426661</v>
      </c>
      <c r="AK302" s="14">
        <v>61.196599370426661</v>
      </c>
      <c r="AL302" s="14">
        <v>61.196599370426661</v>
      </c>
      <c r="AM302" s="14">
        <v>61.196599370426661</v>
      </c>
      <c r="AN302" s="14">
        <v>61.196599370426661</v>
      </c>
      <c r="AO302" s="14">
        <v>61.196599370426661</v>
      </c>
      <c r="AP302" s="14">
        <v>61.196599370426661</v>
      </c>
      <c r="AQ302" s="14">
        <v>61.196599370426661</v>
      </c>
      <c r="AR302" s="14">
        <v>64.035619333333329</v>
      </c>
      <c r="AS302" s="14">
        <v>76.319649249442207</v>
      </c>
    </row>
    <row r="303" spans="1:45" x14ac:dyDescent="0.35">
      <c r="A303" s="16">
        <v>8544.2290380000013</v>
      </c>
      <c r="B303" s="14">
        <v>4.1229728277777786</v>
      </c>
      <c r="C303" s="14">
        <v>4.0969398277777778</v>
      </c>
      <c r="D303" s="14">
        <v>4.1059408277777756</v>
      </c>
      <c r="E303" s="14">
        <v>4.1339818277777791</v>
      </c>
      <c r="F303" s="14">
        <v>4.1887738277777782</v>
      </c>
      <c r="G303" s="14">
        <v>4.285540827777778</v>
      </c>
      <c r="H303" s="14">
        <v>4.4870868222222207</v>
      </c>
      <c r="I303" s="14">
        <v>5.245191816666666</v>
      </c>
      <c r="J303" s="14">
        <v>10.066159777777777</v>
      </c>
      <c r="K303" s="14">
        <v>28.828659627777775</v>
      </c>
      <c r="L303" s="14">
        <v>51.815219444444438</v>
      </c>
      <c r="M303" s="14">
        <v>56.197379388888891</v>
      </c>
      <c r="N303" s="14">
        <v>56.957599388888895</v>
      </c>
      <c r="O303" s="14">
        <v>57.728429388888884</v>
      </c>
      <c r="P303" s="14">
        <v>59.325359388888877</v>
      </c>
      <c r="Q303" s="14">
        <v>64.001999333333345</v>
      </c>
      <c r="R303" s="15">
        <v>76.283879249728884</v>
      </c>
      <c r="S303" s="14">
        <v>49.728179462174438</v>
      </c>
      <c r="T303" s="14">
        <v>49.728179462174438</v>
      </c>
      <c r="U303" s="14">
        <v>49.728179462174438</v>
      </c>
      <c r="V303" s="14">
        <v>49.728179462174438</v>
      </c>
      <c r="W303" s="14">
        <v>49.728179462174438</v>
      </c>
      <c r="X303" s="14">
        <v>49.728179462174438</v>
      </c>
      <c r="Y303" s="14">
        <v>49.728179462174438</v>
      </c>
      <c r="Z303" s="14">
        <v>49.728179462174438</v>
      </c>
      <c r="AA303" s="14">
        <v>49.728179462174438</v>
      </c>
      <c r="AB303" s="14">
        <v>49.728179462174438</v>
      </c>
      <c r="AC303" s="14">
        <v>51.815219444444438</v>
      </c>
      <c r="AD303" s="14">
        <v>56.197379388888891</v>
      </c>
      <c r="AE303" s="14">
        <v>56.957599388888895</v>
      </c>
      <c r="AF303" s="14">
        <v>57.728429388888884</v>
      </c>
      <c r="AG303" s="14">
        <v>59.325359388888877</v>
      </c>
      <c r="AH303" s="14">
        <v>64.001999333333345</v>
      </c>
      <c r="AI303" s="15">
        <v>76.283879249728884</v>
      </c>
      <c r="AJ303" s="14">
        <v>61.155969370752231</v>
      </c>
      <c r="AK303" s="14">
        <v>61.155969370752231</v>
      </c>
      <c r="AL303" s="14">
        <v>61.155969370752231</v>
      </c>
      <c r="AM303" s="14">
        <v>61.155969370752231</v>
      </c>
      <c r="AN303" s="14">
        <v>61.155969370752231</v>
      </c>
      <c r="AO303" s="14">
        <v>61.155969370752231</v>
      </c>
      <c r="AP303" s="14">
        <v>61.155969370752231</v>
      </c>
      <c r="AQ303" s="14">
        <v>61.155969370752231</v>
      </c>
      <c r="AR303" s="14">
        <v>64.001999333333345</v>
      </c>
      <c r="AS303" s="14">
        <v>76.283879249728884</v>
      </c>
    </row>
    <row r="304" spans="1:45" x14ac:dyDescent="0.35">
      <c r="A304" s="16">
        <v>8574.633600000001</v>
      </c>
      <c r="B304" s="14">
        <v>4.1230848277777774</v>
      </c>
      <c r="C304" s="14">
        <v>4.0971918277777775</v>
      </c>
      <c r="D304" s="14">
        <v>4.1058548277777778</v>
      </c>
      <c r="E304" s="14">
        <v>4.1336598277777785</v>
      </c>
      <c r="F304" s="14">
        <v>4.1885828277777764</v>
      </c>
      <c r="G304" s="14">
        <v>4.2852198277777767</v>
      </c>
      <c r="H304" s="14">
        <v>4.482395822222224</v>
      </c>
      <c r="I304" s="14">
        <v>5.2084038166666682</v>
      </c>
      <c r="J304" s="14">
        <v>9.8628987833333337</v>
      </c>
      <c r="K304" s="14">
        <v>28.297269633333332</v>
      </c>
      <c r="L304" s="14">
        <v>51.508499444444446</v>
      </c>
      <c r="M304" s="14">
        <v>56.107599388888879</v>
      </c>
      <c r="N304" s="14">
        <v>56.883869388888883</v>
      </c>
      <c r="O304" s="14">
        <v>57.654759388888884</v>
      </c>
      <c r="P304" s="14">
        <v>59.255999388888895</v>
      </c>
      <c r="Q304" s="14">
        <v>63.945169333333332</v>
      </c>
      <c r="R304" s="15">
        <v>76.223609250210558</v>
      </c>
      <c r="S304" s="14">
        <v>49.708019462335557</v>
      </c>
      <c r="T304" s="14">
        <v>49.708019462335557</v>
      </c>
      <c r="U304" s="14">
        <v>49.708019462335557</v>
      </c>
      <c r="V304" s="14">
        <v>49.708019462335557</v>
      </c>
      <c r="W304" s="14">
        <v>49.708019462335557</v>
      </c>
      <c r="X304" s="14">
        <v>49.708019462335557</v>
      </c>
      <c r="Y304" s="14">
        <v>49.708019462335557</v>
      </c>
      <c r="Z304" s="14">
        <v>49.708019462335557</v>
      </c>
      <c r="AA304" s="14">
        <v>49.708019462335557</v>
      </c>
      <c r="AB304" s="14">
        <v>49.708019462335557</v>
      </c>
      <c r="AC304" s="14">
        <v>51.508499444444446</v>
      </c>
      <c r="AD304" s="14">
        <v>56.107599388888879</v>
      </c>
      <c r="AE304" s="14">
        <v>56.883869388888883</v>
      </c>
      <c r="AF304" s="14">
        <v>57.654759388888884</v>
      </c>
      <c r="AG304" s="14">
        <v>59.255999388888895</v>
      </c>
      <c r="AH304" s="14">
        <v>63.945169333333332</v>
      </c>
      <c r="AI304" s="15">
        <v>76.223609250210558</v>
      </c>
      <c r="AJ304" s="14">
        <v>61.12649937098778</v>
      </c>
      <c r="AK304" s="14">
        <v>61.12649937098778</v>
      </c>
      <c r="AL304" s="14">
        <v>61.12649937098778</v>
      </c>
      <c r="AM304" s="14">
        <v>61.12649937098778</v>
      </c>
      <c r="AN304" s="14">
        <v>61.12649937098778</v>
      </c>
      <c r="AO304" s="14">
        <v>61.12649937098778</v>
      </c>
      <c r="AP304" s="14">
        <v>61.12649937098778</v>
      </c>
      <c r="AQ304" s="14">
        <v>61.12649937098778</v>
      </c>
      <c r="AR304" s="14">
        <v>63.945169333333332</v>
      </c>
      <c r="AS304" s="14">
        <v>76.223609250210558</v>
      </c>
    </row>
    <row r="305" spans="1:45" x14ac:dyDescent="0.35">
      <c r="A305" s="16">
        <v>8612.7335999999996</v>
      </c>
      <c r="B305" s="14">
        <v>4.1228718277777787</v>
      </c>
      <c r="C305" s="14">
        <v>4.0976038277777764</v>
      </c>
      <c r="D305" s="14">
        <v>4.1059748277777786</v>
      </c>
      <c r="E305" s="14">
        <v>4.1337288277777793</v>
      </c>
      <c r="F305" s="14">
        <v>4.1890328277777771</v>
      </c>
      <c r="G305" s="14">
        <v>4.2859068277777759</v>
      </c>
      <c r="H305" s="14">
        <v>4.4793238222222227</v>
      </c>
      <c r="I305" s="14">
        <v>5.1748648166666671</v>
      </c>
      <c r="J305" s="14">
        <v>9.6679527833333339</v>
      </c>
      <c r="K305" s="14">
        <v>27.773739638888888</v>
      </c>
      <c r="L305" s="14">
        <v>51.19682944444444</v>
      </c>
      <c r="M305" s="14">
        <v>56.017359388888885</v>
      </c>
      <c r="N305" s="14">
        <v>56.811239388888893</v>
      </c>
      <c r="O305" s="14">
        <v>57.582129388888887</v>
      </c>
      <c r="P305" s="14">
        <v>59.187709388888884</v>
      </c>
      <c r="Q305" s="14">
        <v>63.889409333333333</v>
      </c>
      <c r="R305" s="15">
        <v>76.164439250683884</v>
      </c>
      <c r="S305" s="14">
        <v>49.66434946268501</v>
      </c>
      <c r="T305" s="14">
        <v>49.66434946268501</v>
      </c>
      <c r="U305" s="14">
        <v>49.66434946268501</v>
      </c>
      <c r="V305" s="14">
        <v>49.66434946268501</v>
      </c>
      <c r="W305" s="14">
        <v>49.66434946268501</v>
      </c>
      <c r="X305" s="14">
        <v>49.66434946268501</v>
      </c>
      <c r="Y305" s="14">
        <v>49.66434946268501</v>
      </c>
      <c r="Z305" s="14">
        <v>49.66434946268501</v>
      </c>
      <c r="AA305" s="14">
        <v>49.66434946268501</v>
      </c>
      <c r="AB305" s="14">
        <v>49.66434946268501</v>
      </c>
      <c r="AC305" s="14">
        <v>51.19682944444444</v>
      </c>
      <c r="AD305" s="14">
        <v>56.017359388888885</v>
      </c>
      <c r="AE305" s="14">
        <v>56.811239388888893</v>
      </c>
      <c r="AF305" s="14">
        <v>57.582129388888887</v>
      </c>
      <c r="AG305" s="14">
        <v>59.187709388888884</v>
      </c>
      <c r="AH305" s="14">
        <v>63.889409333333333</v>
      </c>
      <c r="AI305" s="15">
        <v>76.164439250683884</v>
      </c>
      <c r="AJ305" s="14">
        <v>61.076749371385553</v>
      </c>
      <c r="AK305" s="14">
        <v>61.076749371385553</v>
      </c>
      <c r="AL305" s="14">
        <v>61.076749371385553</v>
      </c>
      <c r="AM305" s="14">
        <v>61.076749371385553</v>
      </c>
      <c r="AN305" s="14">
        <v>61.076749371385553</v>
      </c>
      <c r="AO305" s="14">
        <v>61.076749371385553</v>
      </c>
      <c r="AP305" s="14">
        <v>61.076749371385553</v>
      </c>
      <c r="AQ305" s="14">
        <v>61.076749371385553</v>
      </c>
      <c r="AR305" s="14">
        <v>63.889409333333333</v>
      </c>
      <c r="AS305" s="14">
        <v>76.164439250683884</v>
      </c>
    </row>
    <row r="306" spans="1:45" x14ac:dyDescent="0.35">
      <c r="A306" s="16">
        <v>8650.8335999999999</v>
      </c>
      <c r="B306" s="14">
        <v>4.1227188277777786</v>
      </c>
      <c r="C306" s="14">
        <v>4.0980198277777786</v>
      </c>
      <c r="D306" s="14">
        <v>4.1061658277777759</v>
      </c>
      <c r="E306" s="14">
        <v>4.1338678277777774</v>
      </c>
      <c r="F306" s="14">
        <v>4.189534827777778</v>
      </c>
      <c r="G306" s="14">
        <v>4.2866588277777771</v>
      </c>
      <c r="H306" s="14">
        <v>4.4765508222222214</v>
      </c>
      <c r="I306" s="14">
        <v>5.1430998166666662</v>
      </c>
      <c r="J306" s="14">
        <v>9.4796237833333343</v>
      </c>
      <c r="K306" s="14">
        <v>27.256749644444447</v>
      </c>
      <c r="L306" s="14">
        <v>50.879169444444443</v>
      </c>
      <c r="M306" s="14">
        <v>55.925589388888881</v>
      </c>
      <c r="N306" s="14">
        <v>56.738719388888889</v>
      </c>
      <c r="O306" s="14">
        <v>57.509589388888884</v>
      </c>
      <c r="P306" s="14">
        <v>59.11949938888889</v>
      </c>
      <c r="Q306" s="14">
        <v>63.833809333333342</v>
      </c>
      <c r="R306" s="15">
        <v>76.10549925115555</v>
      </c>
      <c r="S306" s="14">
        <v>49.627809462977226</v>
      </c>
      <c r="T306" s="14">
        <v>49.627809462977226</v>
      </c>
      <c r="U306" s="14">
        <v>49.627809462977226</v>
      </c>
      <c r="V306" s="14">
        <v>49.627809462977226</v>
      </c>
      <c r="W306" s="14">
        <v>49.627809462977226</v>
      </c>
      <c r="X306" s="14">
        <v>49.627809462977226</v>
      </c>
      <c r="Y306" s="14">
        <v>49.627809462977226</v>
      </c>
      <c r="Z306" s="14">
        <v>49.627809462977226</v>
      </c>
      <c r="AA306" s="14">
        <v>49.627809462977226</v>
      </c>
      <c r="AB306" s="14">
        <v>49.627809462977226</v>
      </c>
      <c r="AC306" s="14">
        <v>50.879169444444443</v>
      </c>
      <c r="AD306" s="14">
        <v>55.925589388888881</v>
      </c>
      <c r="AE306" s="14">
        <v>56.738719388888889</v>
      </c>
      <c r="AF306" s="14">
        <v>57.509589388888884</v>
      </c>
      <c r="AG306" s="14">
        <v>59.11949938888889</v>
      </c>
      <c r="AH306" s="14">
        <v>63.833809333333342</v>
      </c>
      <c r="AI306" s="15">
        <v>76.10549925115555</v>
      </c>
      <c r="AJ306" s="14">
        <v>61.030409371756669</v>
      </c>
      <c r="AK306" s="14">
        <v>61.030409371756669</v>
      </c>
      <c r="AL306" s="14">
        <v>61.030409371756669</v>
      </c>
      <c r="AM306" s="14">
        <v>61.030409371756669</v>
      </c>
      <c r="AN306" s="14">
        <v>61.030409371756669</v>
      </c>
      <c r="AO306" s="14">
        <v>61.030409371756669</v>
      </c>
      <c r="AP306" s="14">
        <v>61.030409371756669</v>
      </c>
      <c r="AQ306" s="14">
        <v>61.030409371756669</v>
      </c>
      <c r="AR306" s="14">
        <v>63.833809333333342</v>
      </c>
      <c r="AS306" s="14">
        <v>76.10549925115555</v>
      </c>
    </row>
    <row r="307" spans="1:45" x14ac:dyDescent="0.35">
      <c r="A307" s="16">
        <v>8688.9336000000003</v>
      </c>
      <c r="B307" s="14">
        <v>4.1227918277777791</v>
      </c>
      <c r="C307" s="14">
        <v>4.0984358277777764</v>
      </c>
      <c r="D307" s="14">
        <v>4.1064308277777783</v>
      </c>
      <c r="E307" s="14">
        <v>4.1340788277777758</v>
      </c>
      <c r="F307" s="14">
        <v>4.1900908277777775</v>
      </c>
      <c r="G307" s="14">
        <v>4.2874768277777795</v>
      </c>
      <c r="H307" s="14">
        <v>4.474064822222223</v>
      </c>
      <c r="I307" s="14">
        <v>5.1130298166666677</v>
      </c>
      <c r="J307" s="14">
        <v>9.2977257833333322</v>
      </c>
      <c r="K307" s="14">
        <v>26.74495964444445</v>
      </c>
      <c r="L307" s="14">
        <v>50.555489444444447</v>
      </c>
      <c r="M307" s="14">
        <v>55.832229388888884</v>
      </c>
      <c r="N307" s="14">
        <v>56.666319388888887</v>
      </c>
      <c r="O307" s="14">
        <v>57.437139388888895</v>
      </c>
      <c r="P307" s="14">
        <v>59.05137938888889</v>
      </c>
      <c r="Q307" s="14">
        <v>63.778359333333327</v>
      </c>
      <c r="R307" s="15">
        <v>76.046799251625004</v>
      </c>
      <c r="S307" s="14">
        <v>49.594929463240561</v>
      </c>
      <c r="T307" s="14">
        <v>49.594929463240561</v>
      </c>
      <c r="U307" s="14">
        <v>49.594929463240561</v>
      </c>
      <c r="V307" s="14">
        <v>49.594929463240561</v>
      </c>
      <c r="W307" s="14">
        <v>49.594929463240561</v>
      </c>
      <c r="X307" s="14">
        <v>49.594929463240561</v>
      </c>
      <c r="Y307" s="14">
        <v>49.594929463240561</v>
      </c>
      <c r="Z307" s="14">
        <v>49.594929463240561</v>
      </c>
      <c r="AA307" s="14">
        <v>49.594929463240561</v>
      </c>
      <c r="AB307" s="14">
        <v>49.594929463240561</v>
      </c>
      <c r="AC307" s="14">
        <v>50.555489444444447</v>
      </c>
      <c r="AD307" s="14">
        <v>55.832229388888884</v>
      </c>
      <c r="AE307" s="14">
        <v>56.666319388888887</v>
      </c>
      <c r="AF307" s="14">
        <v>57.437139388888895</v>
      </c>
      <c r="AG307" s="14">
        <v>59.05137938888889</v>
      </c>
      <c r="AH307" s="14">
        <v>63.778359333333327</v>
      </c>
      <c r="AI307" s="15">
        <v>76.046799251625004</v>
      </c>
      <c r="AJ307" s="14">
        <v>60.985799372113334</v>
      </c>
      <c r="AK307" s="14">
        <v>60.985799372113334</v>
      </c>
      <c r="AL307" s="14">
        <v>60.985799372113334</v>
      </c>
      <c r="AM307" s="14">
        <v>60.985799372113334</v>
      </c>
      <c r="AN307" s="14">
        <v>60.985799372113334</v>
      </c>
      <c r="AO307" s="14">
        <v>60.985799372113334</v>
      </c>
      <c r="AP307" s="14">
        <v>60.985799372113334</v>
      </c>
      <c r="AQ307" s="14">
        <v>60.985799372113334</v>
      </c>
      <c r="AR307" s="14">
        <v>63.778359333333327</v>
      </c>
      <c r="AS307" s="14">
        <v>76.046799251625004</v>
      </c>
    </row>
    <row r="308" spans="1:45" x14ac:dyDescent="0.35">
      <c r="A308" s="16">
        <v>8727.0336000000007</v>
      </c>
      <c r="B308" s="14">
        <v>4.1219638277777788</v>
      </c>
      <c r="C308" s="14">
        <v>4.0988208277777796</v>
      </c>
      <c r="D308" s="14">
        <v>4.1067838277777788</v>
      </c>
      <c r="E308" s="14">
        <v>4.1344038277777768</v>
      </c>
      <c r="F308" s="14">
        <v>4.1907458277777785</v>
      </c>
      <c r="G308" s="14">
        <v>4.2884088277777757</v>
      </c>
      <c r="H308" s="14">
        <v>4.4719008222222216</v>
      </c>
      <c r="I308" s="14">
        <v>5.0846278166666652</v>
      </c>
      <c r="J308" s="14">
        <v>9.1221247888888897</v>
      </c>
      <c r="K308" s="14">
        <v>26.239379650000004</v>
      </c>
      <c r="L308" s="14">
        <v>50.225829444444443</v>
      </c>
      <c r="M308" s="14">
        <v>55.737289388888897</v>
      </c>
      <c r="N308" s="14">
        <v>56.594079388888886</v>
      </c>
      <c r="O308" s="14">
        <v>57.36481938888889</v>
      </c>
      <c r="P308" s="14">
        <v>58.983399388888898</v>
      </c>
      <c r="Q308" s="14">
        <v>63.723119333333329</v>
      </c>
      <c r="R308" s="15">
        <v>75.988409252092225</v>
      </c>
      <c r="S308" s="14">
        <v>49.551359463588888</v>
      </c>
      <c r="T308" s="14">
        <v>49.551359463588888</v>
      </c>
      <c r="U308" s="14">
        <v>49.551359463588888</v>
      </c>
      <c r="V308" s="14">
        <v>49.551359463588888</v>
      </c>
      <c r="W308" s="14">
        <v>49.551359463588888</v>
      </c>
      <c r="X308" s="14">
        <v>49.551359463588888</v>
      </c>
      <c r="Y308" s="14">
        <v>49.551359463588888</v>
      </c>
      <c r="Z308" s="14">
        <v>49.551359463588888</v>
      </c>
      <c r="AA308" s="14">
        <v>49.551359463588888</v>
      </c>
      <c r="AB308" s="14">
        <v>49.551359463588888</v>
      </c>
      <c r="AC308" s="14">
        <v>50.225829444444443</v>
      </c>
      <c r="AD308" s="14">
        <v>55.737289388888897</v>
      </c>
      <c r="AE308" s="14">
        <v>56.594079388888886</v>
      </c>
      <c r="AF308" s="14">
        <v>57.36481938888889</v>
      </c>
      <c r="AG308" s="14">
        <v>58.983399388888898</v>
      </c>
      <c r="AH308" s="14">
        <v>63.723119333333329</v>
      </c>
      <c r="AI308" s="15">
        <v>75.988409252092225</v>
      </c>
      <c r="AJ308" s="14">
        <v>60.936599372506663</v>
      </c>
      <c r="AK308" s="14">
        <v>60.936599372506663</v>
      </c>
      <c r="AL308" s="14">
        <v>60.936599372506663</v>
      </c>
      <c r="AM308" s="14">
        <v>60.936599372506663</v>
      </c>
      <c r="AN308" s="14">
        <v>60.936599372506663</v>
      </c>
      <c r="AO308" s="14">
        <v>60.936599372506663</v>
      </c>
      <c r="AP308" s="14">
        <v>60.936599372506663</v>
      </c>
      <c r="AQ308" s="14">
        <v>60.936599372506663</v>
      </c>
      <c r="AR308" s="14">
        <v>63.723119333333329</v>
      </c>
      <c r="AS308" s="14">
        <v>75.988409252092225</v>
      </c>
    </row>
    <row r="309" spans="1:45" x14ac:dyDescent="0.35">
      <c r="A309" s="16">
        <v>8765.1336000000301</v>
      </c>
      <c r="B309" s="14">
        <v>4.1214998277777761</v>
      </c>
      <c r="C309" s="14">
        <v>4.0991948277777759</v>
      </c>
      <c r="D309" s="14">
        <v>4.10723082777778</v>
      </c>
      <c r="E309" s="14">
        <v>4.1348428277777787</v>
      </c>
      <c r="F309" s="14">
        <v>4.1915018277777785</v>
      </c>
      <c r="G309" s="14">
        <v>4.2894538277777787</v>
      </c>
      <c r="H309" s="14">
        <v>4.4700478222222237</v>
      </c>
      <c r="I309" s="14">
        <v>5.0578238222222218</v>
      </c>
      <c r="J309" s="14">
        <v>8.9526217888888873</v>
      </c>
      <c r="K309" s="14">
        <v>25.741129655555554</v>
      </c>
      <c r="L309" s="14">
        <v>49.890179444444442</v>
      </c>
      <c r="M309" s="14">
        <v>55.640699388888883</v>
      </c>
      <c r="N309" s="14">
        <v>56.521989388888883</v>
      </c>
      <c r="O309" s="14">
        <v>57.2926593888889</v>
      </c>
      <c r="P309" s="14">
        <v>58.915559388888887</v>
      </c>
      <c r="Q309" s="14">
        <v>63.66809933333333</v>
      </c>
      <c r="R309" s="15">
        <v>75.930309252557237</v>
      </c>
      <c r="S309" s="14">
        <v>49.51570946387389</v>
      </c>
      <c r="T309" s="14">
        <v>49.51570946387389</v>
      </c>
      <c r="U309" s="14">
        <v>49.51570946387389</v>
      </c>
      <c r="V309" s="14">
        <v>49.51570946387389</v>
      </c>
      <c r="W309" s="14">
        <v>49.51570946387389</v>
      </c>
      <c r="X309" s="14">
        <v>49.51570946387389</v>
      </c>
      <c r="Y309" s="14">
        <v>49.51570946387389</v>
      </c>
      <c r="Z309" s="14">
        <v>49.51570946387389</v>
      </c>
      <c r="AA309" s="14">
        <v>49.51570946387389</v>
      </c>
      <c r="AB309" s="14">
        <v>49.51570946387389</v>
      </c>
      <c r="AC309" s="14">
        <v>49.890179444444442</v>
      </c>
      <c r="AD309" s="14">
        <v>55.640699388888883</v>
      </c>
      <c r="AE309" s="14">
        <v>56.521989388888883</v>
      </c>
      <c r="AF309" s="14">
        <v>57.2926593888889</v>
      </c>
      <c r="AG309" s="14">
        <v>58.915559388888887</v>
      </c>
      <c r="AH309" s="14">
        <v>63.66809933333333</v>
      </c>
      <c r="AI309" s="15">
        <v>75.930309252557237</v>
      </c>
      <c r="AJ309" s="14">
        <v>60.891649372866674</v>
      </c>
      <c r="AK309" s="14">
        <v>60.891649372866674</v>
      </c>
      <c r="AL309" s="14">
        <v>60.891649372866674</v>
      </c>
      <c r="AM309" s="14">
        <v>60.891649372866674</v>
      </c>
      <c r="AN309" s="14">
        <v>60.891649372866674</v>
      </c>
      <c r="AO309" s="14">
        <v>60.891649372866674</v>
      </c>
      <c r="AP309" s="14">
        <v>60.891649372866674</v>
      </c>
      <c r="AQ309" s="14">
        <v>60.891649372866674</v>
      </c>
      <c r="AR309" s="14">
        <v>63.66809933333333</v>
      </c>
      <c r="AS309" s="14">
        <v>75.930309252557237</v>
      </c>
    </row>
    <row r="310" spans="1:45" x14ac:dyDescent="0.35">
      <c r="A310" s="16">
        <v>8803.2335999999996</v>
      </c>
      <c r="B310" s="14">
        <v>4.1209218277777797</v>
      </c>
      <c r="C310" s="14">
        <v>4.0993978277777758</v>
      </c>
      <c r="D310" s="14">
        <v>4.1075998277777774</v>
      </c>
      <c r="E310" s="14">
        <v>4.1352298277777777</v>
      </c>
      <c r="F310" s="14">
        <v>4.1921938277777766</v>
      </c>
      <c r="G310" s="14">
        <v>4.2904468277777772</v>
      </c>
      <c r="H310" s="14">
        <v>4.4683338222222231</v>
      </c>
      <c r="I310" s="14">
        <v>5.0323878222222227</v>
      </c>
      <c r="J310" s="14">
        <v>8.7883957888888915</v>
      </c>
      <c r="K310" s="14">
        <v>25.249999655555555</v>
      </c>
      <c r="L310" s="14">
        <v>49.547679444444448</v>
      </c>
      <c r="M310" s="14">
        <v>55.542189388888893</v>
      </c>
      <c r="N310" s="14">
        <v>56.449669388888879</v>
      </c>
      <c r="O310" s="14">
        <v>57.220419388888899</v>
      </c>
      <c r="P310" s="14">
        <v>58.84764938888889</v>
      </c>
      <c r="Q310" s="14">
        <v>63.613069333333343</v>
      </c>
      <c r="R310" s="15">
        <v>75.872279253021659</v>
      </c>
      <c r="S310" s="14">
        <v>49.479959464160004</v>
      </c>
      <c r="T310" s="14">
        <v>49.479959464160004</v>
      </c>
      <c r="U310" s="14">
        <v>49.479959464160004</v>
      </c>
      <c r="V310" s="14">
        <v>49.479959464160004</v>
      </c>
      <c r="W310" s="14">
        <v>49.479959464160004</v>
      </c>
      <c r="X310" s="14">
        <v>49.479959464160004</v>
      </c>
      <c r="Y310" s="14">
        <v>49.479959464160004</v>
      </c>
      <c r="Z310" s="14">
        <v>49.479959464160004</v>
      </c>
      <c r="AA310" s="14">
        <v>49.479959464160004</v>
      </c>
      <c r="AB310" s="14">
        <v>49.479959464160004</v>
      </c>
      <c r="AC310" s="14">
        <v>49.547679444444448</v>
      </c>
      <c r="AD310" s="14">
        <v>55.542189388888893</v>
      </c>
      <c r="AE310" s="14">
        <v>56.449669388888879</v>
      </c>
      <c r="AF310" s="14">
        <v>57.220419388888899</v>
      </c>
      <c r="AG310" s="14">
        <v>58.84764938888889</v>
      </c>
      <c r="AH310" s="14">
        <v>63.613069333333343</v>
      </c>
      <c r="AI310" s="15">
        <v>75.872279253021659</v>
      </c>
      <c r="AJ310" s="14">
        <v>60.84627937322945</v>
      </c>
      <c r="AK310" s="14">
        <v>60.84627937322945</v>
      </c>
      <c r="AL310" s="14">
        <v>60.84627937322945</v>
      </c>
      <c r="AM310" s="14">
        <v>60.84627937322945</v>
      </c>
      <c r="AN310" s="14">
        <v>60.84627937322945</v>
      </c>
      <c r="AO310" s="14">
        <v>60.84627937322945</v>
      </c>
      <c r="AP310" s="14">
        <v>60.84627937322945</v>
      </c>
      <c r="AQ310" s="14">
        <v>60.84627937322945</v>
      </c>
      <c r="AR310" s="14">
        <v>63.613069333333343</v>
      </c>
      <c r="AS310" s="14">
        <v>75.872279253021659</v>
      </c>
    </row>
    <row r="311" spans="1:45" x14ac:dyDescent="0.35">
      <c r="A311" s="16">
        <v>8841.3336000000309</v>
      </c>
      <c r="B311" s="14">
        <v>4.1206268277777784</v>
      </c>
      <c r="C311" s="14">
        <v>4.0994608277777784</v>
      </c>
      <c r="D311" s="14">
        <v>4.1079008277777778</v>
      </c>
      <c r="E311" s="14">
        <v>4.1355658277777767</v>
      </c>
      <c r="F311" s="14">
        <v>4.1928238277777767</v>
      </c>
      <c r="G311" s="14">
        <v>4.2913878277777764</v>
      </c>
      <c r="H311" s="14">
        <v>4.4667478222222217</v>
      </c>
      <c r="I311" s="14">
        <v>5.0082518222222205</v>
      </c>
      <c r="J311" s="14">
        <v>8.6295977888888906</v>
      </c>
      <c r="K311" s="14">
        <v>24.765649661111112</v>
      </c>
      <c r="L311" s="14">
        <v>49.198509444444447</v>
      </c>
      <c r="M311" s="14">
        <v>55.441689388888889</v>
      </c>
      <c r="N311" s="14">
        <v>56.377149388888895</v>
      </c>
      <c r="O311" s="14">
        <v>57.148119388888894</v>
      </c>
      <c r="P311" s="14">
        <v>58.779629388888878</v>
      </c>
      <c r="Q311" s="14">
        <v>63.55803933333334</v>
      </c>
      <c r="R311" s="15">
        <v>75.814319253484996</v>
      </c>
      <c r="S311" s="14">
        <v>49.446959464423884</v>
      </c>
      <c r="T311" s="14">
        <v>49.446959464423884</v>
      </c>
      <c r="U311" s="14">
        <v>49.446959464423884</v>
      </c>
      <c r="V311" s="14">
        <v>49.446959464423884</v>
      </c>
      <c r="W311" s="14">
        <v>49.446959464423884</v>
      </c>
      <c r="X311" s="14">
        <v>49.446959464423884</v>
      </c>
      <c r="Y311" s="14">
        <v>49.446959464423884</v>
      </c>
      <c r="Z311" s="14">
        <v>49.446959464423884</v>
      </c>
      <c r="AA311" s="14">
        <v>49.446959464423884</v>
      </c>
      <c r="AB311" s="14">
        <v>49.446959464423884</v>
      </c>
      <c r="AC311" s="14">
        <v>49.446959464423884</v>
      </c>
      <c r="AD311" s="14">
        <v>55.441689388888889</v>
      </c>
      <c r="AE311" s="14">
        <v>56.377149388888895</v>
      </c>
      <c r="AF311" s="14">
        <v>57.148119388888894</v>
      </c>
      <c r="AG311" s="14">
        <v>58.779629388888878</v>
      </c>
      <c r="AH311" s="14">
        <v>63.55803933333334</v>
      </c>
      <c r="AI311" s="15">
        <v>75.814319253484996</v>
      </c>
      <c r="AJ311" s="14">
        <v>60.802369373580554</v>
      </c>
      <c r="AK311" s="14">
        <v>60.802369373580554</v>
      </c>
      <c r="AL311" s="14">
        <v>60.802369373580554</v>
      </c>
      <c r="AM311" s="14">
        <v>60.802369373580554</v>
      </c>
      <c r="AN311" s="14">
        <v>60.802369373580554</v>
      </c>
      <c r="AO311" s="14">
        <v>60.802369373580554</v>
      </c>
      <c r="AP311" s="14">
        <v>60.802369373580554</v>
      </c>
      <c r="AQ311" s="14">
        <v>60.802369373580554</v>
      </c>
      <c r="AR311" s="14">
        <v>63.55803933333334</v>
      </c>
      <c r="AS311" s="14">
        <v>75.814319253484996</v>
      </c>
    </row>
    <row r="312" spans="1:45" x14ac:dyDescent="0.35">
      <c r="A312" s="16">
        <v>8879.4336000000003</v>
      </c>
      <c r="B312" s="14">
        <v>4.1201738277777782</v>
      </c>
      <c r="C312" s="14">
        <v>4.0993338277777784</v>
      </c>
      <c r="D312" s="14">
        <v>4.1080778277777776</v>
      </c>
      <c r="E312" s="14">
        <v>4.135795827777776</v>
      </c>
      <c r="F312" s="14">
        <v>4.1933368277777756</v>
      </c>
      <c r="G312" s="14">
        <v>4.2922218277777766</v>
      </c>
      <c r="H312" s="14">
        <v>4.465225822222223</v>
      </c>
      <c r="I312" s="14">
        <v>4.9852998222222231</v>
      </c>
      <c r="J312" s="14">
        <v>8.4763937944444443</v>
      </c>
      <c r="K312" s="14">
        <v>24.286569666666665</v>
      </c>
      <c r="L312" s="14">
        <v>48.843559444444445</v>
      </c>
      <c r="M312" s="14">
        <v>55.339069444444441</v>
      </c>
      <c r="N312" s="14">
        <v>56.304509388888896</v>
      </c>
      <c r="O312" s="14">
        <v>57.075679388888894</v>
      </c>
      <c r="P312" s="14">
        <v>58.711259388888884</v>
      </c>
      <c r="Q312" s="14">
        <v>63.502929333333341</v>
      </c>
      <c r="R312" s="15">
        <v>75.75633925394888</v>
      </c>
      <c r="S312" s="14">
        <v>49.415489464676114</v>
      </c>
      <c r="T312" s="14">
        <v>49.415489464676114</v>
      </c>
      <c r="U312" s="14">
        <v>49.415489464676114</v>
      </c>
      <c r="V312" s="14">
        <v>49.415489464676114</v>
      </c>
      <c r="W312" s="14">
        <v>49.415489464676114</v>
      </c>
      <c r="X312" s="14">
        <v>49.415489464676114</v>
      </c>
      <c r="Y312" s="14">
        <v>49.415489464676114</v>
      </c>
      <c r="Z312" s="14">
        <v>49.415489464676114</v>
      </c>
      <c r="AA312" s="14">
        <v>49.415489464676114</v>
      </c>
      <c r="AB312" s="14">
        <v>49.415489464676114</v>
      </c>
      <c r="AC312" s="14">
        <v>49.415489464676114</v>
      </c>
      <c r="AD312" s="14">
        <v>55.339069444444441</v>
      </c>
      <c r="AE312" s="14">
        <v>56.304509388888896</v>
      </c>
      <c r="AF312" s="14">
        <v>57.075679388888894</v>
      </c>
      <c r="AG312" s="14">
        <v>58.711259388888884</v>
      </c>
      <c r="AH312" s="14">
        <v>63.502929333333341</v>
      </c>
      <c r="AI312" s="15">
        <v>75.75633925394888</v>
      </c>
      <c r="AJ312" s="14">
        <v>60.75829937393334</v>
      </c>
      <c r="AK312" s="14">
        <v>60.75829937393334</v>
      </c>
      <c r="AL312" s="14">
        <v>60.75829937393334</v>
      </c>
      <c r="AM312" s="14">
        <v>60.75829937393334</v>
      </c>
      <c r="AN312" s="14">
        <v>60.75829937393334</v>
      </c>
      <c r="AO312" s="14">
        <v>60.75829937393334</v>
      </c>
      <c r="AP312" s="14">
        <v>60.75829937393334</v>
      </c>
      <c r="AQ312" s="14">
        <v>60.75829937393334</v>
      </c>
      <c r="AR312" s="14">
        <v>63.502929333333341</v>
      </c>
      <c r="AS312" s="14">
        <v>75.75633925394888</v>
      </c>
    </row>
    <row r="313" spans="1:45" x14ac:dyDescent="0.35">
      <c r="A313" s="16">
        <v>8917.5336000000298</v>
      </c>
      <c r="B313" s="14">
        <v>4.1200648277777789</v>
      </c>
      <c r="C313" s="14">
        <v>4.0990558277777787</v>
      </c>
      <c r="D313" s="14">
        <v>4.108144827777779</v>
      </c>
      <c r="E313" s="14">
        <v>4.1359238277777761</v>
      </c>
      <c r="F313" s="14">
        <v>4.193739827777776</v>
      </c>
      <c r="G313" s="14">
        <v>4.292948827777777</v>
      </c>
      <c r="H313" s="14">
        <v>4.4637608222222234</v>
      </c>
      <c r="I313" s="14">
        <v>4.9634718222222238</v>
      </c>
      <c r="J313" s="14">
        <v>8.3286107944444439</v>
      </c>
      <c r="K313" s="14">
        <v>23.815049672222226</v>
      </c>
      <c r="L313" s="14">
        <v>48.482869444444447</v>
      </c>
      <c r="M313" s="14">
        <v>55.234259444444454</v>
      </c>
      <c r="N313" s="14">
        <v>56.231759388888889</v>
      </c>
      <c r="O313" s="14">
        <v>57.003099388888891</v>
      </c>
      <c r="P313" s="14">
        <v>58.642629388888885</v>
      </c>
      <c r="Q313" s="14">
        <v>63.447739333333338</v>
      </c>
      <c r="R313" s="15">
        <v>75.698339254412787</v>
      </c>
      <c r="S313" s="14">
        <v>49.39899946480778</v>
      </c>
      <c r="T313" s="14">
        <v>49.39899946480778</v>
      </c>
      <c r="U313" s="14">
        <v>49.39899946480778</v>
      </c>
      <c r="V313" s="14">
        <v>49.39899946480778</v>
      </c>
      <c r="W313" s="14">
        <v>49.39899946480778</v>
      </c>
      <c r="X313" s="14">
        <v>49.39899946480778</v>
      </c>
      <c r="Y313" s="14">
        <v>49.39899946480778</v>
      </c>
      <c r="Z313" s="14">
        <v>49.39899946480778</v>
      </c>
      <c r="AA313" s="14">
        <v>49.39899946480778</v>
      </c>
      <c r="AB313" s="14">
        <v>49.39899946480778</v>
      </c>
      <c r="AC313" s="14">
        <v>49.39899946480778</v>
      </c>
      <c r="AD313" s="14">
        <v>55.234259444444454</v>
      </c>
      <c r="AE313" s="14">
        <v>56.231759388888889</v>
      </c>
      <c r="AF313" s="14">
        <v>57.003099388888891</v>
      </c>
      <c r="AG313" s="14">
        <v>58.642629388888885</v>
      </c>
      <c r="AH313" s="14">
        <v>63.447739333333338</v>
      </c>
      <c r="AI313" s="15">
        <v>75.698339254412787</v>
      </c>
      <c r="AJ313" s="14">
        <v>60.725859374192773</v>
      </c>
      <c r="AK313" s="14">
        <v>60.725859374192773</v>
      </c>
      <c r="AL313" s="14">
        <v>60.725859374192773</v>
      </c>
      <c r="AM313" s="14">
        <v>60.725859374192773</v>
      </c>
      <c r="AN313" s="14">
        <v>60.725859374192773</v>
      </c>
      <c r="AO313" s="14">
        <v>60.725859374192773</v>
      </c>
      <c r="AP313" s="14">
        <v>60.725859374192773</v>
      </c>
      <c r="AQ313" s="14">
        <v>60.725859374192773</v>
      </c>
      <c r="AR313" s="14">
        <v>63.447739333333338</v>
      </c>
      <c r="AS313" s="14">
        <v>75.698339254412787</v>
      </c>
    </row>
    <row r="314" spans="1:45" x14ac:dyDescent="0.35">
      <c r="A314" s="16">
        <v>8955.6336000000301</v>
      </c>
      <c r="B314" s="14">
        <v>4.1191998277777762</v>
      </c>
      <c r="C314" s="14">
        <v>4.0989638277777765</v>
      </c>
      <c r="D314" s="14">
        <v>4.1084668277777761</v>
      </c>
      <c r="E314" s="14">
        <v>4.1363348277777785</v>
      </c>
      <c r="F314" s="14">
        <v>4.1944208277777761</v>
      </c>
      <c r="G314" s="14">
        <v>4.2939628277777766</v>
      </c>
      <c r="H314" s="14">
        <v>4.4627308222222224</v>
      </c>
      <c r="I314" s="14">
        <v>4.9430978222222226</v>
      </c>
      <c r="J314" s="14">
        <v>8.1864707944444444</v>
      </c>
      <c r="K314" s="14">
        <v>23.351479672222222</v>
      </c>
      <c r="L314" s="14">
        <v>48.116949500000004</v>
      </c>
      <c r="M314" s="14">
        <v>55.127699444444453</v>
      </c>
      <c r="N314" s="14">
        <v>56.159389388888883</v>
      </c>
      <c r="O314" s="14">
        <v>56.930889388888886</v>
      </c>
      <c r="P314" s="14">
        <v>58.57436938888889</v>
      </c>
      <c r="Q314" s="14">
        <v>63.392999333333336</v>
      </c>
      <c r="R314" s="15">
        <v>75.640889254872775</v>
      </c>
      <c r="S314" s="14">
        <v>49.328869465368889</v>
      </c>
      <c r="T314" s="14">
        <v>49.328869465368889</v>
      </c>
      <c r="U314" s="14">
        <v>49.328869465368889</v>
      </c>
      <c r="V314" s="14">
        <v>49.328869465368889</v>
      </c>
      <c r="W314" s="14">
        <v>49.328869465368889</v>
      </c>
      <c r="X314" s="14">
        <v>49.328869465368889</v>
      </c>
      <c r="Y314" s="14">
        <v>49.328869465368889</v>
      </c>
      <c r="Z314" s="14">
        <v>49.328869465368889</v>
      </c>
      <c r="AA314" s="14">
        <v>49.328869465368889</v>
      </c>
      <c r="AB314" s="14">
        <v>49.328869465368889</v>
      </c>
      <c r="AC314" s="14">
        <v>49.328869465368889</v>
      </c>
      <c r="AD314" s="14">
        <v>55.127699444444453</v>
      </c>
      <c r="AE314" s="14">
        <v>56.159389388888883</v>
      </c>
      <c r="AF314" s="14">
        <v>56.930889388888886</v>
      </c>
      <c r="AG314" s="14">
        <v>58.57436938888889</v>
      </c>
      <c r="AH314" s="14">
        <v>63.392999333333336</v>
      </c>
      <c r="AI314" s="15">
        <v>75.640889254872775</v>
      </c>
      <c r="AJ314" s="14">
        <v>60.659999374720002</v>
      </c>
      <c r="AK314" s="14">
        <v>60.659999374720002</v>
      </c>
      <c r="AL314" s="14">
        <v>60.659999374720002</v>
      </c>
      <c r="AM314" s="14">
        <v>60.659999374720002</v>
      </c>
      <c r="AN314" s="14">
        <v>60.659999374720002</v>
      </c>
      <c r="AO314" s="14">
        <v>60.659999374720002</v>
      </c>
      <c r="AP314" s="14">
        <v>60.659999374720002</v>
      </c>
      <c r="AQ314" s="14">
        <v>60.659999374720002</v>
      </c>
      <c r="AR314" s="14">
        <v>63.392999333333336</v>
      </c>
      <c r="AS314" s="14">
        <v>75.640889254872775</v>
      </c>
    </row>
    <row r="315" spans="1:45" x14ac:dyDescent="0.35">
      <c r="A315" s="16">
        <v>8993.7336000000305</v>
      </c>
      <c r="B315" s="14">
        <v>4.1183668277777761</v>
      </c>
      <c r="C315" s="14">
        <v>4.0990478277777793</v>
      </c>
      <c r="D315" s="14">
        <v>4.1090308277777785</v>
      </c>
      <c r="E315" s="14">
        <v>4.1370248277777772</v>
      </c>
      <c r="F315" s="14">
        <v>4.1953728277777778</v>
      </c>
      <c r="G315" s="14">
        <v>4.2952628277777789</v>
      </c>
      <c r="H315" s="14">
        <v>4.4621288222222217</v>
      </c>
      <c r="I315" s="14">
        <v>4.9241198222222238</v>
      </c>
      <c r="J315" s="14">
        <v>8.0498057944444437</v>
      </c>
      <c r="K315" s="14">
        <v>22.89581967777778</v>
      </c>
      <c r="L315" s="14">
        <v>47.745819500000003</v>
      </c>
      <c r="M315" s="14">
        <v>55.019309444444453</v>
      </c>
      <c r="N315" s="14">
        <v>56.087419388888897</v>
      </c>
      <c r="O315" s="14">
        <v>56.859049388888884</v>
      </c>
      <c r="P315" s="14">
        <v>58.506499388888898</v>
      </c>
      <c r="Q315" s="14">
        <v>63.338709333333327</v>
      </c>
      <c r="R315" s="15">
        <v>75.583999255327782</v>
      </c>
      <c r="S315" s="14">
        <v>49.293209465653888</v>
      </c>
      <c r="T315" s="14">
        <v>49.293209465653888</v>
      </c>
      <c r="U315" s="14">
        <v>49.293209465653888</v>
      </c>
      <c r="V315" s="14">
        <v>49.293209465653888</v>
      </c>
      <c r="W315" s="14">
        <v>49.293209465653888</v>
      </c>
      <c r="X315" s="14">
        <v>49.293209465653888</v>
      </c>
      <c r="Y315" s="14">
        <v>49.293209465653888</v>
      </c>
      <c r="Z315" s="14">
        <v>49.293209465653888</v>
      </c>
      <c r="AA315" s="14">
        <v>49.293209465653888</v>
      </c>
      <c r="AB315" s="14">
        <v>49.293209465653888</v>
      </c>
      <c r="AC315" s="14">
        <v>49.293209465653888</v>
      </c>
      <c r="AD315" s="14">
        <v>55.019309444444453</v>
      </c>
      <c r="AE315" s="14">
        <v>56.087419388888897</v>
      </c>
      <c r="AF315" s="14">
        <v>56.859049388888884</v>
      </c>
      <c r="AG315" s="14">
        <v>58.506499388888898</v>
      </c>
      <c r="AH315" s="14">
        <v>63.338709333333327</v>
      </c>
      <c r="AI315" s="15">
        <v>75.583999255327782</v>
      </c>
      <c r="AJ315" s="14">
        <v>60.615729375073897</v>
      </c>
      <c r="AK315" s="14">
        <v>60.615729375073897</v>
      </c>
      <c r="AL315" s="14">
        <v>60.615729375073897</v>
      </c>
      <c r="AM315" s="14">
        <v>60.615729375073897</v>
      </c>
      <c r="AN315" s="14">
        <v>60.615729375073897</v>
      </c>
      <c r="AO315" s="14">
        <v>60.615729375073897</v>
      </c>
      <c r="AP315" s="14">
        <v>60.615729375073897</v>
      </c>
      <c r="AQ315" s="14">
        <v>60.615729375073897</v>
      </c>
      <c r="AR315" s="14">
        <v>63.338709333333327</v>
      </c>
      <c r="AS315" s="14">
        <v>75.583999255327782</v>
      </c>
    </row>
    <row r="316" spans="1:45" x14ac:dyDescent="0.35">
      <c r="A316" s="16">
        <v>9031.8336000000309</v>
      </c>
      <c r="B316" s="14">
        <v>4.1172388277777792</v>
      </c>
      <c r="C316" s="14">
        <v>4.0990548277777785</v>
      </c>
      <c r="D316" s="14">
        <v>4.1095838277777794</v>
      </c>
      <c r="E316" s="14">
        <v>4.1377538277777779</v>
      </c>
      <c r="F316" s="14">
        <v>4.1963658277777762</v>
      </c>
      <c r="G316" s="14">
        <v>4.2966088277777779</v>
      </c>
      <c r="H316" s="14">
        <v>4.4617138222222232</v>
      </c>
      <c r="I316" s="14">
        <v>4.9062528222222213</v>
      </c>
      <c r="J316" s="14">
        <v>7.9182207944444452</v>
      </c>
      <c r="K316" s="14">
        <v>22.447269677777783</v>
      </c>
      <c r="L316" s="14">
        <v>47.368859499999999</v>
      </c>
      <c r="M316" s="14">
        <v>54.908719444444436</v>
      </c>
      <c r="N316" s="14">
        <v>56.01551938888889</v>
      </c>
      <c r="O316" s="14">
        <v>56.787279388888884</v>
      </c>
      <c r="P316" s="14">
        <v>58.438689388888889</v>
      </c>
      <c r="Q316" s="14">
        <v>63.284519333333328</v>
      </c>
      <c r="R316" s="15">
        <v>75.52730925578112</v>
      </c>
      <c r="S316" s="14">
        <v>49.257329465941112</v>
      </c>
      <c r="T316" s="14">
        <v>49.257329465941112</v>
      </c>
      <c r="U316" s="14">
        <v>49.257329465941112</v>
      </c>
      <c r="V316" s="14">
        <v>49.257329465941112</v>
      </c>
      <c r="W316" s="14">
        <v>49.257329465941112</v>
      </c>
      <c r="X316" s="14">
        <v>49.257329465941112</v>
      </c>
      <c r="Y316" s="14">
        <v>49.257329465941112</v>
      </c>
      <c r="Z316" s="14">
        <v>49.257329465941112</v>
      </c>
      <c r="AA316" s="14">
        <v>49.257329465941112</v>
      </c>
      <c r="AB316" s="14">
        <v>49.257329465941112</v>
      </c>
      <c r="AC316" s="14">
        <v>49.257329465941112</v>
      </c>
      <c r="AD316" s="14">
        <v>54.908719444444436</v>
      </c>
      <c r="AE316" s="14">
        <v>56.01551938888889</v>
      </c>
      <c r="AF316" s="14">
        <v>56.787279388888884</v>
      </c>
      <c r="AG316" s="14">
        <v>58.438689388888889</v>
      </c>
      <c r="AH316" s="14">
        <v>63.284519333333328</v>
      </c>
      <c r="AI316" s="15">
        <v>75.52730925578112</v>
      </c>
      <c r="AJ316" s="14">
        <v>60.571139375430548</v>
      </c>
      <c r="AK316" s="14">
        <v>60.571139375430548</v>
      </c>
      <c r="AL316" s="14">
        <v>60.571139375430548</v>
      </c>
      <c r="AM316" s="14">
        <v>60.571139375430548</v>
      </c>
      <c r="AN316" s="14">
        <v>60.571139375430548</v>
      </c>
      <c r="AO316" s="14">
        <v>60.571139375430548</v>
      </c>
      <c r="AP316" s="14">
        <v>60.571139375430548</v>
      </c>
      <c r="AQ316" s="14">
        <v>60.571139375430548</v>
      </c>
      <c r="AR316" s="14">
        <v>63.284519333333328</v>
      </c>
      <c r="AS316" s="14">
        <v>75.52730925578112</v>
      </c>
    </row>
    <row r="317" spans="1:45" x14ac:dyDescent="0.35">
      <c r="A317" s="16">
        <v>9069.9336000000312</v>
      </c>
      <c r="B317" s="14">
        <v>4.116303827777779</v>
      </c>
      <c r="C317" s="14">
        <v>4.099006827777778</v>
      </c>
      <c r="D317" s="14">
        <v>4.1101278277777773</v>
      </c>
      <c r="E317" s="14">
        <v>4.1385188277777765</v>
      </c>
      <c r="F317" s="14">
        <v>4.197399827777776</v>
      </c>
      <c r="G317" s="14">
        <v>4.2979998277777769</v>
      </c>
      <c r="H317" s="14">
        <v>4.4614788222222206</v>
      </c>
      <c r="I317" s="14">
        <v>4.8894468222222223</v>
      </c>
      <c r="J317" s="14">
        <v>7.7915587999999998</v>
      </c>
      <c r="K317" s="14">
        <v>22.004859683333329</v>
      </c>
      <c r="L317" s="14">
        <v>46.985539499999994</v>
      </c>
      <c r="M317" s="14">
        <v>54.795869444444442</v>
      </c>
      <c r="N317" s="14">
        <v>55.943689388888885</v>
      </c>
      <c r="O317" s="14">
        <v>56.715579388888891</v>
      </c>
      <c r="P317" s="14">
        <v>58.370959388888892</v>
      </c>
      <c r="Q317" s="14">
        <v>63.230259333333329</v>
      </c>
      <c r="R317" s="15">
        <v>75.470819256233327</v>
      </c>
      <c r="S317" s="14">
        <v>49.222029466223333</v>
      </c>
      <c r="T317" s="14">
        <v>49.222029466223333</v>
      </c>
      <c r="U317" s="14">
        <v>49.222029466223333</v>
      </c>
      <c r="V317" s="14">
        <v>49.222029466223333</v>
      </c>
      <c r="W317" s="14">
        <v>49.222029466223333</v>
      </c>
      <c r="X317" s="14">
        <v>49.222029466223333</v>
      </c>
      <c r="Y317" s="14">
        <v>49.222029466223333</v>
      </c>
      <c r="Z317" s="14">
        <v>49.222029466223333</v>
      </c>
      <c r="AA317" s="14">
        <v>49.222029466223333</v>
      </c>
      <c r="AB317" s="14">
        <v>49.222029466223333</v>
      </c>
      <c r="AC317" s="14">
        <v>49.222029466223333</v>
      </c>
      <c r="AD317" s="14">
        <v>54.795869444444442</v>
      </c>
      <c r="AE317" s="14">
        <v>55.943689388888885</v>
      </c>
      <c r="AF317" s="14">
        <v>56.715579388888891</v>
      </c>
      <c r="AG317" s="14">
        <v>58.370959388888892</v>
      </c>
      <c r="AH317" s="14">
        <v>63.230259333333329</v>
      </c>
      <c r="AI317" s="15">
        <v>75.470819256233327</v>
      </c>
      <c r="AJ317" s="14">
        <v>60.526829375785006</v>
      </c>
      <c r="AK317" s="14">
        <v>60.526829375785006</v>
      </c>
      <c r="AL317" s="14">
        <v>60.526829375785006</v>
      </c>
      <c r="AM317" s="14">
        <v>60.526829375785006</v>
      </c>
      <c r="AN317" s="14">
        <v>60.526829375785006</v>
      </c>
      <c r="AO317" s="14">
        <v>60.526829375785006</v>
      </c>
      <c r="AP317" s="14">
        <v>60.526829375785006</v>
      </c>
      <c r="AQ317" s="14">
        <v>60.526829375785006</v>
      </c>
      <c r="AR317" s="14">
        <v>63.230259333333329</v>
      </c>
      <c r="AS317" s="14">
        <v>75.470819256233327</v>
      </c>
    </row>
    <row r="318" spans="1:45" x14ac:dyDescent="0.35">
      <c r="A318" s="16">
        <v>9108.0336000000298</v>
      </c>
      <c r="B318" s="14">
        <v>4.1148058277777757</v>
      </c>
      <c r="C318" s="14">
        <v>4.0990728277777793</v>
      </c>
      <c r="D318" s="14">
        <v>4.1108488277777786</v>
      </c>
      <c r="E318" s="14">
        <v>4.1395238277777775</v>
      </c>
      <c r="F318" s="14">
        <v>4.1986838277777769</v>
      </c>
      <c r="G318" s="14">
        <v>4.2996468277777762</v>
      </c>
      <c r="H318" s="14">
        <v>4.461627822222221</v>
      </c>
      <c r="I318" s="14">
        <v>4.8738608222222233</v>
      </c>
      <c r="J318" s="14">
        <v>7.669878800000002</v>
      </c>
      <c r="K318" s="14">
        <v>21.57070968888889</v>
      </c>
      <c r="L318" s="14">
        <v>46.597609500000004</v>
      </c>
      <c r="M318" s="14">
        <v>54.680949444444451</v>
      </c>
      <c r="N318" s="14">
        <v>55.872209388888891</v>
      </c>
      <c r="O318" s="14">
        <v>56.644209388888889</v>
      </c>
      <c r="P318" s="14">
        <v>58.303579388888885</v>
      </c>
      <c r="Q318" s="14">
        <v>63.176409333333339</v>
      </c>
      <c r="R318" s="15">
        <v>75.414849256681109</v>
      </c>
      <c r="S318" s="14">
        <v>49.186849466505002</v>
      </c>
      <c r="T318" s="14">
        <v>49.186849466505002</v>
      </c>
      <c r="U318" s="14">
        <v>49.186849466505002</v>
      </c>
      <c r="V318" s="14">
        <v>49.186849466505002</v>
      </c>
      <c r="W318" s="14">
        <v>49.186849466505002</v>
      </c>
      <c r="X318" s="14">
        <v>49.186849466505002</v>
      </c>
      <c r="Y318" s="14">
        <v>49.186849466505002</v>
      </c>
      <c r="Z318" s="14">
        <v>49.186849466505002</v>
      </c>
      <c r="AA318" s="14">
        <v>49.186849466505002</v>
      </c>
      <c r="AB318" s="14">
        <v>49.186849466505002</v>
      </c>
      <c r="AC318" s="14">
        <v>49.186849466505002</v>
      </c>
      <c r="AD318" s="14">
        <v>54.680949444444451</v>
      </c>
      <c r="AE318" s="14">
        <v>55.872209388888891</v>
      </c>
      <c r="AF318" s="14">
        <v>56.644209388888889</v>
      </c>
      <c r="AG318" s="14">
        <v>58.303579388888885</v>
      </c>
      <c r="AH318" s="14">
        <v>63.176409333333339</v>
      </c>
      <c r="AI318" s="15">
        <v>75.414849256681109</v>
      </c>
      <c r="AJ318" s="14">
        <v>60.482249376141667</v>
      </c>
      <c r="AK318" s="14">
        <v>60.482249376141667</v>
      </c>
      <c r="AL318" s="14">
        <v>60.482249376141667</v>
      </c>
      <c r="AM318" s="14">
        <v>60.482249376141667</v>
      </c>
      <c r="AN318" s="14">
        <v>60.482249376141667</v>
      </c>
      <c r="AO318" s="14">
        <v>60.482249376141667</v>
      </c>
      <c r="AP318" s="14">
        <v>60.482249376141667</v>
      </c>
      <c r="AQ318" s="14">
        <v>60.482249376141667</v>
      </c>
      <c r="AR318" s="14">
        <v>63.176409333333339</v>
      </c>
      <c r="AS318" s="14">
        <v>75.414849256681109</v>
      </c>
    </row>
    <row r="319" spans="1:45" x14ac:dyDescent="0.35">
      <c r="A319" s="16">
        <v>9146.1336000000301</v>
      </c>
      <c r="B319" s="14">
        <v>4.1134458277777792</v>
      </c>
      <c r="C319" s="14">
        <v>4.0992438277777765</v>
      </c>
      <c r="D319" s="14">
        <v>4.1117408277777772</v>
      </c>
      <c r="E319" s="14">
        <v>4.1407638277777776</v>
      </c>
      <c r="F319" s="14">
        <v>4.2002188277777783</v>
      </c>
      <c r="G319" s="14">
        <v>4.3015498277777793</v>
      </c>
      <c r="H319" s="14">
        <v>4.4621518222222214</v>
      </c>
      <c r="I319" s="14">
        <v>4.8594478222222213</v>
      </c>
      <c r="J319" s="14">
        <v>7.5530308000000002</v>
      </c>
      <c r="K319" s="14">
        <v>21.14473968888889</v>
      </c>
      <c r="L319" s="14">
        <v>46.205159500000008</v>
      </c>
      <c r="M319" s="14">
        <v>54.56386944444445</v>
      </c>
      <c r="N319" s="14">
        <v>55.801059388888888</v>
      </c>
      <c r="O319" s="14">
        <v>56.57315938888889</v>
      </c>
      <c r="P319" s="14">
        <v>58.236539388888886</v>
      </c>
      <c r="Q319" s="14">
        <v>63.122989333333329</v>
      </c>
      <c r="R319" s="15">
        <v>75.359389257124448</v>
      </c>
      <c r="S319" s="14">
        <v>49.155569466755004</v>
      </c>
      <c r="T319" s="14">
        <v>49.155569466755004</v>
      </c>
      <c r="U319" s="14">
        <v>49.155569466755004</v>
      </c>
      <c r="V319" s="14">
        <v>49.155569466755004</v>
      </c>
      <c r="W319" s="14">
        <v>49.155569466755004</v>
      </c>
      <c r="X319" s="14">
        <v>49.155569466755004</v>
      </c>
      <c r="Y319" s="14">
        <v>49.155569466755004</v>
      </c>
      <c r="Z319" s="14">
        <v>49.155569466755004</v>
      </c>
      <c r="AA319" s="14">
        <v>49.155569466755004</v>
      </c>
      <c r="AB319" s="14">
        <v>49.155569466755004</v>
      </c>
      <c r="AC319" s="14">
        <v>49.155569466755004</v>
      </c>
      <c r="AD319" s="14">
        <v>54.56386944444445</v>
      </c>
      <c r="AE319" s="14">
        <v>55.801059388888888</v>
      </c>
      <c r="AF319" s="14">
        <v>56.57315938888889</v>
      </c>
      <c r="AG319" s="14">
        <v>58.236539388888886</v>
      </c>
      <c r="AH319" s="14">
        <v>63.122989333333329</v>
      </c>
      <c r="AI319" s="15">
        <v>75.359389257124448</v>
      </c>
      <c r="AJ319" s="14">
        <v>60.440159376478341</v>
      </c>
      <c r="AK319" s="14">
        <v>60.440159376478341</v>
      </c>
      <c r="AL319" s="14">
        <v>60.440159376478341</v>
      </c>
      <c r="AM319" s="14">
        <v>60.440159376478341</v>
      </c>
      <c r="AN319" s="14">
        <v>60.440159376478341</v>
      </c>
      <c r="AO319" s="14">
        <v>60.440159376478341</v>
      </c>
      <c r="AP319" s="14">
        <v>60.440159376478341</v>
      </c>
      <c r="AQ319" s="14">
        <v>60.440159376478341</v>
      </c>
      <c r="AR319" s="14">
        <v>63.122989333333329</v>
      </c>
      <c r="AS319" s="14">
        <v>75.359389257124448</v>
      </c>
    </row>
    <row r="320" spans="1:45" x14ac:dyDescent="0.35">
      <c r="A320" s="16">
        <v>9184.2336000000305</v>
      </c>
      <c r="B320" s="14">
        <v>4.1120408277777782</v>
      </c>
      <c r="C320" s="14">
        <v>4.0988748277777791</v>
      </c>
      <c r="D320" s="14">
        <v>4.112140827777778</v>
      </c>
      <c r="E320" s="14">
        <v>4.1415768277777767</v>
      </c>
      <c r="F320" s="14">
        <v>4.2013448277777794</v>
      </c>
      <c r="G320" s="14">
        <v>4.303046827777778</v>
      </c>
      <c r="H320" s="14">
        <v>4.4623918222222239</v>
      </c>
      <c r="I320" s="14">
        <v>4.845513822222224</v>
      </c>
      <c r="J320" s="14">
        <v>7.4402137999999995</v>
      </c>
      <c r="K320" s="14">
        <v>20.72616969444444</v>
      </c>
      <c r="L320" s="14">
        <v>45.807449499999997</v>
      </c>
      <c r="M320" s="14">
        <v>54.44372944444445</v>
      </c>
      <c r="N320" s="14">
        <v>55.729389388888883</v>
      </c>
      <c r="O320" s="14">
        <v>56.501569388888889</v>
      </c>
      <c r="P320" s="14">
        <v>58.168989388888889</v>
      </c>
      <c r="Q320" s="14">
        <v>63.069099333333334</v>
      </c>
      <c r="R320" s="15">
        <v>75.303499257571659</v>
      </c>
      <c r="S320" s="14">
        <v>49.130489466956114</v>
      </c>
      <c r="T320" s="14">
        <v>49.130489466956114</v>
      </c>
      <c r="U320" s="14">
        <v>49.130489466956114</v>
      </c>
      <c r="V320" s="14">
        <v>49.130489466956114</v>
      </c>
      <c r="W320" s="14">
        <v>49.130489466956114</v>
      </c>
      <c r="X320" s="14">
        <v>49.130489466956114</v>
      </c>
      <c r="Y320" s="14">
        <v>49.130489466956114</v>
      </c>
      <c r="Z320" s="14">
        <v>49.130489466956114</v>
      </c>
      <c r="AA320" s="14">
        <v>49.130489466956114</v>
      </c>
      <c r="AB320" s="14">
        <v>49.130489466956114</v>
      </c>
      <c r="AC320" s="14">
        <v>49.130489466956114</v>
      </c>
      <c r="AD320" s="14">
        <v>54.44372944444445</v>
      </c>
      <c r="AE320" s="14">
        <v>55.729389388888883</v>
      </c>
      <c r="AF320" s="14">
        <v>56.501569388888889</v>
      </c>
      <c r="AG320" s="14">
        <v>58.168989388888889</v>
      </c>
      <c r="AH320" s="14">
        <v>63.069099333333334</v>
      </c>
      <c r="AI320" s="15">
        <v>75.303499257571659</v>
      </c>
      <c r="AJ320" s="14">
        <v>60.400369376796661</v>
      </c>
      <c r="AK320" s="14">
        <v>60.400369376796661</v>
      </c>
      <c r="AL320" s="14">
        <v>60.400369376796661</v>
      </c>
      <c r="AM320" s="14">
        <v>60.400369376796661</v>
      </c>
      <c r="AN320" s="14">
        <v>60.400369376796661</v>
      </c>
      <c r="AO320" s="14">
        <v>60.400369376796661</v>
      </c>
      <c r="AP320" s="14">
        <v>60.400369376796661</v>
      </c>
      <c r="AQ320" s="14">
        <v>60.400369376796661</v>
      </c>
      <c r="AR320" s="14">
        <v>63.069099333333334</v>
      </c>
      <c r="AS320" s="14">
        <v>75.303499257571659</v>
      </c>
    </row>
    <row r="321" spans="1:45" x14ac:dyDescent="0.35">
      <c r="A321" s="16">
        <v>9222.3336000000309</v>
      </c>
      <c r="B321" s="14">
        <v>4.1119248277777762</v>
      </c>
      <c r="C321" s="14">
        <v>4.0980798277777772</v>
      </c>
      <c r="D321" s="14">
        <v>4.1121118277777784</v>
      </c>
      <c r="E321" s="14">
        <v>4.1419728277777779</v>
      </c>
      <c r="F321" s="14">
        <v>4.2020658277777772</v>
      </c>
      <c r="G321" s="14">
        <v>4.304138827777777</v>
      </c>
      <c r="H321" s="14">
        <v>4.4623398222222237</v>
      </c>
      <c r="I321" s="14">
        <v>4.8320158222222211</v>
      </c>
      <c r="J321" s="14">
        <v>7.3312858000000016</v>
      </c>
      <c r="K321" s="14">
        <v>20.314819700000001</v>
      </c>
      <c r="L321" s="14">
        <v>45.404569500000008</v>
      </c>
      <c r="M321" s="14">
        <v>54.320429444444443</v>
      </c>
      <c r="N321" s="14">
        <v>55.657189388888895</v>
      </c>
      <c r="O321" s="14">
        <v>56.429189388888894</v>
      </c>
      <c r="P321" s="14">
        <v>58.100909388888894</v>
      </c>
      <c r="Q321" s="14">
        <v>63.014739333333331</v>
      </c>
      <c r="R321" s="15">
        <v>75.247159258022222</v>
      </c>
      <c r="S321" s="14">
        <v>49.122539467019436</v>
      </c>
      <c r="T321" s="14">
        <v>49.122539467019436</v>
      </c>
      <c r="U321" s="14">
        <v>49.122539467019436</v>
      </c>
      <c r="V321" s="14">
        <v>49.122539467019436</v>
      </c>
      <c r="W321" s="14">
        <v>49.122539467019436</v>
      </c>
      <c r="X321" s="14">
        <v>49.122539467019436</v>
      </c>
      <c r="Y321" s="14">
        <v>49.122539467019436</v>
      </c>
      <c r="Z321" s="14">
        <v>49.122539467019436</v>
      </c>
      <c r="AA321" s="14">
        <v>49.122539467019436</v>
      </c>
      <c r="AB321" s="14">
        <v>49.122539467019436</v>
      </c>
      <c r="AC321" s="14">
        <v>49.122539467019436</v>
      </c>
      <c r="AD321" s="14">
        <v>54.320429444444443</v>
      </c>
      <c r="AE321" s="14">
        <v>55.657189388888895</v>
      </c>
      <c r="AF321" s="14">
        <v>56.429189388888894</v>
      </c>
      <c r="AG321" s="14">
        <v>58.100909388888894</v>
      </c>
      <c r="AH321" s="14">
        <v>63.014739333333331</v>
      </c>
      <c r="AI321" s="15">
        <v>75.247159258022222</v>
      </c>
      <c r="AJ321" s="14">
        <v>60.377879376976679</v>
      </c>
      <c r="AK321" s="14">
        <v>60.377879376976679</v>
      </c>
      <c r="AL321" s="14">
        <v>60.377879376976679</v>
      </c>
      <c r="AM321" s="14">
        <v>60.377879376976679</v>
      </c>
      <c r="AN321" s="14">
        <v>60.377879376976679</v>
      </c>
      <c r="AO321" s="14">
        <v>60.377879376976679</v>
      </c>
      <c r="AP321" s="14">
        <v>60.377879376976679</v>
      </c>
      <c r="AQ321" s="14">
        <v>60.377879376976679</v>
      </c>
      <c r="AR321" s="14">
        <v>63.014739333333331</v>
      </c>
      <c r="AS321" s="14">
        <v>75.247159258022222</v>
      </c>
    </row>
    <row r="322" spans="1:45" x14ac:dyDescent="0.35">
      <c r="A322" s="16">
        <v>9260.4336000000312</v>
      </c>
      <c r="B322" s="14">
        <v>4.1102778277777769</v>
      </c>
      <c r="C322" s="14">
        <v>4.0974308277777798</v>
      </c>
      <c r="D322" s="14">
        <v>4.1122968277777776</v>
      </c>
      <c r="E322" s="14">
        <v>4.1426308277777775</v>
      </c>
      <c r="F322" s="14">
        <v>4.2030708277777782</v>
      </c>
      <c r="G322" s="14">
        <v>4.3055148277777793</v>
      </c>
      <c r="H322" s="14">
        <v>4.4626758222222227</v>
      </c>
      <c r="I322" s="14">
        <v>4.8195918222222209</v>
      </c>
      <c r="J322" s="14">
        <v>7.2267958000000005</v>
      </c>
      <c r="K322" s="14">
        <v>19.909939699999995</v>
      </c>
      <c r="L322" s="14">
        <v>44.996629500000004</v>
      </c>
      <c r="M322" s="14">
        <v>54.194589444444446</v>
      </c>
      <c r="N322" s="14">
        <v>55.585349388888893</v>
      </c>
      <c r="O322" s="14">
        <v>56.35711938888889</v>
      </c>
      <c r="P322" s="14">
        <v>58.033209388888885</v>
      </c>
      <c r="Q322" s="14">
        <v>62.960839333333332</v>
      </c>
      <c r="R322" s="15">
        <v>75.191369258468896</v>
      </c>
      <c r="S322" s="14">
        <v>49.053859467568884</v>
      </c>
      <c r="T322" s="14">
        <v>49.053859467568884</v>
      </c>
      <c r="U322" s="14">
        <v>49.053859467568884</v>
      </c>
      <c r="V322" s="14">
        <v>49.053859467568884</v>
      </c>
      <c r="W322" s="14">
        <v>49.053859467568884</v>
      </c>
      <c r="X322" s="14">
        <v>49.053859467568884</v>
      </c>
      <c r="Y322" s="14">
        <v>49.053859467568884</v>
      </c>
      <c r="Z322" s="14">
        <v>49.053859467568884</v>
      </c>
      <c r="AA322" s="14">
        <v>49.053859467568884</v>
      </c>
      <c r="AB322" s="14">
        <v>49.053859467568884</v>
      </c>
      <c r="AC322" s="14">
        <v>49.053859467568884</v>
      </c>
      <c r="AD322" s="14">
        <v>54.194589444444446</v>
      </c>
      <c r="AE322" s="14">
        <v>55.585349388888893</v>
      </c>
      <c r="AF322" s="14">
        <v>56.35711938888889</v>
      </c>
      <c r="AG322" s="14">
        <v>58.033209388888885</v>
      </c>
      <c r="AH322" s="14">
        <v>62.960839333333332</v>
      </c>
      <c r="AI322" s="15">
        <v>75.191369258468896</v>
      </c>
      <c r="AJ322" s="14">
        <v>60.31114937751056</v>
      </c>
      <c r="AK322" s="14">
        <v>60.31114937751056</v>
      </c>
      <c r="AL322" s="14">
        <v>60.31114937751056</v>
      </c>
      <c r="AM322" s="14">
        <v>60.31114937751056</v>
      </c>
      <c r="AN322" s="14">
        <v>60.31114937751056</v>
      </c>
      <c r="AO322" s="14">
        <v>60.31114937751056</v>
      </c>
      <c r="AP322" s="14">
        <v>60.31114937751056</v>
      </c>
      <c r="AQ322" s="14">
        <v>60.31114937751056</v>
      </c>
      <c r="AR322" s="14">
        <v>62.960839333333332</v>
      </c>
      <c r="AS322" s="14">
        <v>75.191369258468896</v>
      </c>
    </row>
    <row r="323" spans="1:45" x14ac:dyDescent="0.35">
      <c r="A323" s="16">
        <v>9298.5336000000298</v>
      </c>
      <c r="B323" s="14">
        <v>4.1128948277777786</v>
      </c>
      <c r="C323" s="14">
        <v>4.0971958277777771</v>
      </c>
      <c r="D323" s="14">
        <v>4.1128308277777768</v>
      </c>
      <c r="E323" s="14">
        <v>4.1435758277777763</v>
      </c>
      <c r="F323" s="14">
        <v>4.2043678277777765</v>
      </c>
      <c r="G323" s="14">
        <v>4.3071788277777792</v>
      </c>
      <c r="H323" s="14">
        <v>4.4633968222222205</v>
      </c>
      <c r="I323" s="14">
        <v>4.8082028222222206</v>
      </c>
      <c r="J323" s="14">
        <v>7.1266088055555548</v>
      </c>
      <c r="K323" s="14">
        <v>19.513049705555552</v>
      </c>
      <c r="L323" s="14">
        <v>44.583889499999998</v>
      </c>
      <c r="M323" s="14">
        <v>54.065919444444454</v>
      </c>
      <c r="N323" s="14">
        <v>55.513859388888896</v>
      </c>
      <c r="O323" s="14">
        <v>56.285439388888875</v>
      </c>
      <c r="P323" s="14">
        <v>57.965899388888893</v>
      </c>
      <c r="Q323" s="14">
        <v>62.907399333333338</v>
      </c>
      <c r="R323" s="15">
        <v>75.136129258910557</v>
      </c>
      <c r="S323" s="14">
        <v>49.033979467727775</v>
      </c>
      <c r="T323" s="14">
        <v>49.033979467727775</v>
      </c>
      <c r="U323" s="14">
        <v>49.033979467727775</v>
      </c>
      <c r="V323" s="14">
        <v>49.033979467727775</v>
      </c>
      <c r="W323" s="14">
        <v>49.033979467727775</v>
      </c>
      <c r="X323" s="14">
        <v>49.033979467727775</v>
      </c>
      <c r="Y323" s="14">
        <v>49.033979467727775</v>
      </c>
      <c r="Z323" s="14">
        <v>49.033979467727775</v>
      </c>
      <c r="AA323" s="14">
        <v>49.033979467727775</v>
      </c>
      <c r="AB323" s="14">
        <v>49.033979467727775</v>
      </c>
      <c r="AC323" s="14">
        <v>49.033979467727775</v>
      </c>
      <c r="AD323" s="14">
        <v>54.065919444444454</v>
      </c>
      <c r="AE323" s="14">
        <v>55.513859388888896</v>
      </c>
      <c r="AF323" s="14">
        <v>56.285439388888875</v>
      </c>
      <c r="AG323" s="14">
        <v>57.965899388888893</v>
      </c>
      <c r="AH323" s="14">
        <v>62.907399333333338</v>
      </c>
      <c r="AI323" s="15">
        <v>75.136129258910557</v>
      </c>
      <c r="AJ323" s="14">
        <v>60.282729377737773</v>
      </c>
      <c r="AK323" s="14">
        <v>60.282729377737773</v>
      </c>
      <c r="AL323" s="14">
        <v>60.282729377737773</v>
      </c>
      <c r="AM323" s="14">
        <v>60.282729377737773</v>
      </c>
      <c r="AN323" s="14">
        <v>60.282729377737773</v>
      </c>
      <c r="AO323" s="14">
        <v>60.282729377737773</v>
      </c>
      <c r="AP323" s="14">
        <v>60.282729377737773</v>
      </c>
      <c r="AQ323" s="14">
        <v>60.282729377737773</v>
      </c>
      <c r="AR323" s="14">
        <v>62.907399333333338</v>
      </c>
      <c r="AS323" s="14">
        <v>75.136129258910557</v>
      </c>
    </row>
    <row r="324" spans="1:45" x14ac:dyDescent="0.35">
      <c r="A324" s="16">
        <v>9328.9374000000298</v>
      </c>
      <c r="B324" s="14">
        <v>4.1075898277777787</v>
      </c>
      <c r="C324" s="14">
        <v>4.0966878277777772</v>
      </c>
      <c r="D324" s="14">
        <v>4.1129038277777772</v>
      </c>
      <c r="E324" s="14">
        <v>4.1441698277777776</v>
      </c>
      <c r="F324" s="14">
        <v>4.2054648277777789</v>
      </c>
      <c r="G324" s="14">
        <v>4.3088558277777782</v>
      </c>
      <c r="H324" s="14">
        <v>4.464864822222224</v>
      </c>
      <c r="I324" s="14">
        <v>4.8028048222222237</v>
      </c>
      <c r="J324" s="14">
        <v>7.0696358055555564</v>
      </c>
      <c r="K324" s="14">
        <v>19.280489705555556</v>
      </c>
      <c r="L324" s="14">
        <v>44.3372995</v>
      </c>
      <c r="M324" s="14">
        <v>53.988939444444448</v>
      </c>
      <c r="N324" s="14">
        <v>55.471909388888889</v>
      </c>
      <c r="O324" s="14">
        <v>56.243369388888901</v>
      </c>
      <c r="P324" s="14">
        <v>57.92643938888888</v>
      </c>
      <c r="Q324" s="14">
        <v>62.876159333333334</v>
      </c>
      <c r="R324" s="15">
        <v>75.103739259170013</v>
      </c>
      <c r="S324" s="14">
        <v>48.988159468094445</v>
      </c>
      <c r="T324" s="14">
        <v>48.988159468094445</v>
      </c>
      <c r="U324" s="14">
        <v>48.988159468094445</v>
      </c>
      <c r="V324" s="14">
        <v>48.988159468094445</v>
      </c>
      <c r="W324" s="14">
        <v>48.988159468094445</v>
      </c>
      <c r="X324" s="14">
        <v>48.988159468094445</v>
      </c>
      <c r="Y324" s="14">
        <v>48.988159468094445</v>
      </c>
      <c r="Z324" s="14">
        <v>48.988159468094445</v>
      </c>
      <c r="AA324" s="14">
        <v>48.988159468094445</v>
      </c>
      <c r="AB324" s="14">
        <v>48.988159468094445</v>
      </c>
      <c r="AC324" s="14">
        <v>48.988159468094445</v>
      </c>
      <c r="AD324" s="14">
        <v>53.988939444444448</v>
      </c>
      <c r="AE324" s="14">
        <v>55.471909388888889</v>
      </c>
      <c r="AF324" s="14">
        <v>56.243369388888901</v>
      </c>
      <c r="AG324" s="14">
        <v>57.92643938888888</v>
      </c>
      <c r="AH324" s="14">
        <v>62.876159333333334</v>
      </c>
      <c r="AI324" s="15">
        <v>75.103739259170013</v>
      </c>
      <c r="AJ324" s="14">
        <v>60.2356993781139</v>
      </c>
      <c r="AK324" s="14">
        <v>60.2356993781139</v>
      </c>
      <c r="AL324" s="14">
        <v>60.2356993781139</v>
      </c>
      <c r="AM324" s="14">
        <v>60.2356993781139</v>
      </c>
      <c r="AN324" s="14">
        <v>60.2356993781139</v>
      </c>
      <c r="AO324" s="14">
        <v>60.2356993781139</v>
      </c>
      <c r="AP324" s="14">
        <v>60.2356993781139</v>
      </c>
      <c r="AQ324" s="14">
        <v>60.2356993781139</v>
      </c>
      <c r="AR324" s="14">
        <v>62.876159333333334</v>
      </c>
      <c r="AS324" s="14">
        <v>75.103739259170013</v>
      </c>
    </row>
    <row r="325" spans="1:45" x14ac:dyDescent="0.35">
      <c r="A325" s="16">
        <v>9351.6450000000295</v>
      </c>
      <c r="B325" s="14">
        <v>4.1075378277777794</v>
      </c>
      <c r="C325" s="14">
        <v>4.0953848277777798</v>
      </c>
      <c r="D325" s="14">
        <v>4.1121648277777787</v>
      </c>
      <c r="E325" s="14">
        <v>4.1437678277777774</v>
      </c>
      <c r="F325" s="14">
        <v>4.2053038277777768</v>
      </c>
      <c r="G325" s="14">
        <v>4.3089138277777765</v>
      </c>
      <c r="H325" s="14">
        <v>4.464438822222224</v>
      </c>
      <c r="I325" s="14">
        <v>4.7956098222222225</v>
      </c>
      <c r="J325" s="14">
        <v>7.0117748055555555</v>
      </c>
      <c r="K325" s="14">
        <v>19.048669705555557</v>
      </c>
      <c r="L325" s="14">
        <v>44.087429500000006</v>
      </c>
      <c r="M325" s="14">
        <v>53.909089444444447</v>
      </c>
      <c r="N325" s="14">
        <v>55.428079388888897</v>
      </c>
      <c r="O325" s="14">
        <v>56.199449388888894</v>
      </c>
      <c r="P325" s="14">
        <v>57.885099388888889</v>
      </c>
      <c r="Q325" s="14">
        <v>62.843109333333331</v>
      </c>
      <c r="R325" s="15">
        <v>75.069579259442776</v>
      </c>
      <c r="S325" s="14">
        <v>48.950039468399446</v>
      </c>
      <c r="T325" s="14">
        <v>48.950039468399446</v>
      </c>
      <c r="U325" s="14">
        <v>48.950039468399446</v>
      </c>
      <c r="V325" s="14">
        <v>48.950039468399446</v>
      </c>
      <c r="W325" s="14">
        <v>48.950039468399446</v>
      </c>
      <c r="X325" s="14">
        <v>48.950039468399446</v>
      </c>
      <c r="Y325" s="14">
        <v>48.950039468399446</v>
      </c>
      <c r="Z325" s="14">
        <v>48.950039468399446</v>
      </c>
      <c r="AA325" s="14">
        <v>48.950039468399446</v>
      </c>
      <c r="AB325" s="14">
        <v>48.950039468399446</v>
      </c>
      <c r="AC325" s="14">
        <v>48.950039468399446</v>
      </c>
      <c r="AD325" s="14">
        <v>53.909089444444447</v>
      </c>
      <c r="AE325" s="14">
        <v>55.428079388888897</v>
      </c>
      <c r="AF325" s="14">
        <v>56.199449388888894</v>
      </c>
      <c r="AG325" s="14">
        <v>57.885099388888889</v>
      </c>
      <c r="AH325" s="14">
        <v>62.843109333333331</v>
      </c>
      <c r="AI325" s="15">
        <v>75.069579259442776</v>
      </c>
      <c r="AJ325" s="14">
        <v>60.192179378462228</v>
      </c>
      <c r="AK325" s="14">
        <v>60.192179378462228</v>
      </c>
      <c r="AL325" s="14">
        <v>60.192179378462228</v>
      </c>
      <c r="AM325" s="14">
        <v>60.192179378462228</v>
      </c>
      <c r="AN325" s="14">
        <v>60.192179378462228</v>
      </c>
      <c r="AO325" s="14">
        <v>60.192179378462228</v>
      </c>
      <c r="AP325" s="14">
        <v>60.192179378462228</v>
      </c>
      <c r="AQ325" s="14">
        <v>60.192179378462228</v>
      </c>
      <c r="AR325" s="14">
        <v>62.843109333333331</v>
      </c>
      <c r="AS325" s="14">
        <v>75.069579259442776</v>
      </c>
    </row>
    <row r="326" spans="1:45" x14ac:dyDescent="0.35">
      <c r="A326" s="16">
        <v>9382.0488000000296</v>
      </c>
      <c r="B326" s="14">
        <v>4.1067228277777765</v>
      </c>
      <c r="C326" s="14">
        <v>4.0940378277777771</v>
      </c>
      <c r="D326" s="14">
        <v>4.1117568277777785</v>
      </c>
      <c r="E326" s="14">
        <v>4.1437298277777792</v>
      </c>
      <c r="F326" s="14">
        <v>4.2054078277777762</v>
      </c>
      <c r="G326" s="14">
        <v>4.3090318277777779</v>
      </c>
      <c r="H326" s="14">
        <v>4.4635208222222209</v>
      </c>
      <c r="I326" s="14">
        <v>4.7837818222222239</v>
      </c>
      <c r="J326" s="14">
        <v>6.9177868055555551</v>
      </c>
      <c r="K326" s="14">
        <v>18.667169711111107</v>
      </c>
      <c r="L326" s="14">
        <v>43.664479499999999</v>
      </c>
      <c r="M326" s="14">
        <v>53.772439444444444</v>
      </c>
      <c r="N326" s="14">
        <v>55.35476944444445</v>
      </c>
      <c r="O326" s="14">
        <v>56.126039388888891</v>
      </c>
      <c r="P326" s="14">
        <v>57.816039388888889</v>
      </c>
      <c r="Q326" s="14">
        <v>62.788099333333335</v>
      </c>
      <c r="R326" s="15">
        <v>75.012919259896123</v>
      </c>
      <c r="S326" s="14">
        <v>48.927459468579997</v>
      </c>
      <c r="T326" s="14">
        <v>48.927459468579997</v>
      </c>
      <c r="U326" s="14">
        <v>48.927459468579997</v>
      </c>
      <c r="V326" s="14">
        <v>48.927459468579997</v>
      </c>
      <c r="W326" s="14">
        <v>48.927459468579997</v>
      </c>
      <c r="X326" s="14">
        <v>48.927459468579997</v>
      </c>
      <c r="Y326" s="14">
        <v>48.927459468579997</v>
      </c>
      <c r="Z326" s="14">
        <v>48.927459468579997</v>
      </c>
      <c r="AA326" s="14">
        <v>48.927459468579997</v>
      </c>
      <c r="AB326" s="14">
        <v>48.927459468579997</v>
      </c>
      <c r="AC326" s="14">
        <v>48.927459468579997</v>
      </c>
      <c r="AD326" s="14">
        <v>53.772439444444444</v>
      </c>
      <c r="AE326" s="14">
        <v>55.35476944444445</v>
      </c>
      <c r="AF326" s="14">
        <v>56.126039388888891</v>
      </c>
      <c r="AG326" s="14">
        <v>57.816039388888889</v>
      </c>
      <c r="AH326" s="14">
        <v>62.788099333333335</v>
      </c>
      <c r="AI326" s="15">
        <v>75.012919259896123</v>
      </c>
      <c r="AJ326" s="14">
        <v>60.161599378706669</v>
      </c>
      <c r="AK326" s="14">
        <v>60.161599378706669</v>
      </c>
      <c r="AL326" s="14">
        <v>60.161599378706669</v>
      </c>
      <c r="AM326" s="14">
        <v>60.161599378706669</v>
      </c>
      <c r="AN326" s="14">
        <v>60.161599378706669</v>
      </c>
      <c r="AO326" s="14">
        <v>60.161599378706669</v>
      </c>
      <c r="AP326" s="14">
        <v>60.161599378706669</v>
      </c>
      <c r="AQ326" s="14">
        <v>60.161599378706669</v>
      </c>
      <c r="AR326" s="14">
        <v>62.788099333333335</v>
      </c>
      <c r="AS326" s="14">
        <v>75.012919259896123</v>
      </c>
    </row>
    <row r="327" spans="1:45" x14ac:dyDescent="0.35">
      <c r="A327" s="16">
        <v>9420.14880000003</v>
      </c>
      <c r="B327" s="14">
        <v>4.1049558277777756</v>
      </c>
      <c r="C327" s="14">
        <v>4.0934708277777787</v>
      </c>
      <c r="D327" s="14">
        <v>4.1121648277777787</v>
      </c>
      <c r="E327" s="14">
        <v>4.1447378277777762</v>
      </c>
      <c r="F327" s="14">
        <v>4.2068468277777766</v>
      </c>
      <c r="G327" s="14">
        <v>4.3108518277777783</v>
      </c>
      <c r="H327" s="14">
        <v>4.4646968222222227</v>
      </c>
      <c r="I327" s="14">
        <v>4.7747298222222216</v>
      </c>
      <c r="J327" s="14">
        <v>6.8297618055555551</v>
      </c>
      <c r="K327" s="14">
        <v>18.295609711111108</v>
      </c>
      <c r="L327" s="14">
        <v>43.239869499999998</v>
      </c>
      <c r="M327" s="14">
        <v>53.634789444444444</v>
      </c>
      <c r="N327" s="14">
        <v>55.283389444444438</v>
      </c>
      <c r="O327" s="14">
        <v>56.054609388888885</v>
      </c>
      <c r="P327" s="14">
        <v>57.748959388888892</v>
      </c>
      <c r="Q327" s="14">
        <v>62.735119333333337</v>
      </c>
      <c r="R327" s="15">
        <v>74.958329260332775</v>
      </c>
      <c r="S327" s="14">
        <v>48.894539468843341</v>
      </c>
      <c r="T327" s="14">
        <v>48.894539468843341</v>
      </c>
      <c r="U327" s="14">
        <v>48.894539468843341</v>
      </c>
      <c r="V327" s="14">
        <v>48.894539468843341</v>
      </c>
      <c r="W327" s="14">
        <v>48.894539468843341</v>
      </c>
      <c r="X327" s="14">
        <v>48.894539468843341</v>
      </c>
      <c r="Y327" s="14">
        <v>48.894539468843341</v>
      </c>
      <c r="Z327" s="14">
        <v>48.894539468843341</v>
      </c>
      <c r="AA327" s="14">
        <v>48.894539468843341</v>
      </c>
      <c r="AB327" s="14">
        <v>48.894539468843341</v>
      </c>
      <c r="AC327" s="14">
        <v>48.894539468843341</v>
      </c>
      <c r="AD327" s="14">
        <v>53.634789444444444</v>
      </c>
      <c r="AE327" s="14">
        <v>55.283389444444438</v>
      </c>
      <c r="AF327" s="14">
        <v>56.054609388888885</v>
      </c>
      <c r="AG327" s="14">
        <v>57.748959388888892</v>
      </c>
      <c r="AH327" s="14">
        <v>62.735119333333337</v>
      </c>
      <c r="AI327" s="15">
        <v>74.958329260332775</v>
      </c>
      <c r="AJ327" s="14">
        <v>60.119849379041106</v>
      </c>
      <c r="AK327" s="14">
        <v>60.119849379041106</v>
      </c>
      <c r="AL327" s="14">
        <v>60.119849379041106</v>
      </c>
      <c r="AM327" s="14">
        <v>60.119849379041106</v>
      </c>
      <c r="AN327" s="14">
        <v>60.119849379041106</v>
      </c>
      <c r="AO327" s="14">
        <v>60.119849379041106</v>
      </c>
      <c r="AP327" s="14">
        <v>60.119849379041106</v>
      </c>
      <c r="AQ327" s="14">
        <v>60.119849379041106</v>
      </c>
      <c r="AR327" s="14">
        <v>62.735119333333337</v>
      </c>
      <c r="AS327" s="14">
        <v>74.958329260332775</v>
      </c>
    </row>
    <row r="328" spans="1:45" x14ac:dyDescent="0.35">
      <c r="A328" s="16">
        <v>9458.2488000000303</v>
      </c>
      <c r="B328" s="14">
        <v>4.1034118277777765</v>
      </c>
      <c r="C328" s="14">
        <v>4.0925968277777773</v>
      </c>
      <c r="D328" s="14">
        <v>4.1122488277777771</v>
      </c>
      <c r="E328" s="14">
        <v>4.1454668277777769</v>
      </c>
      <c r="F328" s="14">
        <v>4.2080378277777797</v>
      </c>
      <c r="G328" s="14">
        <v>4.3124278277777766</v>
      </c>
      <c r="H328" s="14">
        <v>4.4657168222222214</v>
      </c>
      <c r="I328" s="14">
        <v>4.7660488222222241</v>
      </c>
      <c r="J328" s="14">
        <v>6.7449888055555558</v>
      </c>
      <c r="K328" s="14">
        <v>17.93106971666667</v>
      </c>
      <c r="L328" s="14">
        <v>42.810899500000005</v>
      </c>
      <c r="M328" s="14">
        <v>53.493819444444433</v>
      </c>
      <c r="N328" s="14">
        <v>55.21165944444445</v>
      </c>
      <c r="O328" s="14">
        <v>55.982889388888879</v>
      </c>
      <c r="P328" s="14">
        <v>57.681579388888885</v>
      </c>
      <c r="Q328" s="14">
        <v>62.681899333333341</v>
      </c>
      <c r="R328" s="15">
        <v>74.903529260771677</v>
      </c>
      <c r="S328" s="14">
        <v>48.86317946909444</v>
      </c>
      <c r="T328" s="14">
        <v>48.86317946909444</v>
      </c>
      <c r="U328" s="14">
        <v>48.86317946909444</v>
      </c>
      <c r="V328" s="14">
        <v>48.86317946909444</v>
      </c>
      <c r="W328" s="14">
        <v>48.86317946909444</v>
      </c>
      <c r="X328" s="14">
        <v>48.86317946909444</v>
      </c>
      <c r="Y328" s="14">
        <v>48.86317946909444</v>
      </c>
      <c r="Z328" s="14">
        <v>48.86317946909444</v>
      </c>
      <c r="AA328" s="14">
        <v>48.86317946909444</v>
      </c>
      <c r="AB328" s="14">
        <v>48.86317946909444</v>
      </c>
      <c r="AC328" s="14">
        <v>48.86317946909444</v>
      </c>
      <c r="AD328" s="14">
        <v>53.493819444444433</v>
      </c>
      <c r="AE328" s="14">
        <v>55.21165944444445</v>
      </c>
      <c r="AF328" s="14">
        <v>55.982889388888879</v>
      </c>
      <c r="AG328" s="14">
        <v>57.681579388888885</v>
      </c>
      <c r="AH328" s="14">
        <v>62.681899333333341</v>
      </c>
      <c r="AI328" s="15">
        <v>74.903529260771677</v>
      </c>
      <c r="AJ328" s="14">
        <v>60.078089379375001</v>
      </c>
      <c r="AK328" s="14">
        <v>60.078089379375001</v>
      </c>
      <c r="AL328" s="14">
        <v>60.078089379375001</v>
      </c>
      <c r="AM328" s="14">
        <v>60.078089379375001</v>
      </c>
      <c r="AN328" s="14">
        <v>60.078089379375001</v>
      </c>
      <c r="AO328" s="14">
        <v>60.078089379375001</v>
      </c>
      <c r="AP328" s="14">
        <v>60.078089379375001</v>
      </c>
      <c r="AQ328" s="14">
        <v>60.078089379375001</v>
      </c>
      <c r="AR328" s="14">
        <v>62.681899333333341</v>
      </c>
      <c r="AS328" s="14">
        <v>74.903529260771677</v>
      </c>
    </row>
    <row r="329" spans="1:45" x14ac:dyDescent="0.35">
      <c r="A329" s="16">
        <v>9496.3488000000307</v>
      </c>
      <c r="B329" s="14">
        <v>4.1020898277777782</v>
      </c>
      <c r="C329" s="14">
        <v>4.0914708277777798</v>
      </c>
      <c r="D329" s="14">
        <v>4.1120288277777757</v>
      </c>
      <c r="E329" s="14">
        <v>4.1459208277777764</v>
      </c>
      <c r="F329" s="14">
        <v>4.2089768277777786</v>
      </c>
      <c r="G329" s="14">
        <v>4.3137578277777777</v>
      </c>
      <c r="H329" s="14">
        <v>4.4665748222222215</v>
      </c>
      <c r="I329" s="14">
        <v>4.7577068222222216</v>
      </c>
      <c r="J329" s="14">
        <v>6.663345805555557</v>
      </c>
      <c r="K329" s="14">
        <v>17.572579716666667</v>
      </c>
      <c r="L329" s="14">
        <v>42.377109500000003</v>
      </c>
      <c r="M329" s="14">
        <v>53.349459444444456</v>
      </c>
      <c r="N329" s="14">
        <v>55.139549444444448</v>
      </c>
      <c r="O329" s="14">
        <v>55.910859388888895</v>
      </c>
      <c r="P329" s="14">
        <v>57.613899388888889</v>
      </c>
      <c r="Q329" s="14">
        <v>62.628419333333341</v>
      </c>
      <c r="R329" s="15">
        <v>74.848509261211674</v>
      </c>
      <c r="S329" s="14">
        <v>48.837379469300558</v>
      </c>
      <c r="T329" s="14">
        <v>48.837379469300558</v>
      </c>
      <c r="U329" s="14">
        <v>48.837379469300558</v>
      </c>
      <c r="V329" s="14">
        <v>48.837379469300558</v>
      </c>
      <c r="W329" s="14">
        <v>48.837379469300558</v>
      </c>
      <c r="X329" s="14">
        <v>48.837379469300558</v>
      </c>
      <c r="Y329" s="14">
        <v>48.837379469300558</v>
      </c>
      <c r="Z329" s="14">
        <v>48.837379469300558</v>
      </c>
      <c r="AA329" s="14">
        <v>48.837379469300558</v>
      </c>
      <c r="AB329" s="14">
        <v>48.837379469300558</v>
      </c>
      <c r="AC329" s="14">
        <v>48.837379469300558</v>
      </c>
      <c r="AD329" s="14">
        <v>53.349459444444456</v>
      </c>
      <c r="AE329" s="14">
        <v>55.139549444444448</v>
      </c>
      <c r="AF329" s="14">
        <v>55.910859388888895</v>
      </c>
      <c r="AG329" s="14">
        <v>57.613899388888889</v>
      </c>
      <c r="AH329" s="14">
        <v>62.628419333333341</v>
      </c>
      <c r="AI329" s="15">
        <v>74.848509261211674</v>
      </c>
      <c r="AJ329" s="14">
        <v>60.042929379656115</v>
      </c>
      <c r="AK329" s="14">
        <v>60.042929379656115</v>
      </c>
      <c r="AL329" s="14">
        <v>60.042929379656115</v>
      </c>
      <c r="AM329" s="14">
        <v>60.042929379656115</v>
      </c>
      <c r="AN329" s="14">
        <v>60.042929379656115</v>
      </c>
      <c r="AO329" s="14">
        <v>60.042929379656115</v>
      </c>
      <c r="AP329" s="14">
        <v>60.042929379656115</v>
      </c>
      <c r="AQ329" s="14">
        <v>60.042929379656115</v>
      </c>
      <c r="AR329" s="14">
        <v>62.628419333333341</v>
      </c>
      <c r="AS329" s="14">
        <v>74.848509261211674</v>
      </c>
    </row>
    <row r="330" spans="1:45" x14ac:dyDescent="0.35">
      <c r="A330" s="16">
        <v>9534.448800000031</v>
      </c>
      <c r="B330" s="14">
        <v>4.0994178277777769</v>
      </c>
      <c r="C330" s="14">
        <v>4.0912468277777787</v>
      </c>
      <c r="D330" s="14">
        <v>4.1127538277777766</v>
      </c>
      <c r="E330" s="14">
        <v>4.1473878277777763</v>
      </c>
      <c r="F330" s="14">
        <v>4.2109638277777766</v>
      </c>
      <c r="G330" s="14">
        <v>4.3161508277777791</v>
      </c>
      <c r="H330" s="14">
        <v>4.4685668222222219</v>
      </c>
      <c r="I330" s="14">
        <v>4.7509598222222218</v>
      </c>
      <c r="J330" s="14">
        <v>6.5858548055555568</v>
      </c>
      <c r="K330" s="14">
        <v>17.223049722222221</v>
      </c>
      <c r="L330" s="14">
        <v>41.941789499999999</v>
      </c>
      <c r="M330" s="14">
        <v>53.203279444444441</v>
      </c>
      <c r="N330" s="14">
        <v>55.068759444444439</v>
      </c>
      <c r="O330" s="14">
        <v>55.840229388888879</v>
      </c>
      <c r="P330" s="14">
        <v>57.547609388888887</v>
      </c>
      <c r="Q330" s="14">
        <v>62.576459333333332</v>
      </c>
      <c r="R330" s="15">
        <v>74.795119261638874</v>
      </c>
      <c r="S330" s="14">
        <v>48.786159469710555</v>
      </c>
      <c r="T330" s="14">
        <v>48.786159469710555</v>
      </c>
      <c r="U330" s="14">
        <v>48.786159469710555</v>
      </c>
      <c r="V330" s="14">
        <v>48.786159469710555</v>
      </c>
      <c r="W330" s="14">
        <v>48.786159469710555</v>
      </c>
      <c r="X330" s="14">
        <v>48.786159469710555</v>
      </c>
      <c r="Y330" s="14">
        <v>48.786159469710555</v>
      </c>
      <c r="Z330" s="14">
        <v>48.786159469710555</v>
      </c>
      <c r="AA330" s="14">
        <v>48.786159469710555</v>
      </c>
      <c r="AB330" s="14">
        <v>48.786159469710555</v>
      </c>
      <c r="AC330" s="14">
        <v>48.786159469710555</v>
      </c>
      <c r="AD330" s="14">
        <v>53.203279444444441</v>
      </c>
      <c r="AE330" s="14">
        <v>55.068759444444439</v>
      </c>
      <c r="AF330" s="14">
        <v>55.840229388888879</v>
      </c>
      <c r="AG330" s="14">
        <v>57.547609388888887</v>
      </c>
      <c r="AH330" s="14">
        <v>62.576459333333332</v>
      </c>
      <c r="AI330" s="15">
        <v>74.795119261638874</v>
      </c>
      <c r="AJ330" s="14">
        <v>59.988329380093347</v>
      </c>
      <c r="AK330" s="14">
        <v>59.988329380093347</v>
      </c>
      <c r="AL330" s="14">
        <v>59.988329380093347</v>
      </c>
      <c r="AM330" s="14">
        <v>59.988329380093347</v>
      </c>
      <c r="AN330" s="14">
        <v>59.988329380093347</v>
      </c>
      <c r="AO330" s="14">
        <v>59.988329380093347</v>
      </c>
      <c r="AP330" s="14">
        <v>59.988329380093347</v>
      </c>
      <c r="AQ330" s="14">
        <v>59.988329380093347</v>
      </c>
      <c r="AR330" s="14">
        <v>62.576459333333332</v>
      </c>
      <c r="AS330" s="14">
        <v>74.795119261638874</v>
      </c>
    </row>
    <row r="331" spans="1:45" x14ac:dyDescent="0.35">
      <c r="A331" s="16">
        <v>9572.5488000000296</v>
      </c>
      <c r="B331" s="14">
        <v>4.0957248277777776</v>
      </c>
      <c r="C331" s="14">
        <v>4.0917658277777766</v>
      </c>
      <c r="D331" s="14">
        <v>4.1143408277777773</v>
      </c>
      <c r="E331" s="14">
        <v>4.1498488277777783</v>
      </c>
      <c r="F331" s="14">
        <v>4.2139948277777766</v>
      </c>
      <c r="G331" s="14">
        <v>4.3196048277777761</v>
      </c>
      <c r="H331" s="14">
        <v>4.4722678222222241</v>
      </c>
      <c r="I331" s="14">
        <v>4.7457848222222214</v>
      </c>
      <c r="J331" s="14">
        <v>6.5123498055555569</v>
      </c>
      <c r="K331" s="14">
        <v>16.882359722222223</v>
      </c>
      <c r="L331" s="14">
        <v>41.505079555555554</v>
      </c>
      <c r="M331" s="14">
        <v>53.055199444444447</v>
      </c>
      <c r="N331" s="14">
        <v>54.999279444444447</v>
      </c>
      <c r="O331" s="14">
        <v>55.770999388888896</v>
      </c>
      <c r="P331" s="14">
        <v>57.482739388888895</v>
      </c>
      <c r="Q331" s="14">
        <v>62.525999333333338</v>
      </c>
      <c r="R331" s="15">
        <v>74.743379262052784</v>
      </c>
      <c r="S331" s="14">
        <v>48.752959469976112</v>
      </c>
      <c r="T331" s="14">
        <v>48.752959469976112</v>
      </c>
      <c r="U331" s="14">
        <v>48.752959469976112</v>
      </c>
      <c r="V331" s="14">
        <v>48.752959469976112</v>
      </c>
      <c r="W331" s="14">
        <v>48.752959469976112</v>
      </c>
      <c r="X331" s="14">
        <v>48.752959469976112</v>
      </c>
      <c r="Y331" s="14">
        <v>48.752959469976112</v>
      </c>
      <c r="Z331" s="14">
        <v>48.752959469976112</v>
      </c>
      <c r="AA331" s="14">
        <v>48.752959469976112</v>
      </c>
      <c r="AB331" s="14">
        <v>48.752959469976112</v>
      </c>
      <c r="AC331" s="14">
        <v>48.752959469976112</v>
      </c>
      <c r="AD331" s="14">
        <v>53.055199444444447</v>
      </c>
      <c r="AE331" s="14">
        <v>54.999279444444447</v>
      </c>
      <c r="AF331" s="14">
        <v>55.770999388888896</v>
      </c>
      <c r="AG331" s="14">
        <v>57.482739388888895</v>
      </c>
      <c r="AH331" s="14">
        <v>62.525999333333338</v>
      </c>
      <c r="AI331" s="15">
        <v>74.743379262052784</v>
      </c>
      <c r="AJ331" s="14">
        <v>59.947539380419443</v>
      </c>
      <c r="AK331" s="14">
        <v>59.947539380419443</v>
      </c>
      <c r="AL331" s="14">
        <v>59.947539380419443</v>
      </c>
      <c r="AM331" s="14">
        <v>59.947539380419443</v>
      </c>
      <c r="AN331" s="14">
        <v>59.947539380419443</v>
      </c>
      <c r="AO331" s="14">
        <v>59.947539380419443</v>
      </c>
      <c r="AP331" s="14">
        <v>59.947539380419443</v>
      </c>
      <c r="AQ331" s="14">
        <v>59.947539380419443</v>
      </c>
      <c r="AR331" s="14">
        <v>62.525999333333338</v>
      </c>
      <c r="AS331" s="14">
        <v>74.743379262052784</v>
      </c>
    </row>
    <row r="332" spans="1:45" x14ac:dyDescent="0.35">
      <c r="A332" s="16">
        <v>9610.64880000003</v>
      </c>
      <c r="B332" s="14">
        <v>4.0923938277777774</v>
      </c>
      <c r="C332" s="14">
        <v>4.0915348277777772</v>
      </c>
      <c r="D332" s="14">
        <v>4.1152668277777789</v>
      </c>
      <c r="E332" s="14">
        <v>4.1517758277777776</v>
      </c>
      <c r="F332" s="14">
        <v>4.2165448277777768</v>
      </c>
      <c r="G332" s="14">
        <v>4.3225978277777779</v>
      </c>
      <c r="H332" s="14">
        <v>4.4755828222222229</v>
      </c>
      <c r="I332" s="14">
        <v>4.7406628222222205</v>
      </c>
      <c r="J332" s="14">
        <v>6.4415308111111118</v>
      </c>
      <c r="K332" s="14">
        <v>16.548799727777777</v>
      </c>
      <c r="L332" s="14">
        <v>41.065299555555548</v>
      </c>
      <c r="M332" s="14">
        <v>52.903259444444444</v>
      </c>
      <c r="N332" s="14">
        <v>54.929119444444439</v>
      </c>
      <c r="O332" s="14">
        <v>55.701189388888878</v>
      </c>
      <c r="P332" s="14">
        <v>57.417269388888876</v>
      </c>
      <c r="Q332" s="14">
        <v>62.475019333333336</v>
      </c>
      <c r="R332" s="15">
        <v>74.691099262471113</v>
      </c>
      <c r="S332" s="14">
        <v>48.719709470242222</v>
      </c>
      <c r="T332" s="14">
        <v>48.719709470242222</v>
      </c>
      <c r="U332" s="14">
        <v>48.719709470242222</v>
      </c>
      <c r="V332" s="14">
        <v>48.719709470242222</v>
      </c>
      <c r="W332" s="14">
        <v>48.719709470242222</v>
      </c>
      <c r="X332" s="14">
        <v>48.719709470242222</v>
      </c>
      <c r="Y332" s="14">
        <v>48.719709470242222</v>
      </c>
      <c r="Z332" s="14">
        <v>48.719709470242222</v>
      </c>
      <c r="AA332" s="14">
        <v>48.719709470242222</v>
      </c>
      <c r="AB332" s="14">
        <v>48.719709470242222</v>
      </c>
      <c r="AC332" s="14">
        <v>48.719709470242222</v>
      </c>
      <c r="AD332" s="14">
        <v>52.903259444444444</v>
      </c>
      <c r="AE332" s="14">
        <v>54.929119444444439</v>
      </c>
      <c r="AF332" s="14">
        <v>55.701189388888878</v>
      </c>
      <c r="AG332" s="14">
        <v>57.417269388888876</v>
      </c>
      <c r="AH332" s="14">
        <v>62.475019333333336</v>
      </c>
      <c r="AI332" s="15">
        <v>74.691099262471113</v>
      </c>
      <c r="AJ332" s="14">
        <v>59.906169380750562</v>
      </c>
      <c r="AK332" s="14">
        <v>59.906169380750562</v>
      </c>
      <c r="AL332" s="14">
        <v>59.906169380750562</v>
      </c>
      <c r="AM332" s="14">
        <v>59.906169380750562</v>
      </c>
      <c r="AN332" s="14">
        <v>59.906169380750562</v>
      </c>
      <c r="AO332" s="14">
        <v>59.906169380750562</v>
      </c>
      <c r="AP332" s="14">
        <v>59.906169380750562</v>
      </c>
      <c r="AQ332" s="14">
        <v>59.906169380750562</v>
      </c>
      <c r="AR332" s="14">
        <v>62.475019333333336</v>
      </c>
      <c r="AS332" s="14">
        <v>74.691099262471113</v>
      </c>
    </row>
    <row r="333" spans="1:45" x14ac:dyDescent="0.35">
      <c r="A333" s="16">
        <v>9648.7488000000303</v>
      </c>
      <c r="B333" s="14">
        <v>4.0897598277777787</v>
      </c>
      <c r="C333" s="14">
        <v>4.0906348277777758</v>
      </c>
      <c r="D333" s="14">
        <v>4.1155748277777784</v>
      </c>
      <c r="E333" s="14">
        <v>4.1531758277777797</v>
      </c>
      <c r="F333" s="14">
        <v>4.2186148277777766</v>
      </c>
      <c r="G333" s="14">
        <v>4.3251308277777767</v>
      </c>
      <c r="H333" s="14">
        <v>4.4779208222222202</v>
      </c>
      <c r="I333" s="14">
        <v>4.7355658222222239</v>
      </c>
      <c r="J333" s="14">
        <v>6.3732918111111108</v>
      </c>
      <c r="K333" s="14">
        <v>16.222249727777776</v>
      </c>
      <c r="L333" s="14">
        <v>40.622319555555556</v>
      </c>
      <c r="M333" s="14">
        <v>52.747389444444444</v>
      </c>
      <c r="N333" s="14">
        <v>54.858289444444445</v>
      </c>
      <c r="O333" s="14">
        <v>55.630799388888889</v>
      </c>
      <c r="P333" s="14">
        <v>57.351229388888896</v>
      </c>
      <c r="Q333" s="14">
        <v>62.423499333333325</v>
      </c>
      <c r="R333" s="15">
        <v>74.63827926289332</v>
      </c>
      <c r="S333" s="14">
        <v>48.687399470500552</v>
      </c>
      <c r="T333" s="14">
        <v>48.687399470500552</v>
      </c>
      <c r="U333" s="14">
        <v>48.687399470500552</v>
      </c>
      <c r="V333" s="14">
        <v>48.687399470500552</v>
      </c>
      <c r="W333" s="14">
        <v>48.687399470500552</v>
      </c>
      <c r="X333" s="14">
        <v>48.687399470500552</v>
      </c>
      <c r="Y333" s="14">
        <v>48.687399470500552</v>
      </c>
      <c r="Z333" s="14">
        <v>48.687399470500552</v>
      </c>
      <c r="AA333" s="14">
        <v>48.687399470500552</v>
      </c>
      <c r="AB333" s="14">
        <v>48.687399470500552</v>
      </c>
      <c r="AC333" s="14">
        <v>48.687399470500552</v>
      </c>
      <c r="AD333" s="14">
        <v>52.747389444444444</v>
      </c>
      <c r="AE333" s="14">
        <v>54.858289444444445</v>
      </c>
      <c r="AF333" s="14">
        <v>55.630799388888889</v>
      </c>
      <c r="AG333" s="14">
        <v>57.351229388888896</v>
      </c>
      <c r="AH333" s="14">
        <v>62.423499333333325</v>
      </c>
      <c r="AI333" s="15">
        <v>74.63827926289332</v>
      </c>
      <c r="AJ333" s="14">
        <v>59.865149381078332</v>
      </c>
      <c r="AK333" s="14">
        <v>59.865149381078332</v>
      </c>
      <c r="AL333" s="14">
        <v>59.865149381078332</v>
      </c>
      <c r="AM333" s="14">
        <v>59.865149381078332</v>
      </c>
      <c r="AN333" s="14">
        <v>59.865149381078332</v>
      </c>
      <c r="AO333" s="14">
        <v>59.865149381078332</v>
      </c>
      <c r="AP333" s="14">
        <v>59.865149381078332</v>
      </c>
      <c r="AQ333" s="14">
        <v>59.865149381078332</v>
      </c>
      <c r="AR333" s="14">
        <v>62.423499333333325</v>
      </c>
      <c r="AS333" s="14">
        <v>74.63827926289332</v>
      </c>
    </row>
    <row r="334" spans="1:45" x14ac:dyDescent="0.35">
      <c r="A334" s="16">
        <v>9686.8488000000307</v>
      </c>
      <c r="B334" s="14">
        <v>4.0880248277777769</v>
      </c>
      <c r="C334" s="14">
        <v>4.0886958277777792</v>
      </c>
      <c r="D334" s="14">
        <v>4.1148408277777788</v>
      </c>
      <c r="E334" s="14">
        <v>4.1535728277777766</v>
      </c>
      <c r="F334" s="14">
        <v>4.2197168277777779</v>
      </c>
      <c r="G334" s="14">
        <v>4.326715827777778</v>
      </c>
      <c r="H334" s="14">
        <v>4.4793788222222215</v>
      </c>
      <c r="I334" s="14">
        <v>4.7299878222222231</v>
      </c>
      <c r="J334" s="14">
        <v>6.3070488111111125</v>
      </c>
      <c r="K334" s="14">
        <v>15.902079733333332</v>
      </c>
      <c r="L334" s="14">
        <v>40.174519555555555</v>
      </c>
      <c r="M334" s="14">
        <v>52.586909444444444</v>
      </c>
      <c r="N334" s="14">
        <v>54.786129444444455</v>
      </c>
      <c r="O334" s="14">
        <v>55.559199388888878</v>
      </c>
      <c r="P334" s="14">
        <v>57.283949388888885</v>
      </c>
      <c r="Q334" s="14">
        <v>62.370799333333338</v>
      </c>
      <c r="R334" s="15">
        <v>74.584029263327224</v>
      </c>
      <c r="S334" s="14">
        <v>48.656399470748333</v>
      </c>
      <c r="T334" s="14">
        <v>48.656399470748333</v>
      </c>
      <c r="U334" s="14">
        <v>48.656399470748333</v>
      </c>
      <c r="V334" s="14">
        <v>48.656399470748333</v>
      </c>
      <c r="W334" s="14">
        <v>48.656399470748333</v>
      </c>
      <c r="X334" s="14">
        <v>48.656399470748333</v>
      </c>
      <c r="Y334" s="14">
        <v>48.656399470748333</v>
      </c>
      <c r="Z334" s="14">
        <v>48.656399470748333</v>
      </c>
      <c r="AA334" s="14">
        <v>48.656399470748333</v>
      </c>
      <c r="AB334" s="14">
        <v>48.656399470748333</v>
      </c>
      <c r="AC334" s="14">
        <v>48.656399470748333</v>
      </c>
      <c r="AD334" s="14">
        <v>52.586909444444444</v>
      </c>
      <c r="AE334" s="14">
        <v>54.786129444444455</v>
      </c>
      <c r="AF334" s="14">
        <v>55.559199388888878</v>
      </c>
      <c r="AG334" s="14">
        <v>57.283949388888885</v>
      </c>
      <c r="AH334" s="14">
        <v>62.370799333333338</v>
      </c>
      <c r="AI334" s="15">
        <v>74.584029263327224</v>
      </c>
      <c r="AJ334" s="14">
        <v>59.823879381408887</v>
      </c>
      <c r="AK334" s="14">
        <v>59.823879381408887</v>
      </c>
      <c r="AL334" s="14">
        <v>59.823879381408887</v>
      </c>
      <c r="AM334" s="14">
        <v>59.823879381408887</v>
      </c>
      <c r="AN334" s="14">
        <v>59.823879381408887</v>
      </c>
      <c r="AO334" s="14">
        <v>59.823879381408887</v>
      </c>
      <c r="AP334" s="14">
        <v>59.823879381408887</v>
      </c>
      <c r="AQ334" s="14">
        <v>59.823879381408887</v>
      </c>
      <c r="AR334" s="14">
        <v>62.370799333333338</v>
      </c>
      <c r="AS334" s="14">
        <v>74.584029263327224</v>
      </c>
    </row>
    <row r="335" spans="1:45" x14ac:dyDescent="0.35">
      <c r="A335" s="16">
        <v>9724.948800000031</v>
      </c>
      <c r="B335" s="14">
        <v>4.0879918277777785</v>
      </c>
      <c r="C335" s="14">
        <v>4.0858928277777791</v>
      </c>
      <c r="D335" s="14">
        <v>4.113170827777779</v>
      </c>
      <c r="E335" s="14">
        <v>4.1529918277777771</v>
      </c>
      <c r="F335" s="14">
        <v>4.2198578277777763</v>
      </c>
      <c r="G335" s="14">
        <v>4.3273558277777759</v>
      </c>
      <c r="H335" s="14">
        <v>4.479965822222221</v>
      </c>
      <c r="I335" s="14">
        <v>4.7239078222222215</v>
      </c>
      <c r="J335" s="14">
        <v>6.2427058111111107</v>
      </c>
      <c r="K335" s="14">
        <v>15.587759733333334</v>
      </c>
      <c r="L335" s="14">
        <v>39.723999555555551</v>
      </c>
      <c r="M335" s="14">
        <v>52.421739444444448</v>
      </c>
      <c r="N335" s="14">
        <v>54.712659444444448</v>
      </c>
      <c r="O335" s="14">
        <v>55.486399388888884</v>
      </c>
      <c r="P335" s="14">
        <v>57.215449388888892</v>
      </c>
      <c r="Q335" s="14">
        <v>62.316909388888888</v>
      </c>
      <c r="R335" s="15">
        <v>74.528479263771658</v>
      </c>
      <c r="S335" s="14">
        <v>48.630469470956115</v>
      </c>
      <c r="T335" s="14">
        <v>48.630469470956115</v>
      </c>
      <c r="U335" s="14">
        <v>48.630469470956115</v>
      </c>
      <c r="V335" s="14">
        <v>48.630469470956115</v>
      </c>
      <c r="W335" s="14">
        <v>48.630469470956115</v>
      </c>
      <c r="X335" s="14">
        <v>48.630469470956115</v>
      </c>
      <c r="Y335" s="14">
        <v>48.630469470956115</v>
      </c>
      <c r="Z335" s="14">
        <v>48.630469470956115</v>
      </c>
      <c r="AA335" s="14">
        <v>48.630469470956115</v>
      </c>
      <c r="AB335" s="14">
        <v>48.630469470956115</v>
      </c>
      <c r="AC335" s="14">
        <v>48.630469470956115</v>
      </c>
      <c r="AD335" s="14">
        <v>52.421739444444448</v>
      </c>
      <c r="AE335" s="14">
        <v>54.712659444444448</v>
      </c>
      <c r="AF335" s="14">
        <v>55.486399388888884</v>
      </c>
      <c r="AG335" s="14">
        <v>57.215449388888892</v>
      </c>
      <c r="AH335" s="14">
        <v>62.316909388888888</v>
      </c>
      <c r="AI335" s="15">
        <v>74.528479263771658</v>
      </c>
      <c r="AJ335" s="14">
        <v>59.786209381709995</v>
      </c>
      <c r="AK335" s="14">
        <v>59.786209381709995</v>
      </c>
      <c r="AL335" s="14">
        <v>59.786209381709995</v>
      </c>
      <c r="AM335" s="14">
        <v>59.786209381709995</v>
      </c>
      <c r="AN335" s="14">
        <v>59.786209381709995</v>
      </c>
      <c r="AO335" s="14">
        <v>59.786209381709995</v>
      </c>
      <c r="AP335" s="14">
        <v>59.786209381709995</v>
      </c>
      <c r="AQ335" s="14">
        <v>59.786209381709995</v>
      </c>
      <c r="AR335" s="14">
        <v>62.316909388888888</v>
      </c>
      <c r="AS335" s="14">
        <v>74.528479263771658</v>
      </c>
    </row>
    <row r="336" spans="1:45" x14ac:dyDescent="0.35">
      <c r="A336" s="16">
        <v>9763.0488000000296</v>
      </c>
      <c r="B336" s="14">
        <v>4.0869238277777793</v>
      </c>
      <c r="C336" s="14">
        <v>4.0831898277777787</v>
      </c>
      <c r="D336" s="14">
        <v>4.1115998277777761</v>
      </c>
      <c r="E336" s="14">
        <v>4.1524758277777787</v>
      </c>
      <c r="F336" s="14">
        <v>4.2200828277777767</v>
      </c>
      <c r="G336" s="14">
        <v>4.3280978277777784</v>
      </c>
      <c r="H336" s="14">
        <v>4.4807148222222217</v>
      </c>
      <c r="I336" s="14">
        <v>4.7183368222222235</v>
      </c>
      <c r="J336" s="14">
        <v>6.1811958111111114</v>
      </c>
      <c r="K336" s="14">
        <v>15.279669738888892</v>
      </c>
      <c r="L336" s="14">
        <v>39.272109555555552</v>
      </c>
      <c r="M336" s="14">
        <v>52.253109444444448</v>
      </c>
      <c r="N336" s="14">
        <v>54.63918944444444</v>
      </c>
      <c r="O336" s="14">
        <v>55.413729444444442</v>
      </c>
      <c r="P336" s="14">
        <v>57.147099388888897</v>
      </c>
      <c r="Q336" s="14">
        <v>62.263239388888877</v>
      </c>
      <c r="R336" s="15">
        <v>74.473159264214445</v>
      </c>
      <c r="S336" s="14">
        <v>48.607529471139443</v>
      </c>
      <c r="T336" s="14">
        <v>48.607529471139443</v>
      </c>
      <c r="U336" s="14">
        <v>48.607529471139443</v>
      </c>
      <c r="V336" s="14">
        <v>48.607529471139443</v>
      </c>
      <c r="W336" s="14">
        <v>48.607529471139443</v>
      </c>
      <c r="X336" s="14">
        <v>48.607529471139443</v>
      </c>
      <c r="Y336" s="14">
        <v>48.607529471139443</v>
      </c>
      <c r="Z336" s="14">
        <v>48.607529471139443</v>
      </c>
      <c r="AA336" s="14">
        <v>48.607529471139443</v>
      </c>
      <c r="AB336" s="14">
        <v>48.607529471139443</v>
      </c>
      <c r="AC336" s="14">
        <v>48.607529471139443</v>
      </c>
      <c r="AD336" s="14">
        <v>52.253109444444448</v>
      </c>
      <c r="AE336" s="14">
        <v>54.63918944444444</v>
      </c>
      <c r="AF336" s="14">
        <v>55.413729444444442</v>
      </c>
      <c r="AG336" s="14">
        <v>57.147099388888897</v>
      </c>
      <c r="AH336" s="14">
        <v>62.263239388888877</v>
      </c>
      <c r="AI336" s="15">
        <v>74.473159264214445</v>
      </c>
      <c r="AJ336" s="14">
        <v>59.748039382015548</v>
      </c>
      <c r="AK336" s="14">
        <v>59.748039382015548</v>
      </c>
      <c r="AL336" s="14">
        <v>59.748039382015548</v>
      </c>
      <c r="AM336" s="14">
        <v>59.748039382015548</v>
      </c>
      <c r="AN336" s="14">
        <v>59.748039382015548</v>
      </c>
      <c r="AO336" s="14">
        <v>59.748039382015548</v>
      </c>
      <c r="AP336" s="14">
        <v>59.748039382015548</v>
      </c>
      <c r="AQ336" s="14">
        <v>59.748039382015548</v>
      </c>
      <c r="AR336" s="14">
        <v>62.263239388888877</v>
      </c>
      <c r="AS336" s="14">
        <v>74.473159264214445</v>
      </c>
    </row>
    <row r="337" spans="1:45" x14ac:dyDescent="0.35">
      <c r="A337" s="16">
        <v>9801.14880000003</v>
      </c>
      <c r="B337" s="14">
        <v>4.0897728277777761</v>
      </c>
      <c r="C337" s="14">
        <v>4.0808438277777785</v>
      </c>
      <c r="D337" s="14">
        <v>4.1102628277777793</v>
      </c>
      <c r="E337" s="14">
        <v>4.1520538277777774</v>
      </c>
      <c r="F337" s="14">
        <v>4.2203978277777781</v>
      </c>
      <c r="G337" s="14">
        <v>4.3289428277777766</v>
      </c>
      <c r="H337" s="14">
        <v>4.4816238222222218</v>
      </c>
      <c r="I337" s="14">
        <v>4.713254822222221</v>
      </c>
      <c r="J337" s="14">
        <v>6.1224178111111112</v>
      </c>
      <c r="K337" s="14">
        <v>14.979039738888892</v>
      </c>
      <c r="L337" s="14">
        <v>38.818979555555558</v>
      </c>
      <c r="M337" s="14">
        <v>52.080909444444444</v>
      </c>
      <c r="N337" s="14">
        <v>54.565709444444444</v>
      </c>
      <c r="O337" s="14">
        <v>55.341219444444441</v>
      </c>
      <c r="P337" s="14">
        <v>57.078889388888882</v>
      </c>
      <c r="Q337" s="14">
        <v>62.209779388888883</v>
      </c>
      <c r="R337" s="15">
        <v>74.418069264655003</v>
      </c>
      <c r="S337" s="14">
        <v>48.608679471130557</v>
      </c>
      <c r="T337" s="14">
        <v>48.608679471130557</v>
      </c>
      <c r="U337" s="14">
        <v>48.608679471130557</v>
      </c>
      <c r="V337" s="14">
        <v>48.608679471130557</v>
      </c>
      <c r="W337" s="14">
        <v>48.608679471130557</v>
      </c>
      <c r="X337" s="14">
        <v>48.608679471130557</v>
      </c>
      <c r="Y337" s="14">
        <v>48.608679471130557</v>
      </c>
      <c r="Z337" s="14">
        <v>48.608679471130557</v>
      </c>
      <c r="AA337" s="14">
        <v>48.608679471130557</v>
      </c>
      <c r="AB337" s="14">
        <v>48.608679471130557</v>
      </c>
      <c r="AC337" s="14">
        <v>48.608679471130557</v>
      </c>
      <c r="AD337" s="14">
        <v>52.080909444444444</v>
      </c>
      <c r="AE337" s="14">
        <v>54.565709444444444</v>
      </c>
      <c r="AF337" s="14">
        <v>55.341219444444441</v>
      </c>
      <c r="AG337" s="14">
        <v>57.078889388888882</v>
      </c>
      <c r="AH337" s="14">
        <v>62.209779388888883</v>
      </c>
      <c r="AI337" s="15">
        <v>74.418069264655003</v>
      </c>
      <c r="AJ337" s="14">
        <v>59.736679382106104</v>
      </c>
      <c r="AK337" s="14">
        <v>59.736679382106104</v>
      </c>
      <c r="AL337" s="14">
        <v>59.736679382106104</v>
      </c>
      <c r="AM337" s="14">
        <v>59.736679382106104</v>
      </c>
      <c r="AN337" s="14">
        <v>59.736679382106104</v>
      </c>
      <c r="AO337" s="14">
        <v>59.736679382106104</v>
      </c>
      <c r="AP337" s="14">
        <v>59.736679382106104</v>
      </c>
      <c r="AQ337" s="14">
        <v>59.736679382106104</v>
      </c>
      <c r="AR337" s="14">
        <v>62.209779388888883</v>
      </c>
      <c r="AS337" s="14">
        <v>74.418069264655003</v>
      </c>
    </row>
    <row r="338" spans="1:45" x14ac:dyDescent="0.35">
      <c r="A338" s="16">
        <v>9831.5548860000308</v>
      </c>
      <c r="B338" s="14">
        <v>4.0849978277777765</v>
      </c>
      <c r="C338" s="14">
        <v>4.0790628277777765</v>
      </c>
      <c r="D338" s="14">
        <v>4.1091748277777755</v>
      </c>
      <c r="E338" s="14">
        <v>4.1517498277777776</v>
      </c>
      <c r="F338" s="14">
        <v>4.2208288277777779</v>
      </c>
      <c r="G338" s="14">
        <v>4.3300508277777778</v>
      </c>
      <c r="H338" s="14">
        <v>4.4830978222222209</v>
      </c>
      <c r="I338" s="14">
        <v>4.7113968222222233</v>
      </c>
      <c r="J338" s="14">
        <v>6.0896148111111099</v>
      </c>
      <c r="K338" s="14">
        <v>14.803519738888888</v>
      </c>
      <c r="L338" s="14">
        <v>38.549159555555555</v>
      </c>
      <c r="M338" s="14">
        <v>51.977529444444443</v>
      </c>
      <c r="N338" s="14">
        <v>54.522429444444448</v>
      </c>
      <c r="O338" s="14">
        <v>55.298539444444451</v>
      </c>
      <c r="P338" s="14">
        <v>57.038779388888898</v>
      </c>
      <c r="Q338" s="14">
        <v>62.17842938888888</v>
      </c>
      <c r="R338" s="15">
        <v>74.38563926491446</v>
      </c>
      <c r="S338" s="14">
        <v>48.554169471566667</v>
      </c>
      <c r="T338" s="14">
        <v>48.554169471566667</v>
      </c>
      <c r="U338" s="14">
        <v>48.554169471566667</v>
      </c>
      <c r="V338" s="14">
        <v>48.554169471566667</v>
      </c>
      <c r="W338" s="14">
        <v>48.554169471566667</v>
      </c>
      <c r="X338" s="14">
        <v>48.554169471566667</v>
      </c>
      <c r="Y338" s="14">
        <v>48.554169471566667</v>
      </c>
      <c r="Z338" s="14">
        <v>48.554169471566667</v>
      </c>
      <c r="AA338" s="14">
        <v>48.554169471566667</v>
      </c>
      <c r="AB338" s="14">
        <v>48.554169471566667</v>
      </c>
      <c r="AC338" s="14">
        <v>48.554169471566667</v>
      </c>
      <c r="AD338" s="14">
        <v>51.977529444444443</v>
      </c>
      <c r="AE338" s="14">
        <v>54.522429444444448</v>
      </c>
      <c r="AF338" s="14">
        <v>55.298539444444451</v>
      </c>
      <c r="AG338" s="14">
        <v>57.038779388888898</v>
      </c>
      <c r="AH338" s="14">
        <v>62.17842938888888</v>
      </c>
      <c r="AI338" s="15">
        <v>74.38563926491446</v>
      </c>
      <c r="AJ338" s="14">
        <v>59.687629382498891</v>
      </c>
      <c r="AK338" s="14">
        <v>59.687629382498891</v>
      </c>
      <c r="AL338" s="14">
        <v>59.687629382498891</v>
      </c>
      <c r="AM338" s="14">
        <v>59.687629382498891</v>
      </c>
      <c r="AN338" s="14">
        <v>59.687629382498891</v>
      </c>
      <c r="AO338" s="14">
        <v>59.687629382498891</v>
      </c>
      <c r="AP338" s="14">
        <v>59.687629382498891</v>
      </c>
      <c r="AQ338" s="14">
        <v>59.687629382498891</v>
      </c>
      <c r="AR338" s="14">
        <v>62.17842938888888</v>
      </c>
      <c r="AS338" s="14">
        <v>74.38563926491446</v>
      </c>
    </row>
    <row r="339" spans="1:45" x14ac:dyDescent="0.35">
      <c r="A339" s="16">
        <v>9854.2670580000304</v>
      </c>
      <c r="B339" s="14">
        <v>4.0852878277777789</v>
      </c>
      <c r="C339" s="14">
        <v>4.076646827777779</v>
      </c>
      <c r="D339" s="14">
        <v>4.1074068277777762</v>
      </c>
      <c r="E339" s="14">
        <v>4.1505498277777795</v>
      </c>
      <c r="F339" s="14">
        <v>4.2200808277777764</v>
      </c>
      <c r="G339" s="14">
        <v>4.3296428277777785</v>
      </c>
      <c r="H339" s="14">
        <v>4.4827888222222221</v>
      </c>
      <c r="I339" s="14">
        <v>4.7077308222222234</v>
      </c>
      <c r="J339" s="14">
        <v>6.0554798111111117</v>
      </c>
      <c r="K339" s="14">
        <v>14.628529744444446</v>
      </c>
      <c r="L339" s="14">
        <v>38.276549555555562</v>
      </c>
      <c r="M339" s="14">
        <v>51.870699444444448</v>
      </c>
      <c r="N339" s="14">
        <v>54.477349444444435</v>
      </c>
      <c r="O339" s="14">
        <v>55.254139444444441</v>
      </c>
      <c r="P339" s="14">
        <v>56.996929388888894</v>
      </c>
      <c r="Q339" s="14">
        <v>62.14538938888888</v>
      </c>
      <c r="R339" s="15">
        <v>74.351539265187228</v>
      </c>
      <c r="S339" s="14">
        <v>48.496619472026673</v>
      </c>
      <c r="T339" s="14">
        <v>48.496619472026673</v>
      </c>
      <c r="U339" s="14">
        <v>48.496619472026673</v>
      </c>
      <c r="V339" s="14">
        <v>48.496619472026673</v>
      </c>
      <c r="W339" s="14">
        <v>48.496619472026673</v>
      </c>
      <c r="X339" s="14">
        <v>48.496619472026673</v>
      </c>
      <c r="Y339" s="14">
        <v>48.496619472026673</v>
      </c>
      <c r="Z339" s="14">
        <v>48.496619472026673</v>
      </c>
      <c r="AA339" s="14">
        <v>48.496619472026673</v>
      </c>
      <c r="AB339" s="14">
        <v>48.496619472026673</v>
      </c>
      <c r="AC339" s="14">
        <v>48.496619472026673</v>
      </c>
      <c r="AD339" s="14">
        <v>51.870699444444448</v>
      </c>
      <c r="AE339" s="14">
        <v>54.477349444444435</v>
      </c>
      <c r="AF339" s="14">
        <v>55.254139444444441</v>
      </c>
      <c r="AG339" s="14">
        <v>56.996929388888894</v>
      </c>
      <c r="AH339" s="14">
        <v>62.14538938888888</v>
      </c>
      <c r="AI339" s="15">
        <v>74.351539265187228</v>
      </c>
      <c r="AJ339" s="14">
        <v>59.632169382942216</v>
      </c>
      <c r="AK339" s="14">
        <v>59.632169382942216</v>
      </c>
      <c r="AL339" s="14">
        <v>59.632169382942216</v>
      </c>
      <c r="AM339" s="14">
        <v>59.632169382942216</v>
      </c>
      <c r="AN339" s="14">
        <v>59.632169382942216</v>
      </c>
      <c r="AO339" s="14">
        <v>59.632169382942216</v>
      </c>
      <c r="AP339" s="14">
        <v>59.632169382942216</v>
      </c>
      <c r="AQ339" s="14">
        <v>59.632169382942216</v>
      </c>
      <c r="AR339" s="14">
        <v>62.14538938888888</v>
      </c>
      <c r="AS339" s="14">
        <v>74.351539265187228</v>
      </c>
    </row>
    <row r="340" spans="1:45" x14ac:dyDescent="0.35">
      <c r="A340" s="16">
        <v>9876.9792300000317</v>
      </c>
      <c r="B340" s="14">
        <v>4.0857138277777789</v>
      </c>
      <c r="C340" s="14">
        <v>4.0743138277777762</v>
      </c>
      <c r="D340" s="14">
        <v>4.1056598277777763</v>
      </c>
      <c r="E340" s="14">
        <v>4.1493228277777776</v>
      </c>
      <c r="F340" s="14">
        <v>4.2193018277777758</v>
      </c>
      <c r="G340" s="14">
        <v>4.3292088277777792</v>
      </c>
      <c r="H340" s="14">
        <v>4.4824738222222233</v>
      </c>
      <c r="I340" s="14">
        <v>4.7041678222222236</v>
      </c>
      <c r="J340" s="14">
        <v>6.0221878111111122</v>
      </c>
      <c r="K340" s="14">
        <v>14.456059744444445</v>
      </c>
      <c r="L340" s="14">
        <v>38.002779555555556</v>
      </c>
      <c r="M340" s="14">
        <v>51.76241944444444</v>
      </c>
      <c r="N340" s="14">
        <v>54.432179444444451</v>
      </c>
      <c r="O340" s="14">
        <v>55.209709444444442</v>
      </c>
      <c r="P340" s="14">
        <v>56.955049388888902</v>
      </c>
      <c r="Q340" s="14">
        <v>62.112349388888887</v>
      </c>
      <c r="R340" s="15">
        <v>74.317429265460007</v>
      </c>
      <c r="S340" s="14">
        <v>48.472649472218329</v>
      </c>
      <c r="T340" s="14">
        <v>48.472649472218329</v>
      </c>
      <c r="U340" s="14">
        <v>48.472649472218329</v>
      </c>
      <c r="V340" s="14">
        <v>48.472649472218329</v>
      </c>
      <c r="W340" s="14">
        <v>48.472649472218329</v>
      </c>
      <c r="X340" s="14">
        <v>48.472649472218329</v>
      </c>
      <c r="Y340" s="14">
        <v>48.472649472218329</v>
      </c>
      <c r="Z340" s="14">
        <v>48.472649472218329</v>
      </c>
      <c r="AA340" s="14">
        <v>48.472649472218329</v>
      </c>
      <c r="AB340" s="14">
        <v>48.472649472218329</v>
      </c>
      <c r="AC340" s="14">
        <v>48.472649472218329</v>
      </c>
      <c r="AD340" s="14">
        <v>51.76241944444444</v>
      </c>
      <c r="AE340" s="14">
        <v>54.432179444444451</v>
      </c>
      <c r="AF340" s="14">
        <v>55.209709444444442</v>
      </c>
      <c r="AG340" s="14">
        <v>56.955049388888902</v>
      </c>
      <c r="AH340" s="14">
        <v>62.112349388888887</v>
      </c>
      <c r="AI340" s="15">
        <v>74.317429265460007</v>
      </c>
      <c r="AJ340" s="14">
        <v>59.602119383182782</v>
      </c>
      <c r="AK340" s="14">
        <v>59.602119383182782</v>
      </c>
      <c r="AL340" s="14">
        <v>59.602119383182782</v>
      </c>
      <c r="AM340" s="14">
        <v>59.602119383182782</v>
      </c>
      <c r="AN340" s="14">
        <v>59.602119383182782</v>
      </c>
      <c r="AO340" s="14">
        <v>59.602119383182782</v>
      </c>
      <c r="AP340" s="14">
        <v>59.602119383182782</v>
      </c>
      <c r="AQ340" s="14">
        <v>59.602119383182782</v>
      </c>
      <c r="AR340" s="14">
        <v>62.112349388888887</v>
      </c>
      <c r="AS340" s="14">
        <v>74.317429265460007</v>
      </c>
    </row>
    <row r="341" spans="1:45" x14ac:dyDescent="0.35">
      <c r="A341" s="16">
        <v>9899.6914020000313</v>
      </c>
      <c r="B341" s="14">
        <v>4.0861398277777798</v>
      </c>
      <c r="C341" s="14">
        <v>4.0720788277777782</v>
      </c>
      <c r="D341" s="14">
        <v>4.1039358277777778</v>
      </c>
      <c r="E341" s="14">
        <v>4.1480708277777758</v>
      </c>
      <c r="F341" s="14">
        <v>4.2184918277777763</v>
      </c>
      <c r="G341" s="14">
        <v>4.3287488277777797</v>
      </c>
      <c r="H341" s="14">
        <v>4.482152822222222</v>
      </c>
      <c r="I341" s="14">
        <v>4.7007048222222245</v>
      </c>
      <c r="J341" s="14">
        <v>5.9897188111111097</v>
      </c>
      <c r="K341" s="14">
        <v>14.286069744444445</v>
      </c>
      <c r="L341" s="14">
        <v>37.728809555555557</v>
      </c>
      <c r="M341" s="14">
        <v>51.652809444444443</v>
      </c>
      <c r="N341" s="14">
        <v>54.386919444444445</v>
      </c>
      <c r="O341" s="14">
        <v>55.165249444444449</v>
      </c>
      <c r="P341" s="14">
        <v>56.913129388888898</v>
      </c>
      <c r="Q341" s="14">
        <v>62.079309388888888</v>
      </c>
      <c r="R341" s="15">
        <v>74.283299265733319</v>
      </c>
      <c r="S341" s="14">
        <v>48.448639472410562</v>
      </c>
      <c r="T341" s="14">
        <v>48.448639472410562</v>
      </c>
      <c r="U341" s="14">
        <v>48.448639472410562</v>
      </c>
      <c r="V341" s="14">
        <v>48.448639472410562</v>
      </c>
      <c r="W341" s="14">
        <v>48.448639472410562</v>
      </c>
      <c r="X341" s="14">
        <v>48.448639472410562</v>
      </c>
      <c r="Y341" s="14">
        <v>48.448639472410562</v>
      </c>
      <c r="Z341" s="14">
        <v>48.448639472410562</v>
      </c>
      <c r="AA341" s="14">
        <v>48.448639472410562</v>
      </c>
      <c r="AB341" s="14">
        <v>48.448639472410562</v>
      </c>
      <c r="AC341" s="14">
        <v>48.448639472410562</v>
      </c>
      <c r="AD341" s="14">
        <v>51.652809444444443</v>
      </c>
      <c r="AE341" s="14">
        <v>54.386919444444445</v>
      </c>
      <c r="AF341" s="14">
        <v>55.165249444444449</v>
      </c>
      <c r="AG341" s="14">
        <v>56.913129388888898</v>
      </c>
      <c r="AH341" s="14">
        <v>62.079309388888888</v>
      </c>
      <c r="AI341" s="15">
        <v>74.283299265733319</v>
      </c>
      <c r="AJ341" s="14">
        <v>59.570139383438878</v>
      </c>
      <c r="AK341" s="14">
        <v>59.570139383438878</v>
      </c>
      <c r="AL341" s="14">
        <v>59.570139383438878</v>
      </c>
      <c r="AM341" s="14">
        <v>59.570139383438878</v>
      </c>
      <c r="AN341" s="14">
        <v>59.570139383438878</v>
      </c>
      <c r="AO341" s="14">
        <v>59.570139383438878</v>
      </c>
      <c r="AP341" s="14">
        <v>59.570139383438878</v>
      </c>
      <c r="AQ341" s="14">
        <v>59.570139383438878</v>
      </c>
      <c r="AR341" s="14">
        <v>62.079309388888888</v>
      </c>
      <c r="AS341" s="14">
        <v>74.283299265733319</v>
      </c>
    </row>
    <row r="342" spans="1:45" x14ac:dyDescent="0.35">
      <c r="A342" s="16">
        <v>9930.0974880000304</v>
      </c>
      <c r="B342" s="14">
        <v>4.0862718277777788</v>
      </c>
      <c r="C342" s="14">
        <v>4.0691898277777758</v>
      </c>
      <c r="D342" s="14">
        <v>4.1016378277777772</v>
      </c>
      <c r="E342" s="14">
        <v>4.1462658277777784</v>
      </c>
      <c r="F342" s="14">
        <v>4.2171398277777783</v>
      </c>
      <c r="G342" s="14">
        <v>4.3276398277777792</v>
      </c>
      <c r="H342" s="14">
        <v>4.481009822222223</v>
      </c>
      <c r="I342" s="14">
        <v>4.6944618222222205</v>
      </c>
      <c r="J342" s="14">
        <v>5.9364758111111096</v>
      </c>
      <c r="K342" s="14">
        <v>14.006989750000002</v>
      </c>
      <c r="L342" s="14">
        <v>37.268389561111107</v>
      </c>
      <c r="M342" s="14">
        <v>51.464899444444448</v>
      </c>
      <c r="N342" s="14">
        <v>54.310579444444443</v>
      </c>
      <c r="O342" s="14">
        <v>55.090459444444441</v>
      </c>
      <c r="P342" s="14">
        <v>56.842619388888885</v>
      </c>
      <c r="Q342" s="14">
        <v>62.023829388888885</v>
      </c>
      <c r="R342" s="15">
        <v>74.226119266190551</v>
      </c>
      <c r="S342" s="14">
        <v>48.426969472583892</v>
      </c>
      <c r="T342" s="14">
        <v>48.426969472583892</v>
      </c>
      <c r="U342" s="14">
        <v>48.426969472583892</v>
      </c>
      <c r="V342" s="14">
        <v>48.426969472583892</v>
      </c>
      <c r="W342" s="14">
        <v>48.426969472583892</v>
      </c>
      <c r="X342" s="14">
        <v>48.426969472583892</v>
      </c>
      <c r="Y342" s="14">
        <v>48.426969472583892</v>
      </c>
      <c r="Z342" s="14">
        <v>48.426969472583892</v>
      </c>
      <c r="AA342" s="14">
        <v>48.426969472583892</v>
      </c>
      <c r="AB342" s="14">
        <v>48.426969472583892</v>
      </c>
      <c r="AC342" s="14">
        <v>48.426969472583892</v>
      </c>
      <c r="AD342" s="14">
        <v>51.464899444444448</v>
      </c>
      <c r="AE342" s="14">
        <v>54.310579444444443</v>
      </c>
      <c r="AF342" s="14">
        <v>55.090459444444441</v>
      </c>
      <c r="AG342" s="14">
        <v>56.842619388888885</v>
      </c>
      <c r="AH342" s="14">
        <v>62.023829388888885</v>
      </c>
      <c r="AI342" s="15">
        <v>74.226119266190551</v>
      </c>
      <c r="AJ342" s="14">
        <v>59.540269383677781</v>
      </c>
      <c r="AK342" s="14">
        <v>59.540269383677781</v>
      </c>
      <c r="AL342" s="14">
        <v>59.540269383677781</v>
      </c>
      <c r="AM342" s="14">
        <v>59.540269383677781</v>
      </c>
      <c r="AN342" s="14">
        <v>59.540269383677781</v>
      </c>
      <c r="AO342" s="14">
        <v>59.540269383677781</v>
      </c>
      <c r="AP342" s="14">
        <v>59.540269383677781</v>
      </c>
      <c r="AQ342" s="14">
        <v>59.540269383677781</v>
      </c>
      <c r="AR342" s="14">
        <v>62.023829388888885</v>
      </c>
      <c r="AS342" s="14">
        <v>74.226119266190551</v>
      </c>
    </row>
    <row r="343" spans="1:45" x14ac:dyDescent="0.35">
      <c r="A343" s="16">
        <v>9968.1974880000307</v>
      </c>
      <c r="B343" s="14">
        <v>4.0863128277777765</v>
      </c>
      <c r="C343" s="14">
        <v>4.0670558277777777</v>
      </c>
      <c r="D343" s="14">
        <v>4.0997818277777789</v>
      </c>
      <c r="E343" s="14">
        <v>4.1449898277777759</v>
      </c>
      <c r="F343" s="14">
        <v>4.2165858277777781</v>
      </c>
      <c r="G343" s="14">
        <v>4.3276948277777789</v>
      </c>
      <c r="H343" s="14">
        <v>4.481345822222222</v>
      </c>
      <c r="I343" s="14">
        <v>4.690118822222221</v>
      </c>
      <c r="J343" s="14">
        <v>5.8873098111111117</v>
      </c>
      <c r="K343" s="14">
        <v>13.736389749999997</v>
      </c>
      <c r="L343" s="14">
        <v>36.809169566666668</v>
      </c>
      <c r="M343" s="14">
        <v>51.274499444444444</v>
      </c>
      <c r="N343" s="14">
        <v>54.235299444444443</v>
      </c>
      <c r="O343" s="14">
        <v>55.016959444444446</v>
      </c>
      <c r="P343" s="14">
        <v>56.773399388888883</v>
      </c>
      <c r="Q343" s="14">
        <v>61.969649388888882</v>
      </c>
      <c r="R343" s="15">
        <v>74.170149266638333</v>
      </c>
      <c r="S343" s="14">
        <v>48.395869472832779</v>
      </c>
      <c r="T343" s="14">
        <v>48.395869472832779</v>
      </c>
      <c r="U343" s="14">
        <v>48.395869472832779</v>
      </c>
      <c r="V343" s="14">
        <v>48.395869472832779</v>
      </c>
      <c r="W343" s="14">
        <v>48.395869472832779</v>
      </c>
      <c r="X343" s="14">
        <v>48.395869472832779</v>
      </c>
      <c r="Y343" s="14">
        <v>48.395869472832779</v>
      </c>
      <c r="Z343" s="14">
        <v>48.395869472832779</v>
      </c>
      <c r="AA343" s="14">
        <v>48.395869472832779</v>
      </c>
      <c r="AB343" s="14">
        <v>48.395869472832779</v>
      </c>
      <c r="AC343" s="14">
        <v>48.395869472832779</v>
      </c>
      <c r="AD343" s="14">
        <v>51.274499444444444</v>
      </c>
      <c r="AE343" s="14">
        <v>54.235299444444443</v>
      </c>
      <c r="AF343" s="14">
        <v>55.016959444444446</v>
      </c>
      <c r="AG343" s="14">
        <v>56.773399388888883</v>
      </c>
      <c r="AH343" s="14">
        <v>61.969649388888882</v>
      </c>
      <c r="AI343" s="15">
        <v>74.170149266638333</v>
      </c>
      <c r="AJ343" s="14">
        <v>59.498879384008887</v>
      </c>
      <c r="AK343" s="14">
        <v>59.498879384008887</v>
      </c>
      <c r="AL343" s="14">
        <v>59.498879384008887</v>
      </c>
      <c r="AM343" s="14">
        <v>59.498879384008887</v>
      </c>
      <c r="AN343" s="14">
        <v>59.498879384008887</v>
      </c>
      <c r="AO343" s="14">
        <v>59.498879384008887</v>
      </c>
      <c r="AP343" s="14">
        <v>59.498879384008887</v>
      </c>
      <c r="AQ343" s="14">
        <v>59.498879384008887</v>
      </c>
      <c r="AR343" s="14">
        <v>61.969649388888882</v>
      </c>
      <c r="AS343" s="14">
        <v>74.170149266638333</v>
      </c>
    </row>
    <row r="344" spans="1:45" x14ac:dyDescent="0.35">
      <c r="A344" s="16">
        <v>10006.297488000031</v>
      </c>
      <c r="B344" s="14">
        <v>4.0856778277777765</v>
      </c>
      <c r="C344" s="14">
        <v>4.0653768277777793</v>
      </c>
      <c r="D344" s="14">
        <v>4.0980648277777796</v>
      </c>
      <c r="E344" s="14">
        <v>4.1437838277777788</v>
      </c>
      <c r="F344" s="14">
        <v>4.2160898277777763</v>
      </c>
      <c r="G344" s="14">
        <v>4.3278208277777788</v>
      </c>
      <c r="H344" s="14">
        <v>4.4818008222222225</v>
      </c>
      <c r="I344" s="14">
        <v>4.686147822222221</v>
      </c>
      <c r="J344" s="14">
        <v>5.8403278111111119</v>
      </c>
      <c r="K344" s="14">
        <v>13.472439750000001</v>
      </c>
      <c r="L344" s="14">
        <v>36.349899566666664</v>
      </c>
      <c r="M344" s="14">
        <v>51.080339444444441</v>
      </c>
      <c r="N344" s="14">
        <v>54.159609444444449</v>
      </c>
      <c r="O344" s="14">
        <v>54.94354944444445</v>
      </c>
      <c r="P344" s="14">
        <v>56.704269388888889</v>
      </c>
      <c r="Q344" s="14">
        <v>61.915649388888902</v>
      </c>
      <c r="R344" s="15">
        <v>74.114329267084997</v>
      </c>
      <c r="S344" s="14">
        <v>48.35975947312167</v>
      </c>
      <c r="T344" s="14">
        <v>48.35975947312167</v>
      </c>
      <c r="U344" s="14">
        <v>48.35975947312167</v>
      </c>
      <c r="V344" s="14">
        <v>48.35975947312167</v>
      </c>
      <c r="W344" s="14">
        <v>48.35975947312167</v>
      </c>
      <c r="X344" s="14">
        <v>48.35975947312167</v>
      </c>
      <c r="Y344" s="14">
        <v>48.35975947312167</v>
      </c>
      <c r="Z344" s="14">
        <v>48.35975947312167</v>
      </c>
      <c r="AA344" s="14">
        <v>48.35975947312167</v>
      </c>
      <c r="AB344" s="14">
        <v>48.35975947312167</v>
      </c>
      <c r="AC344" s="14">
        <v>48.35975947312167</v>
      </c>
      <c r="AD344" s="14">
        <v>51.080339444444441</v>
      </c>
      <c r="AE344" s="14">
        <v>54.159609444444449</v>
      </c>
      <c r="AF344" s="14">
        <v>54.94354944444445</v>
      </c>
      <c r="AG344" s="14">
        <v>56.704269388888889</v>
      </c>
      <c r="AH344" s="14">
        <v>61.915649388888902</v>
      </c>
      <c r="AI344" s="15">
        <v>74.114329267084997</v>
      </c>
      <c r="AJ344" s="14">
        <v>59.454929384360561</v>
      </c>
      <c r="AK344" s="14">
        <v>59.454929384360561</v>
      </c>
      <c r="AL344" s="14">
        <v>59.454929384360561</v>
      </c>
      <c r="AM344" s="14">
        <v>59.454929384360561</v>
      </c>
      <c r="AN344" s="14">
        <v>59.454929384360561</v>
      </c>
      <c r="AO344" s="14">
        <v>59.454929384360561</v>
      </c>
      <c r="AP344" s="14">
        <v>59.454929384360561</v>
      </c>
      <c r="AQ344" s="14">
        <v>59.454929384360561</v>
      </c>
      <c r="AR344" s="14">
        <v>61.915649388888902</v>
      </c>
      <c r="AS344" s="14">
        <v>74.114329267084997</v>
      </c>
    </row>
    <row r="345" spans="1:45" x14ac:dyDescent="0.35">
      <c r="A345" s="16">
        <v>10044.397488000031</v>
      </c>
      <c r="B345" s="14">
        <v>4.0854078277777797</v>
      </c>
      <c r="C345" s="14">
        <v>4.0641558277777774</v>
      </c>
      <c r="D345" s="14">
        <v>4.0964988277777792</v>
      </c>
      <c r="E345" s="14">
        <v>4.1426518277777786</v>
      </c>
      <c r="F345" s="14">
        <v>4.2156538277777775</v>
      </c>
      <c r="G345" s="14">
        <v>4.3280168277777795</v>
      </c>
      <c r="H345" s="14">
        <v>4.482370822222224</v>
      </c>
      <c r="I345" s="14">
        <v>4.6825348222222214</v>
      </c>
      <c r="J345" s="14">
        <v>5.7954458111111116</v>
      </c>
      <c r="K345" s="14">
        <v>13.214139755555555</v>
      </c>
      <c r="L345" s="14">
        <v>35.889679572222221</v>
      </c>
      <c r="M345" s="14">
        <v>50.882369444444443</v>
      </c>
      <c r="N345" s="14">
        <v>54.083709444444445</v>
      </c>
      <c r="O345" s="14">
        <v>54.870239444444451</v>
      </c>
      <c r="P345" s="14">
        <v>56.635239388888891</v>
      </c>
      <c r="Q345" s="14">
        <v>61.86181938888889</v>
      </c>
      <c r="R345" s="15">
        <v>74.058649267530555</v>
      </c>
      <c r="S345" s="14">
        <v>48.332199473342222</v>
      </c>
      <c r="T345" s="14">
        <v>48.332199473342222</v>
      </c>
      <c r="U345" s="14">
        <v>48.332199473342222</v>
      </c>
      <c r="V345" s="14">
        <v>48.332199473342222</v>
      </c>
      <c r="W345" s="14">
        <v>48.332199473342222</v>
      </c>
      <c r="X345" s="14">
        <v>48.332199473342222</v>
      </c>
      <c r="Y345" s="14">
        <v>48.332199473342222</v>
      </c>
      <c r="Z345" s="14">
        <v>48.332199473342222</v>
      </c>
      <c r="AA345" s="14">
        <v>48.332199473342222</v>
      </c>
      <c r="AB345" s="14">
        <v>48.332199473342222</v>
      </c>
      <c r="AC345" s="14">
        <v>48.332199473342222</v>
      </c>
      <c r="AD345" s="14">
        <v>50.882369444444443</v>
      </c>
      <c r="AE345" s="14">
        <v>54.083709444444445</v>
      </c>
      <c r="AF345" s="14">
        <v>54.870239444444451</v>
      </c>
      <c r="AG345" s="14">
        <v>56.635239388888891</v>
      </c>
      <c r="AH345" s="14">
        <v>61.86181938888889</v>
      </c>
      <c r="AI345" s="15">
        <v>74.058649267530555</v>
      </c>
      <c r="AJ345" s="14">
        <v>59.417699384658327</v>
      </c>
      <c r="AK345" s="14">
        <v>59.417699384658327</v>
      </c>
      <c r="AL345" s="14">
        <v>59.417699384658327</v>
      </c>
      <c r="AM345" s="14">
        <v>59.417699384658327</v>
      </c>
      <c r="AN345" s="14">
        <v>59.417699384658327</v>
      </c>
      <c r="AO345" s="14">
        <v>59.417699384658327</v>
      </c>
      <c r="AP345" s="14">
        <v>59.417699384658327</v>
      </c>
      <c r="AQ345" s="14">
        <v>59.417699384658327</v>
      </c>
      <c r="AR345" s="14">
        <v>61.86181938888889</v>
      </c>
      <c r="AS345" s="14">
        <v>74.058649267530555</v>
      </c>
    </row>
    <row r="346" spans="1:45" x14ac:dyDescent="0.35">
      <c r="A346" s="16">
        <v>10079.78248200003</v>
      </c>
      <c r="B346" s="14">
        <v>4.0852768277777765</v>
      </c>
      <c r="C346" s="14">
        <v>4.0632968277777772</v>
      </c>
      <c r="D346" s="14">
        <v>4.0951368277777789</v>
      </c>
      <c r="E346" s="14">
        <v>4.1416718277777775</v>
      </c>
      <c r="F346" s="14">
        <v>4.2153528277777772</v>
      </c>
      <c r="G346" s="14">
        <v>4.328391827777776</v>
      </c>
      <c r="H346" s="14">
        <v>4.4832128222222227</v>
      </c>
      <c r="I346" s="14">
        <v>4.6799968222222237</v>
      </c>
      <c r="J346" s="14">
        <v>5.7588698166666674</v>
      </c>
      <c r="K346" s="14">
        <v>12.997769755555556</v>
      </c>
      <c r="L346" s="14">
        <v>35.494769577777774</v>
      </c>
      <c r="M346" s="14">
        <v>50.709929444444441</v>
      </c>
      <c r="N346" s="14">
        <v>54.018649444444435</v>
      </c>
      <c r="O346" s="14">
        <v>54.807559444444436</v>
      </c>
      <c r="P346" s="14">
        <v>56.576239388888894</v>
      </c>
      <c r="Q346" s="14">
        <v>61.815889388888891</v>
      </c>
      <c r="R346" s="15">
        <v>74.011049267911119</v>
      </c>
      <c r="S346" s="14">
        <v>48.307549473539446</v>
      </c>
      <c r="T346" s="14">
        <v>48.307549473539446</v>
      </c>
      <c r="U346" s="14">
        <v>48.307549473539446</v>
      </c>
      <c r="V346" s="14">
        <v>48.307549473539446</v>
      </c>
      <c r="W346" s="14">
        <v>48.307549473539446</v>
      </c>
      <c r="X346" s="14">
        <v>48.307549473539446</v>
      </c>
      <c r="Y346" s="14">
        <v>48.307549473539446</v>
      </c>
      <c r="Z346" s="14">
        <v>48.307549473539446</v>
      </c>
      <c r="AA346" s="14">
        <v>48.307549473539446</v>
      </c>
      <c r="AB346" s="14">
        <v>48.307549473539446</v>
      </c>
      <c r="AC346" s="14">
        <v>48.307549473539446</v>
      </c>
      <c r="AD346" s="14">
        <v>50.709929444444441</v>
      </c>
      <c r="AE346" s="14">
        <v>54.018649444444435</v>
      </c>
      <c r="AF346" s="14">
        <v>54.807559444444436</v>
      </c>
      <c r="AG346" s="14">
        <v>56.576239388888894</v>
      </c>
      <c r="AH346" s="14">
        <v>61.815889388888891</v>
      </c>
      <c r="AI346" s="15">
        <v>74.011049267911119</v>
      </c>
      <c r="AJ346" s="14">
        <v>59.382359384941111</v>
      </c>
      <c r="AK346" s="14">
        <v>59.382359384941111</v>
      </c>
      <c r="AL346" s="14">
        <v>59.382359384941111</v>
      </c>
      <c r="AM346" s="14">
        <v>59.382359384941111</v>
      </c>
      <c r="AN346" s="14">
        <v>59.382359384941111</v>
      </c>
      <c r="AO346" s="14">
        <v>59.382359384941111</v>
      </c>
      <c r="AP346" s="14">
        <v>59.382359384941111</v>
      </c>
      <c r="AQ346" s="14">
        <v>59.382359384941111</v>
      </c>
      <c r="AR346" s="14">
        <v>61.815889388888891</v>
      </c>
      <c r="AS346" s="14">
        <v>74.011049267911119</v>
      </c>
    </row>
    <row r="347" spans="1:45" x14ac:dyDescent="0.35">
      <c r="A347" s="16">
        <v>10112.452470000031</v>
      </c>
      <c r="B347" s="14">
        <v>4.0872648277777772</v>
      </c>
      <c r="C347" s="14">
        <v>4.06262382777778</v>
      </c>
      <c r="D347" s="14">
        <v>4.0937198277777789</v>
      </c>
      <c r="E347" s="14">
        <v>4.1404648277777767</v>
      </c>
      <c r="F347" s="14">
        <v>4.2146998277777765</v>
      </c>
      <c r="G347" s="14">
        <v>4.3282918277777762</v>
      </c>
      <c r="H347" s="14">
        <v>4.4835088222222232</v>
      </c>
      <c r="I347" s="14">
        <v>4.6770298222222211</v>
      </c>
      <c r="J347" s="14">
        <v>5.7229628166666657</v>
      </c>
      <c r="K347" s="14">
        <v>12.785619755555555</v>
      </c>
      <c r="L347" s="14">
        <v>35.099829577777783</v>
      </c>
      <c r="M347" s="14">
        <v>50.53400944444445</v>
      </c>
      <c r="N347" s="14">
        <v>53.952869444444438</v>
      </c>
      <c r="O347" s="14">
        <v>54.744359444444449</v>
      </c>
      <c r="P347" s="14">
        <v>56.5166693888889</v>
      </c>
      <c r="Q347" s="14">
        <v>61.769499388888889</v>
      </c>
      <c r="R347" s="15">
        <v>73.962969268296121</v>
      </c>
      <c r="S347" s="14">
        <v>48.295259473637778</v>
      </c>
      <c r="T347" s="14">
        <v>48.295259473637778</v>
      </c>
      <c r="U347" s="14">
        <v>48.295259473637778</v>
      </c>
      <c r="V347" s="14">
        <v>48.295259473637778</v>
      </c>
      <c r="W347" s="14">
        <v>48.295259473637778</v>
      </c>
      <c r="X347" s="14">
        <v>48.295259473637778</v>
      </c>
      <c r="Y347" s="14">
        <v>48.295259473637778</v>
      </c>
      <c r="Z347" s="14">
        <v>48.295259473637778</v>
      </c>
      <c r="AA347" s="14">
        <v>48.295259473637778</v>
      </c>
      <c r="AB347" s="14">
        <v>48.295259473637778</v>
      </c>
      <c r="AC347" s="14">
        <v>48.295259473637778</v>
      </c>
      <c r="AD347" s="14">
        <v>50.53400944444445</v>
      </c>
      <c r="AE347" s="14">
        <v>53.952869444444438</v>
      </c>
      <c r="AF347" s="14">
        <v>54.744359444444449</v>
      </c>
      <c r="AG347" s="14">
        <v>56.5166693888889</v>
      </c>
      <c r="AH347" s="14">
        <v>61.769499388888889</v>
      </c>
      <c r="AI347" s="15">
        <v>73.962969268296121</v>
      </c>
      <c r="AJ347" s="14">
        <v>59.358349385132783</v>
      </c>
      <c r="AK347" s="14">
        <v>59.358349385132783</v>
      </c>
      <c r="AL347" s="14">
        <v>59.358349385132783</v>
      </c>
      <c r="AM347" s="14">
        <v>59.358349385132783</v>
      </c>
      <c r="AN347" s="14">
        <v>59.358349385132783</v>
      </c>
      <c r="AO347" s="14">
        <v>59.358349385132783</v>
      </c>
      <c r="AP347" s="14">
        <v>59.358349385132783</v>
      </c>
      <c r="AQ347" s="14">
        <v>59.358349385132783</v>
      </c>
      <c r="AR347" s="14">
        <v>61.769499388888889</v>
      </c>
      <c r="AS347" s="14">
        <v>73.962969268296121</v>
      </c>
    </row>
    <row r="348" spans="1:45" x14ac:dyDescent="0.35">
      <c r="A348" s="16">
        <v>10140.14202600003</v>
      </c>
      <c r="B348" s="14">
        <v>4.084765827777777</v>
      </c>
      <c r="C348" s="14">
        <v>4.0620498277777788</v>
      </c>
      <c r="D348" s="14">
        <v>4.0926038277777756</v>
      </c>
      <c r="E348" s="14">
        <v>4.1396248277777774</v>
      </c>
      <c r="F348" s="14">
        <v>4.2144228277777769</v>
      </c>
      <c r="G348" s="14">
        <v>4.3286318277777784</v>
      </c>
      <c r="H348" s="14">
        <v>4.4843488222222225</v>
      </c>
      <c r="I348" s="14">
        <v>4.6757448222222209</v>
      </c>
      <c r="J348" s="14">
        <v>5.6995468166666656</v>
      </c>
      <c r="K348" s="14">
        <v>12.641229761111109</v>
      </c>
      <c r="L348" s="14">
        <v>34.826149583333326</v>
      </c>
      <c r="M348" s="14">
        <v>50.410729444444442</v>
      </c>
      <c r="N348" s="14">
        <v>53.907449444444445</v>
      </c>
      <c r="O348" s="14">
        <v>54.700819444444448</v>
      </c>
      <c r="P348" s="14">
        <v>56.475599388888895</v>
      </c>
      <c r="Q348" s="14">
        <v>61.737619388888888</v>
      </c>
      <c r="R348" s="15">
        <v>73.929829268561107</v>
      </c>
      <c r="S348" s="14">
        <v>48.244929474040561</v>
      </c>
      <c r="T348" s="14">
        <v>48.244929474040561</v>
      </c>
      <c r="U348" s="14">
        <v>48.244929474040561</v>
      </c>
      <c r="V348" s="14">
        <v>48.244929474040561</v>
      </c>
      <c r="W348" s="14">
        <v>48.244929474040561</v>
      </c>
      <c r="X348" s="14">
        <v>48.244929474040561</v>
      </c>
      <c r="Y348" s="14">
        <v>48.244929474040561</v>
      </c>
      <c r="Z348" s="14">
        <v>48.244929474040561</v>
      </c>
      <c r="AA348" s="14">
        <v>48.244929474040561</v>
      </c>
      <c r="AB348" s="14">
        <v>48.244929474040561</v>
      </c>
      <c r="AC348" s="14">
        <v>48.244929474040561</v>
      </c>
      <c r="AD348" s="14">
        <v>50.410729444444442</v>
      </c>
      <c r="AE348" s="14">
        <v>53.907449444444445</v>
      </c>
      <c r="AF348" s="14">
        <v>54.700819444444448</v>
      </c>
      <c r="AG348" s="14">
        <v>56.475599388888895</v>
      </c>
      <c r="AH348" s="14">
        <v>61.737619388888888</v>
      </c>
      <c r="AI348" s="15">
        <v>73.929829268561107</v>
      </c>
      <c r="AJ348" s="14">
        <v>59.311209385509997</v>
      </c>
      <c r="AK348" s="14">
        <v>59.311209385509997</v>
      </c>
      <c r="AL348" s="14">
        <v>59.311209385509997</v>
      </c>
      <c r="AM348" s="14">
        <v>59.311209385509997</v>
      </c>
      <c r="AN348" s="14">
        <v>59.311209385509997</v>
      </c>
      <c r="AO348" s="14">
        <v>59.311209385509997</v>
      </c>
      <c r="AP348" s="14">
        <v>59.311209385509997</v>
      </c>
      <c r="AQ348" s="14">
        <v>59.311209385509997</v>
      </c>
      <c r="AR348" s="14">
        <v>61.737619388888888</v>
      </c>
      <c r="AS348" s="14">
        <v>73.929829268561107</v>
      </c>
    </row>
    <row r="349" spans="1:45" x14ac:dyDescent="0.35">
      <c r="A349" s="16">
        <v>10162.851150000031</v>
      </c>
      <c r="B349" s="14">
        <v>4.0849758277777761</v>
      </c>
      <c r="C349" s="14">
        <v>4.0613558277777768</v>
      </c>
      <c r="D349" s="14">
        <v>4.0912948277777792</v>
      </c>
      <c r="E349" s="14">
        <v>4.138434827777778</v>
      </c>
      <c r="F349" s="14">
        <v>4.2136018277777785</v>
      </c>
      <c r="G349" s="14">
        <v>4.3281988277777792</v>
      </c>
      <c r="H349" s="14">
        <v>4.4842538222222217</v>
      </c>
      <c r="I349" s="14">
        <v>4.6735038222222238</v>
      </c>
      <c r="J349" s="14">
        <v>5.6755378166666679</v>
      </c>
      <c r="K349" s="14">
        <v>12.498019761111113</v>
      </c>
      <c r="L349" s="14">
        <v>34.551819583333334</v>
      </c>
      <c r="M349" s="14">
        <v>50.285129444444443</v>
      </c>
      <c r="N349" s="14">
        <v>53.861079444444435</v>
      </c>
      <c r="O349" s="14">
        <v>54.656429444444449</v>
      </c>
      <c r="P349" s="14">
        <v>56.433529388888893</v>
      </c>
      <c r="Q349" s="14">
        <v>61.704949388888885</v>
      </c>
      <c r="R349" s="15">
        <v>73.89591926883223</v>
      </c>
      <c r="S349" s="14">
        <v>48.208079474334994</v>
      </c>
      <c r="T349" s="14">
        <v>48.208079474334994</v>
      </c>
      <c r="U349" s="14">
        <v>48.208079474334994</v>
      </c>
      <c r="V349" s="14">
        <v>48.208079474334994</v>
      </c>
      <c r="W349" s="14">
        <v>48.208079474334994</v>
      </c>
      <c r="X349" s="14">
        <v>48.208079474334994</v>
      </c>
      <c r="Y349" s="14">
        <v>48.208079474334994</v>
      </c>
      <c r="Z349" s="14">
        <v>48.208079474334994</v>
      </c>
      <c r="AA349" s="14">
        <v>48.208079474334994</v>
      </c>
      <c r="AB349" s="14">
        <v>48.208079474334994</v>
      </c>
      <c r="AC349" s="14">
        <v>48.208079474334994</v>
      </c>
      <c r="AD349" s="14">
        <v>50.285129444444443</v>
      </c>
      <c r="AE349" s="14">
        <v>53.861079444444435</v>
      </c>
      <c r="AF349" s="14">
        <v>54.656429444444449</v>
      </c>
      <c r="AG349" s="14">
        <v>56.433529388888893</v>
      </c>
      <c r="AH349" s="14">
        <v>61.704949388888885</v>
      </c>
      <c r="AI349" s="15">
        <v>73.89591926883223</v>
      </c>
      <c r="AJ349" s="14">
        <v>59.273219385813896</v>
      </c>
      <c r="AK349" s="14">
        <v>59.273219385813896</v>
      </c>
      <c r="AL349" s="14">
        <v>59.273219385813896</v>
      </c>
      <c r="AM349" s="14">
        <v>59.273219385813896</v>
      </c>
      <c r="AN349" s="14">
        <v>59.273219385813896</v>
      </c>
      <c r="AO349" s="14">
        <v>59.273219385813896</v>
      </c>
      <c r="AP349" s="14">
        <v>59.273219385813896</v>
      </c>
      <c r="AQ349" s="14">
        <v>59.273219385813896</v>
      </c>
      <c r="AR349" s="14">
        <v>61.704949388888885</v>
      </c>
      <c r="AS349" s="14">
        <v>73.89591926883223</v>
      </c>
    </row>
    <row r="350" spans="1:45" x14ac:dyDescent="0.35">
      <c r="A350" s="16">
        <v>10185.56027400003</v>
      </c>
      <c r="B350" s="14">
        <v>4.0851818277777792</v>
      </c>
      <c r="C350" s="14">
        <v>4.0608018277777767</v>
      </c>
      <c r="D350" s="14">
        <v>4.0900708277777769</v>
      </c>
      <c r="E350" s="14">
        <v>4.137291827777779</v>
      </c>
      <c r="F350" s="14">
        <v>4.2128168277777789</v>
      </c>
      <c r="G350" s="14">
        <v>4.3278018277777779</v>
      </c>
      <c r="H350" s="14">
        <v>4.4842108222222201</v>
      </c>
      <c r="I350" s="14">
        <v>4.6713818222222239</v>
      </c>
      <c r="J350" s="14">
        <v>5.6521948166666682</v>
      </c>
      <c r="K350" s="14">
        <v>12.357099761111114</v>
      </c>
      <c r="L350" s="14">
        <v>34.277869583333334</v>
      </c>
      <c r="M350" s="14">
        <v>50.158119444444452</v>
      </c>
      <c r="N350" s="14">
        <v>53.814659444444452</v>
      </c>
      <c r="O350" s="14">
        <v>54.61207944444444</v>
      </c>
      <c r="P350" s="14">
        <v>56.391519388888888</v>
      </c>
      <c r="Q350" s="14">
        <v>61.672359388888886</v>
      </c>
      <c r="R350" s="15">
        <v>73.862059269103327</v>
      </c>
      <c r="S350" s="14">
        <v>48.183639474530558</v>
      </c>
      <c r="T350" s="14">
        <v>48.183639474530558</v>
      </c>
      <c r="U350" s="14">
        <v>48.183639474530558</v>
      </c>
      <c r="V350" s="14">
        <v>48.183639474530558</v>
      </c>
      <c r="W350" s="14">
        <v>48.183639474530558</v>
      </c>
      <c r="X350" s="14">
        <v>48.183639474530558</v>
      </c>
      <c r="Y350" s="14">
        <v>48.183639474530558</v>
      </c>
      <c r="Z350" s="14">
        <v>48.183639474530558</v>
      </c>
      <c r="AA350" s="14">
        <v>48.183639474530558</v>
      </c>
      <c r="AB350" s="14">
        <v>48.183639474530558</v>
      </c>
      <c r="AC350" s="14">
        <v>48.183639474530558</v>
      </c>
      <c r="AD350" s="14">
        <v>50.158119444444452</v>
      </c>
      <c r="AE350" s="14">
        <v>53.814659444444452</v>
      </c>
      <c r="AF350" s="14">
        <v>54.61207944444444</v>
      </c>
      <c r="AG350" s="14">
        <v>56.391519388888888</v>
      </c>
      <c r="AH350" s="14">
        <v>61.672359388888886</v>
      </c>
      <c r="AI350" s="15">
        <v>73.862059269103327</v>
      </c>
      <c r="AJ350" s="14">
        <v>59.243009386055569</v>
      </c>
      <c r="AK350" s="14">
        <v>59.243009386055569</v>
      </c>
      <c r="AL350" s="14">
        <v>59.243009386055569</v>
      </c>
      <c r="AM350" s="14">
        <v>59.243009386055569</v>
      </c>
      <c r="AN350" s="14">
        <v>59.243009386055569</v>
      </c>
      <c r="AO350" s="14">
        <v>59.243009386055569</v>
      </c>
      <c r="AP350" s="14">
        <v>59.243009386055569</v>
      </c>
      <c r="AQ350" s="14">
        <v>59.243009386055569</v>
      </c>
      <c r="AR350" s="14">
        <v>61.672359388888886</v>
      </c>
      <c r="AS350" s="14">
        <v>73.862059269103327</v>
      </c>
    </row>
    <row r="351" spans="1:45" x14ac:dyDescent="0.35">
      <c r="A351" s="16">
        <v>10208.269398000029</v>
      </c>
      <c r="B351" s="14">
        <v>4.0852988277777769</v>
      </c>
      <c r="C351" s="14">
        <v>4.0603678277777773</v>
      </c>
      <c r="D351" s="14">
        <v>4.0889318277777775</v>
      </c>
      <c r="E351" s="14">
        <v>4.136196827777777</v>
      </c>
      <c r="F351" s="14">
        <v>4.2120658277777778</v>
      </c>
      <c r="G351" s="14">
        <v>4.3274388277777796</v>
      </c>
      <c r="H351" s="14">
        <v>4.4842128222222239</v>
      </c>
      <c r="I351" s="14">
        <v>4.6693748222222213</v>
      </c>
      <c r="J351" s="14">
        <v>5.6295028166666663</v>
      </c>
      <c r="K351" s="14">
        <v>12.21844976111111</v>
      </c>
      <c r="L351" s="14">
        <v>34.004299588888884</v>
      </c>
      <c r="M351" s="14">
        <v>50.02967944444444</v>
      </c>
      <c r="N351" s="14">
        <v>53.768179444444449</v>
      </c>
      <c r="O351" s="14">
        <v>54.56777944444444</v>
      </c>
      <c r="P351" s="14">
        <v>56.349559388888885</v>
      </c>
      <c r="Q351" s="14">
        <v>61.63983938888888</v>
      </c>
      <c r="R351" s="15">
        <v>73.828259269373333</v>
      </c>
      <c r="S351" s="14">
        <v>48.158569474731117</v>
      </c>
      <c r="T351" s="14">
        <v>48.158569474731117</v>
      </c>
      <c r="U351" s="14">
        <v>48.158569474731117</v>
      </c>
      <c r="V351" s="14">
        <v>48.158569474731117</v>
      </c>
      <c r="W351" s="14">
        <v>48.158569474731117</v>
      </c>
      <c r="X351" s="14">
        <v>48.158569474731117</v>
      </c>
      <c r="Y351" s="14">
        <v>48.158569474731117</v>
      </c>
      <c r="Z351" s="14">
        <v>48.158569474731117</v>
      </c>
      <c r="AA351" s="14">
        <v>48.158569474731117</v>
      </c>
      <c r="AB351" s="14">
        <v>48.158569474731117</v>
      </c>
      <c r="AC351" s="14">
        <v>48.158569474731117</v>
      </c>
      <c r="AD351" s="14">
        <v>50.02967944444444</v>
      </c>
      <c r="AE351" s="14">
        <v>53.768179444444449</v>
      </c>
      <c r="AF351" s="14">
        <v>54.56777944444444</v>
      </c>
      <c r="AG351" s="14">
        <v>56.349559388888885</v>
      </c>
      <c r="AH351" s="14">
        <v>61.63983938888888</v>
      </c>
      <c r="AI351" s="15">
        <v>73.828259269373333</v>
      </c>
      <c r="AJ351" s="14">
        <v>59.210519386315553</v>
      </c>
      <c r="AK351" s="14">
        <v>59.210519386315553</v>
      </c>
      <c r="AL351" s="14">
        <v>59.210519386315553</v>
      </c>
      <c r="AM351" s="14">
        <v>59.210519386315553</v>
      </c>
      <c r="AN351" s="14">
        <v>59.210519386315553</v>
      </c>
      <c r="AO351" s="14">
        <v>59.210519386315553</v>
      </c>
      <c r="AP351" s="14">
        <v>59.210519386315553</v>
      </c>
      <c r="AQ351" s="14">
        <v>59.210519386315553</v>
      </c>
      <c r="AR351" s="14">
        <v>61.63983938888888</v>
      </c>
      <c r="AS351" s="14">
        <v>73.828259269373333</v>
      </c>
    </row>
    <row r="352" spans="1:45" x14ac:dyDescent="0.35">
      <c r="A352" s="16">
        <v>10238.673960000031</v>
      </c>
      <c r="B352" s="14">
        <v>4.0846828277777787</v>
      </c>
      <c r="C352" s="14">
        <v>4.0604318277777791</v>
      </c>
      <c r="D352" s="14">
        <v>4.0878238277777772</v>
      </c>
      <c r="E352" s="14">
        <v>4.1349198277777788</v>
      </c>
      <c r="F352" s="14">
        <v>4.2110628277777771</v>
      </c>
      <c r="G352" s="14">
        <v>4.3267338277777787</v>
      </c>
      <c r="H352" s="14">
        <v>4.4838208222222224</v>
      </c>
      <c r="I352" s="14">
        <v>4.6656898222222214</v>
      </c>
      <c r="J352" s="14">
        <v>5.5922688166666665</v>
      </c>
      <c r="K352" s="14">
        <v>11.991359766666669</v>
      </c>
      <c r="L352" s="14">
        <v>33.54487958888889</v>
      </c>
      <c r="M352" s="14">
        <v>49.809969444444441</v>
      </c>
      <c r="N352" s="14">
        <v>53.689979444444447</v>
      </c>
      <c r="O352" s="14">
        <v>54.493549444444447</v>
      </c>
      <c r="P352" s="14">
        <v>56.279259388888882</v>
      </c>
      <c r="Q352" s="14">
        <v>61.585569388888899</v>
      </c>
      <c r="R352" s="15">
        <v>73.771899269824459</v>
      </c>
      <c r="S352" s="14">
        <v>48.135849474912781</v>
      </c>
      <c r="T352" s="14">
        <v>48.135849474912781</v>
      </c>
      <c r="U352" s="14">
        <v>48.135849474912781</v>
      </c>
      <c r="V352" s="14">
        <v>48.135849474912781</v>
      </c>
      <c r="W352" s="14">
        <v>48.135849474912781</v>
      </c>
      <c r="X352" s="14">
        <v>48.135849474912781</v>
      </c>
      <c r="Y352" s="14">
        <v>48.135849474912781</v>
      </c>
      <c r="Z352" s="14">
        <v>48.135849474912781</v>
      </c>
      <c r="AA352" s="14">
        <v>48.135849474912781</v>
      </c>
      <c r="AB352" s="14">
        <v>48.135849474912781</v>
      </c>
      <c r="AC352" s="14">
        <v>48.135849474912781</v>
      </c>
      <c r="AD352" s="14">
        <v>49.809969444444441</v>
      </c>
      <c r="AE352" s="14">
        <v>53.689979444444447</v>
      </c>
      <c r="AF352" s="14">
        <v>54.493549444444447</v>
      </c>
      <c r="AG352" s="14">
        <v>56.279259388888882</v>
      </c>
      <c r="AH352" s="14">
        <v>61.585569388888899</v>
      </c>
      <c r="AI352" s="15">
        <v>73.771899269824459</v>
      </c>
      <c r="AJ352" s="14">
        <v>59.180159386558344</v>
      </c>
      <c r="AK352" s="14">
        <v>59.180159386558344</v>
      </c>
      <c r="AL352" s="14">
        <v>59.180159386558344</v>
      </c>
      <c r="AM352" s="14">
        <v>59.180159386558344</v>
      </c>
      <c r="AN352" s="14">
        <v>59.180159386558344</v>
      </c>
      <c r="AO352" s="14">
        <v>59.180159386558344</v>
      </c>
      <c r="AP352" s="14">
        <v>59.180159386558344</v>
      </c>
      <c r="AQ352" s="14">
        <v>59.180159386558344</v>
      </c>
      <c r="AR352" s="14">
        <v>61.585569388888899</v>
      </c>
      <c r="AS352" s="14">
        <v>73.771899269824459</v>
      </c>
    </row>
    <row r="353" spans="1:45" x14ac:dyDescent="0.35">
      <c r="A353" s="16">
        <v>10276.773960000031</v>
      </c>
      <c r="B353" s="14">
        <v>4.0832498277777773</v>
      </c>
      <c r="C353" s="14">
        <v>4.0611518277777767</v>
      </c>
      <c r="D353" s="14">
        <v>4.0874788277777796</v>
      </c>
      <c r="E353" s="14">
        <v>4.1345788277777764</v>
      </c>
      <c r="F353" s="14">
        <v>4.2112568277777775</v>
      </c>
      <c r="G353" s="14">
        <v>4.3275608277777762</v>
      </c>
      <c r="H353" s="14">
        <v>4.4853148222222217</v>
      </c>
      <c r="I353" s="14">
        <v>4.6641598222222234</v>
      </c>
      <c r="J353" s="14">
        <v>5.5589178166666677</v>
      </c>
      <c r="K353" s="14">
        <v>11.77238976666667</v>
      </c>
      <c r="L353" s="14">
        <v>33.088299594444443</v>
      </c>
      <c r="M353" s="14">
        <v>49.587319444444447</v>
      </c>
      <c r="N353" s="14">
        <v>53.613239444444439</v>
      </c>
      <c r="O353" s="14">
        <v>54.421089444444448</v>
      </c>
      <c r="P353" s="14">
        <v>56.210769388888892</v>
      </c>
      <c r="Q353" s="14">
        <v>61.533129388888902</v>
      </c>
      <c r="R353" s="15">
        <v>73.717299270261108</v>
      </c>
      <c r="S353" s="14">
        <v>48.101519475187779</v>
      </c>
      <c r="T353" s="14">
        <v>48.101519475187779</v>
      </c>
      <c r="U353" s="14">
        <v>48.101519475187779</v>
      </c>
      <c r="V353" s="14">
        <v>48.101519475187779</v>
      </c>
      <c r="W353" s="14">
        <v>48.101519475187779</v>
      </c>
      <c r="X353" s="14">
        <v>48.101519475187779</v>
      </c>
      <c r="Y353" s="14">
        <v>48.101519475187779</v>
      </c>
      <c r="Z353" s="14">
        <v>48.101519475187779</v>
      </c>
      <c r="AA353" s="14">
        <v>48.101519475187779</v>
      </c>
      <c r="AB353" s="14">
        <v>48.101519475187779</v>
      </c>
      <c r="AC353" s="14">
        <v>48.101519475187779</v>
      </c>
      <c r="AD353" s="14">
        <v>49.587319444444447</v>
      </c>
      <c r="AE353" s="14">
        <v>53.613239444444439</v>
      </c>
      <c r="AF353" s="14">
        <v>54.421089444444448</v>
      </c>
      <c r="AG353" s="14">
        <v>56.210769388888892</v>
      </c>
      <c r="AH353" s="14">
        <v>61.533129388888902</v>
      </c>
      <c r="AI353" s="15">
        <v>73.717299270261108</v>
      </c>
      <c r="AJ353" s="14">
        <v>59.137839386897213</v>
      </c>
      <c r="AK353" s="14">
        <v>59.137839386897213</v>
      </c>
      <c r="AL353" s="14">
        <v>59.137839386897213</v>
      </c>
      <c r="AM353" s="14">
        <v>59.137839386897213</v>
      </c>
      <c r="AN353" s="14">
        <v>59.137839386897213</v>
      </c>
      <c r="AO353" s="14">
        <v>59.137839386897213</v>
      </c>
      <c r="AP353" s="14">
        <v>59.137839386897213</v>
      </c>
      <c r="AQ353" s="14">
        <v>59.137839386897213</v>
      </c>
      <c r="AR353" s="14">
        <v>61.533129388888902</v>
      </c>
      <c r="AS353" s="14">
        <v>73.717299270261108</v>
      </c>
    </row>
    <row r="354" spans="1:45" x14ac:dyDescent="0.35">
      <c r="A354" s="16">
        <v>10314.87396000003</v>
      </c>
      <c r="B354" s="14">
        <v>4.0813478277777788</v>
      </c>
      <c r="C354" s="14">
        <v>4.0620838277777773</v>
      </c>
      <c r="D354" s="14">
        <v>4.0874998277777763</v>
      </c>
      <c r="E354" s="14">
        <v>4.1346268277777769</v>
      </c>
      <c r="F354" s="14">
        <v>4.2118278277777792</v>
      </c>
      <c r="G354" s="14">
        <v>4.3287728277777759</v>
      </c>
      <c r="H354" s="14">
        <v>4.4872278222222226</v>
      </c>
      <c r="I354" s="14">
        <v>4.6632088222222219</v>
      </c>
      <c r="J354" s="14">
        <v>5.5274918166666644</v>
      </c>
      <c r="K354" s="14">
        <v>11.559689766666668</v>
      </c>
      <c r="L354" s="14">
        <v>32.634019600000002</v>
      </c>
      <c r="M354" s="14">
        <v>49.360509444444446</v>
      </c>
      <c r="N354" s="14">
        <v>53.53664944444445</v>
      </c>
      <c r="O354" s="14">
        <v>54.349089444444445</v>
      </c>
      <c r="P354" s="14">
        <v>56.142809388888885</v>
      </c>
      <c r="Q354" s="14">
        <v>61.481279388888893</v>
      </c>
      <c r="R354" s="15">
        <v>73.663249270693882</v>
      </c>
      <c r="S354" s="14">
        <v>48.067199475462218</v>
      </c>
      <c r="T354" s="14">
        <v>48.067199475462218</v>
      </c>
      <c r="U354" s="14">
        <v>48.067199475462218</v>
      </c>
      <c r="V354" s="14">
        <v>48.067199475462218</v>
      </c>
      <c r="W354" s="14">
        <v>48.067199475462218</v>
      </c>
      <c r="X354" s="14">
        <v>48.067199475462218</v>
      </c>
      <c r="Y354" s="14">
        <v>48.067199475462218</v>
      </c>
      <c r="Z354" s="14">
        <v>48.067199475462218</v>
      </c>
      <c r="AA354" s="14">
        <v>48.067199475462218</v>
      </c>
      <c r="AB354" s="14">
        <v>48.067199475462218</v>
      </c>
      <c r="AC354" s="14">
        <v>48.067199475462218</v>
      </c>
      <c r="AD354" s="14">
        <v>49.360509444444446</v>
      </c>
      <c r="AE354" s="14">
        <v>53.53664944444445</v>
      </c>
      <c r="AF354" s="14">
        <v>54.349089444444445</v>
      </c>
      <c r="AG354" s="14">
        <v>56.142809388888885</v>
      </c>
      <c r="AH354" s="14">
        <v>61.481279388888893</v>
      </c>
      <c r="AI354" s="15">
        <v>73.663249270693882</v>
      </c>
      <c r="AJ354" s="14">
        <v>59.09521938723779</v>
      </c>
      <c r="AK354" s="14">
        <v>59.09521938723779</v>
      </c>
      <c r="AL354" s="14">
        <v>59.09521938723779</v>
      </c>
      <c r="AM354" s="14">
        <v>59.09521938723779</v>
      </c>
      <c r="AN354" s="14">
        <v>59.09521938723779</v>
      </c>
      <c r="AO354" s="14">
        <v>59.09521938723779</v>
      </c>
      <c r="AP354" s="14">
        <v>59.09521938723779</v>
      </c>
      <c r="AQ354" s="14">
        <v>59.09521938723779</v>
      </c>
      <c r="AR354" s="14">
        <v>61.481279388888893</v>
      </c>
      <c r="AS354" s="14">
        <v>73.663249270693882</v>
      </c>
    </row>
    <row r="355" spans="1:45" x14ac:dyDescent="0.35">
      <c r="A355" s="16">
        <v>10352.97396000003</v>
      </c>
      <c r="B355" s="14">
        <v>4.0790458277777795</v>
      </c>
      <c r="C355" s="14">
        <v>4.063162827777778</v>
      </c>
      <c r="D355" s="14">
        <v>4.0878528277777768</v>
      </c>
      <c r="E355" s="14">
        <v>4.1350578277777768</v>
      </c>
      <c r="F355" s="14">
        <v>4.2127748277777775</v>
      </c>
      <c r="G355" s="14">
        <v>4.3303728277777784</v>
      </c>
      <c r="H355" s="14">
        <v>4.4895678222222237</v>
      </c>
      <c r="I355" s="14">
        <v>4.6628198222222235</v>
      </c>
      <c r="J355" s="14">
        <v>5.4979318166666662</v>
      </c>
      <c r="K355" s="14">
        <v>11.353139766666665</v>
      </c>
      <c r="L355" s="14">
        <v>32.182129600000003</v>
      </c>
      <c r="M355" s="14">
        <v>49.130059444444441</v>
      </c>
      <c r="N355" s="14">
        <v>53.460179444444435</v>
      </c>
      <c r="O355" s="14">
        <v>54.277559444444442</v>
      </c>
      <c r="P355" s="14">
        <v>56.075359388888884</v>
      </c>
      <c r="Q355" s="14">
        <v>61.430019388888887</v>
      </c>
      <c r="R355" s="15">
        <v>73.609769271121678</v>
      </c>
      <c r="S355" s="14">
        <v>48.034209475726101</v>
      </c>
      <c r="T355" s="14">
        <v>48.034209475726101</v>
      </c>
      <c r="U355" s="14">
        <v>48.034209475726101</v>
      </c>
      <c r="V355" s="14">
        <v>48.034209475726101</v>
      </c>
      <c r="W355" s="14">
        <v>48.034209475726101</v>
      </c>
      <c r="X355" s="14">
        <v>48.034209475726101</v>
      </c>
      <c r="Y355" s="14">
        <v>48.034209475726101</v>
      </c>
      <c r="Z355" s="14">
        <v>48.034209475726101</v>
      </c>
      <c r="AA355" s="14">
        <v>48.034209475726101</v>
      </c>
      <c r="AB355" s="14">
        <v>48.034209475726101</v>
      </c>
      <c r="AC355" s="14">
        <v>48.034209475726101</v>
      </c>
      <c r="AD355" s="14">
        <v>49.130059444444441</v>
      </c>
      <c r="AE355" s="14">
        <v>53.460179444444435</v>
      </c>
      <c r="AF355" s="14">
        <v>54.277559444444442</v>
      </c>
      <c r="AG355" s="14">
        <v>56.075359388888884</v>
      </c>
      <c r="AH355" s="14">
        <v>61.430019388888887</v>
      </c>
      <c r="AI355" s="15">
        <v>73.609769271121678</v>
      </c>
      <c r="AJ355" s="14">
        <v>59.053599387571111</v>
      </c>
      <c r="AK355" s="14">
        <v>59.053599387571111</v>
      </c>
      <c r="AL355" s="14">
        <v>59.053599387571111</v>
      </c>
      <c r="AM355" s="14">
        <v>59.053599387571111</v>
      </c>
      <c r="AN355" s="14">
        <v>59.053599387571111</v>
      </c>
      <c r="AO355" s="14">
        <v>59.053599387571111</v>
      </c>
      <c r="AP355" s="14">
        <v>59.053599387571111</v>
      </c>
      <c r="AQ355" s="14">
        <v>59.053599387571111</v>
      </c>
      <c r="AR355" s="14">
        <v>61.430019388888887</v>
      </c>
      <c r="AS355" s="14">
        <v>73.609769271121678</v>
      </c>
    </row>
    <row r="356" spans="1:45" x14ac:dyDescent="0.35">
      <c r="A356" s="16">
        <v>10391.073960000031</v>
      </c>
      <c r="B356" s="14">
        <v>4.0769708277777799</v>
      </c>
      <c r="C356" s="14">
        <v>4.0637898277777786</v>
      </c>
      <c r="D356" s="14">
        <v>4.0879278277777766</v>
      </c>
      <c r="E356" s="14">
        <v>4.1352608277777767</v>
      </c>
      <c r="F356" s="14">
        <v>4.2134878277777768</v>
      </c>
      <c r="G356" s="14">
        <v>4.3317488277777763</v>
      </c>
      <c r="H356" s="14">
        <v>4.4917898222222199</v>
      </c>
      <c r="I356" s="14">
        <v>4.6623788222222213</v>
      </c>
      <c r="J356" s="14">
        <v>5.469579816666668</v>
      </c>
      <c r="K356" s="14">
        <v>11.151839772222225</v>
      </c>
      <c r="L356" s="14">
        <v>31.731979605555562</v>
      </c>
      <c r="M356" s="14">
        <v>48.895219444444443</v>
      </c>
      <c r="N356" s="14">
        <v>53.383039444444449</v>
      </c>
      <c r="O356" s="14">
        <v>54.205619444444437</v>
      </c>
      <c r="P356" s="14">
        <v>56.007619388888898</v>
      </c>
      <c r="Q356" s="14">
        <v>61.378549388888892</v>
      </c>
      <c r="R356" s="15">
        <v>73.55596927155166</v>
      </c>
      <c r="S356" s="14">
        <v>48.002809475977223</v>
      </c>
      <c r="T356" s="14">
        <v>48.002809475977223</v>
      </c>
      <c r="U356" s="14">
        <v>48.002809475977223</v>
      </c>
      <c r="V356" s="14">
        <v>48.002809475977223</v>
      </c>
      <c r="W356" s="14">
        <v>48.002809475977223</v>
      </c>
      <c r="X356" s="14">
        <v>48.002809475977223</v>
      </c>
      <c r="Y356" s="14">
        <v>48.002809475977223</v>
      </c>
      <c r="Z356" s="14">
        <v>48.002809475977223</v>
      </c>
      <c r="AA356" s="14">
        <v>48.002809475977223</v>
      </c>
      <c r="AB356" s="14">
        <v>48.002809475977223</v>
      </c>
      <c r="AC356" s="14">
        <v>48.002809475977223</v>
      </c>
      <c r="AD356" s="14">
        <v>48.895219444444443</v>
      </c>
      <c r="AE356" s="14">
        <v>53.383039444444449</v>
      </c>
      <c r="AF356" s="14">
        <v>54.205619444444437</v>
      </c>
      <c r="AG356" s="14">
        <v>56.007619388888898</v>
      </c>
      <c r="AH356" s="14">
        <v>61.378549388888892</v>
      </c>
      <c r="AI356" s="15">
        <v>73.55596927155166</v>
      </c>
      <c r="AJ356" s="14">
        <v>59.012409387900547</v>
      </c>
      <c r="AK356" s="14">
        <v>59.012409387900547</v>
      </c>
      <c r="AL356" s="14">
        <v>59.012409387900547</v>
      </c>
      <c r="AM356" s="14">
        <v>59.012409387900547</v>
      </c>
      <c r="AN356" s="14">
        <v>59.012409387900547</v>
      </c>
      <c r="AO356" s="14">
        <v>59.012409387900547</v>
      </c>
      <c r="AP356" s="14">
        <v>59.012409387900547</v>
      </c>
      <c r="AQ356" s="14">
        <v>59.012409387900547</v>
      </c>
      <c r="AR356" s="14">
        <v>61.378549388888892</v>
      </c>
      <c r="AS356" s="14">
        <v>73.55596927155166</v>
      </c>
    </row>
    <row r="357" spans="1:45" x14ac:dyDescent="0.35">
      <c r="A357" s="16">
        <v>10429.173960000031</v>
      </c>
      <c r="B357" s="14">
        <v>4.0752778277777759</v>
      </c>
      <c r="C357" s="14">
        <v>4.0639978277777784</v>
      </c>
      <c r="D357" s="14">
        <v>4.0877448277777777</v>
      </c>
      <c r="E357" s="14">
        <v>4.1352398277777764</v>
      </c>
      <c r="F357" s="14">
        <v>4.2139698277777766</v>
      </c>
      <c r="G357" s="14">
        <v>4.3328998277777782</v>
      </c>
      <c r="H357" s="14">
        <v>4.4938728222222224</v>
      </c>
      <c r="I357" s="14">
        <v>4.6618728222222217</v>
      </c>
      <c r="J357" s="14">
        <v>5.4423808166666667</v>
      </c>
      <c r="K357" s="14">
        <v>10.955019772222222</v>
      </c>
      <c r="L357" s="14">
        <v>31.282359611111115</v>
      </c>
      <c r="M357" s="14">
        <v>48.655949444444445</v>
      </c>
      <c r="N357" s="14">
        <v>53.305199444444447</v>
      </c>
      <c r="O357" s="14">
        <v>54.133099444444447</v>
      </c>
      <c r="P357" s="14">
        <v>55.93960938888889</v>
      </c>
      <c r="Q357" s="14">
        <v>61.326849388888895</v>
      </c>
      <c r="R357" s="15">
        <v>73.50187927198445</v>
      </c>
      <c r="S357" s="14">
        <v>47.976299476189446</v>
      </c>
      <c r="T357" s="14">
        <v>47.976299476189446</v>
      </c>
      <c r="U357" s="14">
        <v>47.976299476189446</v>
      </c>
      <c r="V357" s="14">
        <v>47.976299476189446</v>
      </c>
      <c r="W357" s="14">
        <v>47.976299476189446</v>
      </c>
      <c r="X357" s="14">
        <v>47.976299476189446</v>
      </c>
      <c r="Y357" s="14">
        <v>47.976299476189446</v>
      </c>
      <c r="Z357" s="14">
        <v>47.976299476189446</v>
      </c>
      <c r="AA357" s="14">
        <v>47.976299476189446</v>
      </c>
      <c r="AB357" s="14">
        <v>47.976299476189446</v>
      </c>
      <c r="AC357" s="14">
        <v>47.976299476189446</v>
      </c>
      <c r="AD357" s="14">
        <v>48.655949444444445</v>
      </c>
      <c r="AE357" s="14">
        <v>53.305199444444447</v>
      </c>
      <c r="AF357" s="14">
        <v>54.133099444444447</v>
      </c>
      <c r="AG357" s="14">
        <v>55.93960938888889</v>
      </c>
      <c r="AH357" s="14">
        <v>61.326849388888895</v>
      </c>
      <c r="AI357" s="15">
        <v>73.50187927198445</v>
      </c>
      <c r="AJ357" s="14">
        <v>58.974289388205548</v>
      </c>
      <c r="AK357" s="14">
        <v>58.974289388205548</v>
      </c>
      <c r="AL357" s="14">
        <v>58.974289388205548</v>
      </c>
      <c r="AM357" s="14">
        <v>58.974289388205548</v>
      </c>
      <c r="AN357" s="14">
        <v>58.974289388205548</v>
      </c>
      <c r="AO357" s="14">
        <v>58.974289388205548</v>
      </c>
      <c r="AP357" s="14">
        <v>58.974289388205548</v>
      </c>
      <c r="AQ357" s="14">
        <v>58.974289388205548</v>
      </c>
      <c r="AR357" s="14">
        <v>61.326849388888895</v>
      </c>
      <c r="AS357" s="14">
        <v>73.50187927198445</v>
      </c>
    </row>
    <row r="358" spans="1:45" x14ac:dyDescent="0.35">
      <c r="A358" s="16">
        <v>10467.273960000031</v>
      </c>
      <c r="B358" s="14">
        <v>4.0746818277777779</v>
      </c>
      <c r="C358" s="14">
        <v>4.0633328277777796</v>
      </c>
      <c r="D358" s="14">
        <v>4.0868058277777779</v>
      </c>
      <c r="E358" s="14">
        <v>4.1344578277777764</v>
      </c>
      <c r="F358" s="14">
        <v>4.2136698277777755</v>
      </c>
      <c r="G358" s="14">
        <v>4.3332828277777775</v>
      </c>
      <c r="H358" s="14">
        <v>4.4955708222222217</v>
      </c>
      <c r="I358" s="14">
        <v>4.6607518222222231</v>
      </c>
      <c r="J358" s="14">
        <v>5.4157348166666672</v>
      </c>
      <c r="K358" s="14">
        <v>10.762999772222221</v>
      </c>
      <c r="L358" s="14">
        <v>30.833799611111107</v>
      </c>
      <c r="M358" s="14">
        <v>48.411569500000006</v>
      </c>
      <c r="N358" s="14">
        <v>53.225929444444446</v>
      </c>
      <c r="O358" s="14">
        <v>54.059549444444443</v>
      </c>
      <c r="P358" s="14">
        <v>55.870589388888888</v>
      </c>
      <c r="Q358" s="14">
        <v>61.274199388888889</v>
      </c>
      <c r="R358" s="15">
        <v>73.446689272426113</v>
      </c>
      <c r="S358" s="14">
        <v>47.957379476340549</v>
      </c>
      <c r="T358" s="14">
        <v>47.957379476340549</v>
      </c>
      <c r="U358" s="14">
        <v>47.957379476340549</v>
      </c>
      <c r="V358" s="14">
        <v>47.957379476340549</v>
      </c>
      <c r="W358" s="14">
        <v>47.957379476340549</v>
      </c>
      <c r="X358" s="14">
        <v>47.957379476340549</v>
      </c>
      <c r="Y358" s="14">
        <v>47.957379476340549</v>
      </c>
      <c r="Z358" s="14">
        <v>47.957379476340549</v>
      </c>
      <c r="AA358" s="14">
        <v>47.957379476340549</v>
      </c>
      <c r="AB358" s="14">
        <v>47.957379476340549</v>
      </c>
      <c r="AC358" s="14">
        <v>47.957379476340549</v>
      </c>
      <c r="AD358" s="14">
        <v>48.411569500000006</v>
      </c>
      <c r="AE358" s="14">
        <v>53.225929444444446</v>
      </c>
      <c r="AF358" s="14">
        <v>54.059549444444443</v>
      </c>
      <c r="AG358" s="14">
        <v>55.870589388888888</v>
      </c>
      <c r="AH358" s="14">
        <v>61.274199388888889</v>
      </c>
      <c r="AI358" s="15">
        <v>73.446689272426113</v>
      </c>
      <c r="AJ358" s="14">
        <v>58.940769388473328</v>
      </c>
      <c r="AK358" s="14">
        <v>58.940769388473328</v>
      </c>
      <c r="AL358" s="14">
        <v>58.940769388473328</v>
      </c>
      <c r="AM358" s="14">
        <v>58.940769388473328</v>
      </c>
      <c r="AN358" s="14">
        <v>58.940769388473328</v>
      </c>
      <c r="AO358" s="14">
        <v>58.940769388473328</v>
      </c>
      <c r="AP358" s="14">
        <v>58.940769388473328</v>
      </c>
      <c r="AQ358" s="14">
        <v>58.940769388473328</v>
      </c>
      <c r="AR358" s="14">
        <v>61.274199388888889</v>
      </c>
      <c r="AS358" s="14">
        <v>73.446689272426113</v>
      </c>
    </row>
    <row r="359" spans="1:45" x14ac:dyDescent="0.35">
      <c r="A359" s="16">
        <v>10505.37396000003</v>
      </c>
      <c r="B359" s="14">
        <v>4.0783148277777785</v>
      </c>
      <c r="C359" s="14">
        <v>4.0621158277777765</v>
      </c>
      <c r="D359" s="14">
        <v>4.0852908277777784</v>
      </c>
      <c r="E359" s="14">
        <v>4.1329548277777777</v>
      </c>
      <c r="F359" s="14">
        <v>4.2126018277777773</v>
      </c>
      <c r="G359" s="14">
        <v>4.3329018277777784</v>
      </c>
      <c r="H359" s="14">
        <v>4.4960888222222231</v>
      </c>
      <c r="I359" s="14">
        <v>4.6590398222222227</v>
      </c>
      <c r="J359" s="14">
        <v>5.3895938166666664</v>
      </c>
      <c r="K359" s="14">
        <v>10.575699777777778</v>
      </c>
      <c r="L359" s="14">
        <v>30.387249616666665</v>
      </c>
      <c r="M359" s="14">
        <v>48.162049500000002</v>
      </c>
      <c r="N359" s="14">
        <v>53.145209444444447</v>
      </c>
      <c r="O359" s="14">
        <v>53.984989444444437</v>
      </c>
      <c r="P359" s="14">
        <v>55.800569388888889</v>
      </c>
      <c r="Q359" s="14">
        <v>61.220589388888889</v>
      </c>
      <c r="R359" s="15">
        <v>73.390429272876119</v>
      </c>
      <c r="S359" s="14">
        <v>47.955519476355562</v>
      </c>
      <c r="T359" s="14">
        <v>47.955519476355562</v>
      </c>
      <c r="U359" s="14">
        <v>47.955519476355562</v>
      </c>
      <c r="V359" s="14">
        <v>47.955519476355562</v>
      </c>
      <c r="W359" s="14">
        <v>47.955519476355562</v>
      </c>
      <c r="X359" s="14">
        <v>47.955519476355562</v>
      </c>
      <c r="Y359" s="14">
        <v>47.955519476355562</v>
      </c>
      <c r="Z359" s="14">
        <v>47.955519476355562</v>
      </c>
      <c r="AA359" s="14">
        <v>47.955519476355562</v>
      </c>
      <c r="AB359" s="14">
        <v>47.955519476355562</v>
      </c>
      <c r="AC359" s="14">
        <v>47.955519476355562</v>
      </c>
      <c r="AD359" s="14">
        <v>48.162049500000002</v>
      </c>
      <c r="AE359" s="14">
        <v>53.145209444444447</v>
      </c>
      <c r="AF359" s="14">
        <v>53.984989444444437</v>
      </c>
      <c r="AG359" s="14">
        <v>55.800569388888889</v>
      </c>
      <c r="AH359" s="14">
        <v>61.220589388888889</v>
      </c>
      <c r="AI359" s="15">
        <v>73.390429272876119</v>
      </c>
      <c r="AJ359" s="14">
        <v>58.925829388593328</v>
      </c>
      <c r="AK359" s="14">
        <v>58.925829388593328</v>
      </c>
      <c r="AL359" s="14">
        <v>58.925829388593328</v>
      </c>
      <c r="AM359" s="14">
        <v>58.925829388593328</v>
      </c>
      <c r="AN359" s="14">
        <v>58.925829388593328</v>
      </c>
      <c r="AO359" s="14">
        <v>58.925829388593328</v>
      </c>
      <c r="AP359" s="14">
        <v>58.925829388593328</v>
      </c>
      <c r="AQ359" s="14">
        <v>58.925829388593328</v>
      </c>
      <c r="AR359" s="14">
        <v>61.220589388888889</v>
      </c>
      <c r="AS359" s="14">
        <v>73.390429272876119</v>
      </c>
    </row>
    <row r="360" spans="1:45" x14ac:dyDescent="0.35">
      <c r="A360" s="16">
        <v>10535.781570000032</v>
      </c>
      <c r="B360" s="14">
        <v>4.0739848277777764</v>
      </c>
      <c r="C360" s="14">
        <v>4.0609848277777791</v>
      </c>
      <c r="D360" s="14">
        <v>4.0841208277777792</v>
      </c>
      <c r="E360" s="14">
        <v>4.1320248277777774</v>
      </c>
      <c r="F360" s="14">
        <v>4.2122088277777792</v>
      </c>
      <c r="G360" s="14">
        <v>4.3332678277777763</v>
      </c>
      <c r="H360" s="14">
        <v>4.4973428222222207</v>
      </c>
      <c r="I360" s="14">
        <v>4.6590958222222216</v>
      </c>
      <c r="J360" s="14">
        <v>5.3757798166666664</v>
      </c>
      <c r="K360" s="14">
        <v>10.467109777777779</v>
      </c>
      <c r="L360" s="14">
        <v>30.122939616666663</v>
      </c>
      <c r="M360" s="14">
        <v>48.012439499999999</v>
      </c>
      <c r="N360" s="14">
        <v>53.097499444444438</v>
      </c>
      <c r="O360" s="14">
        <v>53.941079444444441</v>
      </c>
      <c r="P360" s="14">
        <v>55.759389388888884</v>
      </c>
      <c r="Q360" s="14">
        <v>61.18913938888889</v>
      </c>
      <c r="R360" s="15">
        <v>73.357269273141654</v>
      </c>
      <c r="S360" s="14">
        <v>47.89281947685722</v>
      </c>
      <c r="T360" s="14">
        <v>47.89281947685722</v>
      </c>
      <c r="U360" s="14">
        <v>47.89281947685722</v>
      </c>
      <c r="V360" s="14">
        <v>47.89281947685722</v>
      </c>
      <c r="W360" s="14">
        <v>47.89281947685722</v>
      </c>
      <c r="X360" s="14">
        <v>47.89281947685722</v>
      </c>
      <c r="Y360" s="14">
        <v>47.89281947685722</v>
      </c>
      <c r="Z360" s="14">
        <v>47.89281947685722</v>
      </c>
      <c r="AA360" s="14">
        <v>47.89281947685722</v>
      </c>
      <c r="AB360" s="14">
        <v>47.89281947685722</v>
      </c>
      <c r="AC360" s="14">
        <v>47.89281947685722</v>
      </c>
      <c r="AD360" s="14">
        <v>48.012439499999999</v>
      </c>
      <c r="AE360" s="14">
        <v>53.097499444444438</v>
      </c>
      <c r="AF360" s="14">
        <v>53.941079444444441</v>
      </c>
      <c r="AG360" s="14">
        <v>55.759389388888884</v>
      </c>
      <c r="AH360" s="14">
        <v>61.18913938888889</v>
      </c>
      <c r="AI360" s="15">
        <v>73.357269273141654</v>
      </c>
      <c r="AJ360" s="14">
        <v>58.869769389041657</v>
      </c>
      <c r="AK360" s="14">
        <v>58.869769389041657</v>
      </c>
      <c r="AL360" s="14">
        <v>58.869769389041657</v>
      </c>
      <c r="AM360" s="14">
        <v>58.869769389041657</v>
      </c>
      <c r="AN360" s="14">
        <v>58.869769389041657</v>
      </c>
      <c r="AO360" s="14">
        <v>58.869769389041657</v>
      </c>
      <c r="AP360" s="14">
        <v>58.869769389041657</v>
      </c>
      <c r="AQ360" s="14">
        <v>58.869769389041657</v>
      </c>
      <c r="AR360" s="14">
        <v>61.18913938888889</v>
      </c>
      <c r="AS360" s="14">
        <v>73.357269273141654</v>
      </c>
    </row>
    <row r="361" spans="1:45" x14ac:dyDescent="0.35">
      <c r="A361" s="16">
        <v>10558.49679000003</v>
      </c>
      <c r="B361" s="14">
        <v>4.074484827777777</v>
      </c>
      <c r="C361" s="14">
        <v>4.059445827777779</v>
      </c>
      <c r="D361" s="14">
        <v>4.0825788277777795</v>
      </c>
      <c r="E361" s="14">
        <v>4.1305028277777787</v>
      </c>
      <c r="F361" s="14">
        <v>4.2109308277777773</v>
      </c>
      <c r="G361" s="14">
        <v>4.3324048277777765</v>
      </c>
      <c r="H361" s="14">
        <v>4.4970188222222243</v>
      </c>
      <c r="I361" s="14">
        <v>4.6575368222222204</v>
      </c>
      <c r="J361" s="14">
        <v>5.3604328166666688</v>
      </c>
      <c r="K361" s="14">
        <v>10.358629777777777</v>
      </c>
      <c r="L361" s="14">
        <v>29.858089622222224</v>
      </c>
      <c r="M361" s="14">
        <v>47.859899500000004</v>
      </c>
      <c r="N361" s="14">
        <v>53.048219444444449</v>
      </c>
      <c r="O361" s="14">
        <v>53.89577944444445</v>
      </c>
      <c r="P361" s="14">
        <v>55.716819388888879</v>
      </c>
      <c r="Q361" s="14">
        <v>61.156389388888897</v>
      </c>
      <c r="R361" s="15">
        <v>73.322839273417216</v>
      </c>
      <c r="S361" s="14">
        <v>47.847479477219999</v>
      </c>
      <c r="T361" s="14">
        <v>47.847479477219999</v>
      </c>
      <c r="U361" s="14">
        <v>47.847479477219999</v>
      </c>
      <c r="V361" s="14">
        <v>47.847479477219999</v>
      </c>
      <c r="W361" s="14">
        <v>47.847479477219999</v>
      </c>
      <c r="X361" s="14">
        <v>47.847479477219999</v>
      </c>
      <c r="Y361" s="14">
        <v>47.847479477219999</v>
      </c>
      <c r="Z361" s="14">
        <v>47.847479477219999</v>
      </c>
      <c r="AA361" s="14">
        <v>47.847479477219999</v>
      </c>
      <c r="AB361" s="14">
        <v>47.847479477219999</v>
      </c>
      <c r="AC361" s="14">
        <v>47.847479477219999</v>
      </c>
      <c r="AD361" s="14">
        <v>47.859899500000004</v>
      </c>
      <c r="AE361" s="14">
        <v>53.048219444444449</v>
      </c>
      <c r="AF361" s="14">
        <v>53.89577944444445</v>
      </c>
      <c r="AG361" s="14">
        <v>55.716819388888879</v>
      </c>
      <c r="AH361" s="14">
        <v>61.156389388888897</v>
      </c>
      <c r="AI361" s="15">
        <v>73.322839273417216</v>
      </c>
      <c r="AJ361" s="14">
        <v>58.823499389411673</v>
      </c>
      <c r="AK361" s="14">
        <v>58.823499389411673</v>
      </c>
      <c r="AL361" s="14">
        <v>58.823499389411673</v>
      </c>
      <c r="AM361" s="14">
        <v>58.823499389411673</v>
      </c>
      <c r="AN361" s="14">
        <v>58.823499389411673</v>
      </c>
      <c r="AO361" s="14">
        <v>58.823499389411673</v>
      </c>
      <c r="AP361" s="14">
        <v>58.823499389411673</v>
      </c>
      <c r="AQ361" s="14">
        <v>58.823499389411673</v>
      </c>
      <c r="AR361" s="14">
        <v>61.156389388888897</v>
      </c>
      <c r="AS361" s="14">
        <v>73.322839273417216</v>
      </c>
    </row>
    <row r="362" spans="1:45" x14ac:dyDescent="0.35">
      <c r="A362" s="16">
        <v>10581.21201000003</v>
      </c>
      <c r="B362" s="14">
        <v>4.0750658277777774</v>
      </c>
      <c r="C362" s="14">
        <v>4.0579118277777777</v>
      </c>
      <c r="D362" s="14">
        <v>4.0810718277777784</v>
      </c>
      <c r="E362" s="14">
        <v>4.1289758277777757</v>
      </c>
      <c r="F362" s="14">
        <v>4.2096328277777788</v>
      </c>
      <c r="G362" s="14">
        <v>4.3315158277777774</v>
      </c>
      <c r="H362" s="14">
        <v>4.4966568222222216</v>
      </c>
      <c r="I362" s="14">
        <v>4.6559998222222241</v>
      </c>
      <c r="J362" s="14">
        <v>5.3454798166666686</v>
      </c>
      <c r="K362" s="14">
        <v>10.251989777777778</v>
      </c>
      <c r="L362" s="14">
        <v>29.594259622222221</v>
      </c>
      <c r="M362" s="14">
        <v>47.705809500000001</v>
      </c>
      <c r="N362" s="14">
        <v>52.998729444444443</v>
      </c>
      <c r="O362" s="14">
        <v>53.850439444444447</v>
      </c>
      <c r="P362" s="14">
        <v>55.674219388888886</v>
      </c>
      <c r="Q362" s="14">
        <v>61.12362938888888</v>
      </c>
      <c r="R362" s="15">
        <v>73.288379273692783</v>
      </c>
      <c r="S362" s="14">
        <v>47.825599477395002</v>
      </c>
      <c r="T362" s="14">
        <v>47.825599477395002</v>
      </c>
      <c r="U362" s="14">
        <v>47.825599477395002</v>
      </c>
      <c r="V362" s="14">
        <v>47.825599477395002</v>
      </c>
      <c r="W362" s="14">
        <v>47.825599477395002</v>
      </c>
      <c r="X362" s="14">
        <v>47.825599477395002</v>
      </c>
      <c r="Y362" s="14">
        <v>47.825599477395002</v>
      </c>
      <c r="Z362" s="14">
        <v>47.825599477395002</v>
      </c>
      <c r="AA362" s="14">
        <v>47.825599477395002</v>
      </c>
      <c r="AB362" s="14">
        <v>47.825599477395002</v>
      </c>
      <c r="AC362" s="14">
        <v>47.825599477395002</v>
      </c>
      <c r="AD362" s="14">
        <v>47.825599477395002</v>
      </c>
      <c r="AE362" s="14">
        <v>52.998729444444443</v>
      </c>
      <c r="AF362" s="14">
        <v>53.850439444444447</v>
      </c>
      <c r="AG362" s="14">
        <v>55.674219388888886</v>
      </c>
      <c r="AH362" s="14">
        <v>61.12362938888888</v>
      </c>
      <c r="AI362" s="15">
        <v>73.288379273692783</v>
      </c>
      <c r="AJ362" s="14">
        <v>58.795079389638886</v>
      </c>
      <c r="AK362" s="14">
        <v>58.795079389638886</v>
      </c>
      <c r="AL362" s="14">
        <v>58.795079389638886</v>
      </c>
      <c r="AM362" s="14">
        <v>58.795079389638886</v>
      </c>
      <c r="AN362" s="14">
        <v>58.795079389638886</v>
      </c>
      <c r="AO362" s="14">
        <v>58.795079389638886</v>
      </c>
      <c r="AP362" s="14">
        <v>58.795079389638886</v>
      </c>
      <c r="AQ362" s="14">
        <v>58.795079389638886</v>
      </c>
      <c r="AR362" s="14">
        <v>61.12362938888888</v>
      </c>
      <c r="AS362" s="14">
        <v>73.288379273692783</v>
      </c>
    </row>
    <row r="363" spans="1:45" x14ac:dyDescent="0.35">
      <c r="A363" s="16">
        <v>10603.92723000003</v>
      </c>
      <c r="B363" s="14">
        <v>4.0756388277777784</v>
      </c>
      <c r="C363" s="14">
        <v>4.056389827777779</v>
      </c>
      <c r="D363" s="14">
        <v>4.079601827777779</v>
      </c>
      <c r="E363" s="14">
        <v>4.127442827777779</v>
      </c>
      <c r="F363" s="14">
        <v>4.2083128277777764</v>
      </c>
      <c r="G363" s="14">
        <v>4.3306008277777783</v>
      </c>
      <c r="H363" s="14">
        <v>4.4962608222222205</v>
      </c>
      <c r="I363" s="14">
        <v>4.6544848222222237</v>
      </c>
      <c r="J363" s="14">
        <v>5.3309118166666671</v>
      </c>
      <c r="K363" s="14">
        <v>10.147169777777776</v>
      </c>
      <c r="L363" s="14">
        <v>29.331389627777778</v>
      </c>
      <c r="M363" s="14">
        <v>47.550169500000003</v>
      </c>
      <c r="N363" s="14">
        <v>52.949039444444445</v>
      </c>
      <c r="O363" s="14">
        <v>53.805059444444446</v>
      </c>
      <c r="P363" s="14">
        <v>55.631589388888884</v>
      </c>
      <c r="Q363" s="14">
        <v>61.090859388888894</v>
      </c>
      <c r="R363" s="15">
        <v>73.253899273968329</v>
      </c>
      <c r="S363" s="14">
        <v>47.80470947756222</v>
      </c>
      <c r="T363" s="14">
        <v>47.80470947756222</v>
      </c>
      <c r="U363" s="14">
        <v>47.80470947756222</v>
      </c>
      <c r="V363" s="14">
        <v>47.80470947756222</v>
      </c>
      <c r="W363" s="14">
        <v>47.80470947756222</v>
      </c>
      <c r="X363" s="14">
        <v>47.80470947756222</v>
      </c>
      <c r="Y363" s="14">
        <v>47.80470947756222</v>
      </c>
      <c r="Z363" s="14">
        <v>47.80470947756222</v>
      </c>
      <c r="AA363" s="14">
        <v>47.80470947756222</v>
      </c>
      <c r="AB363" s="14">
        <v>47.80470947756222</v>
      </c>
      <c r="AC363" s="14">
        <v>47.80470947756222</v>
      </c>
      <c r="AD363" s="14">
        <v>47.80470947756222</v>
      </c>
      <c r="AE363" s="14">
        <v>52.949039444444445</v>
      </c>
      <c r="AF363" s="14">
        <v>53.805059444444446</v>
      </c>
      <c r="AG363" s="14">
        <v>55.631589388888884</v>
      </c>
      <c r="AH363" s="14">
        <v>61.090859388888894</v>
      </c>
      <c r="AI363" s="15">
        <v>73.253899273968329</v>
      </c>
      <c r="AJ363" s="14">
        <v>58.766409389868336</v>
      </c>
      <c r="AK363" s="14">
        <v>58.766409389868336</v>
      </c>
      <c r="AL363" s="14">
        <v>58.766409389868336</v>
      </c>
      <c r="AM363" s="14">
        <v>58.766409389868336</v>
      </c>
      <c r="AN363" s="14">
        <v>58.766409389868336</v>
      </c>
      <c r="AO363" s="14">
        <v>58.766409389868336</v>
      </c>
      <c r="AP363" s="14">
        <v>58.766409389868336</v>
      </c>
      <c r="AQ363" s="14">
        <v>58.766409389868336</v>
      </c>
      <c r="AR363" s="14">
        <v>61.090859388888894</v>
      </c>
      <c r="AS363" s="14">
        <v>73.253899273968329</v>
      </c>
    </row>
    <row r="364" spans="1:45" x14ac:dyDescent="0.35">
      <c r="A364" s="16">
        <v>10630.29700200003</v>
      </c>
      <c r="B364" s="14">
        <v>4.0759848277777762</v>
      </c>
      <c r="C364" s="14">
        <v>4.0547728277777786</v>
      </c>
      <c r="D364" s="14">
        <v>4.0780878277777788</v>
      </c>
      <c r="E364" s="14">
        <v>4.1256988277777786</v>
      </c>
      <c r="F364" s="14">
        <v>4.2066928277777764</v>
      </c>
      <c r="G364" s="14">
        <v>4.3293418277777782</v>
      </c>
      <c r="H364" s="14">
        <v>4.4954928222222215</v>
      </c>
      <c r="I364" s="14">
        <v>4.6522968222222225</v>
      </c>
      <c r="J364" s="14">
        <v>5.3119458166666673</v>
      </c>
      <c r="K364" s="14">
        <v>10.011479777777778</v>
      </c>
      <c r="L364" s="14">
        <v>28.984289627777773</v>
      </c>
      <c r="M364" s="14">
        <v>47.341339500000004</v>
      </c>
      <c r="N364" s="14">
        <v>52.883039444444449</v>
      </c>
      <c r="O364" s="14">
        <v>53.745089444444453</v>
      </c>
      <c r="P364" s="14">
        <v>55.575279388888895</v>
      </c>
      <c r="Q364" s="14">
        <v>61.047669388888899</v>
      </c>
      <c r="R364" s="15">
        <v>73.208489274331654</v>
      </c>
      <c r="S364" s="14">
        <v>47.786519477707785</v>
      </c>
      <c r="T364" s="14">
        <v>47.786519477707785</v>
      </c>
      <c r="U364" s="14">
        <v>47.786519477707785</v>
      </c>
      <c r="V364" s="14">
        <v>47.786519477707785</v>
      </c>
      <c r="W364" s="14">
        <v>47.786519477707785</v>
      </c>
      <c r="X364" s="14">
        <v>47.786519477707785</v>
      </c>
      <c r="Y364" s="14">
        <v>47.786519477707785</v>
      </c>
      <c r="Z364" s="14">
        <v>47.786519477707785</v>
      </c>
      <c r="AA364" s="14">
        <v>47.786519477707785</v>
      </c>
      <c r="AB364" s="14">
        <v>47.786519477707785</v>
      </c>
      <c r="AC364" s="14">
        <v>47.786519477707785</v>
      </c>
      <c r="AD364" s="14">
        <v>47.786519477707785</v>
      </c>
      <c r="AE364" s="14">
        <v>52.883039444444449</v>
      </c>
      <c r="AF364" s="14">
        <v>53.745089444444453</v>
      </c>
      <c r="AG364" s="14">
        <v>55.575279388888895</v>
      </c>
      <c r="AH364" s="14">
        <v>61.047669388888899</v>
      </c>
      <c r="AI364" s="15">
        <v>73.208489274331654</v>
      </c>
      <c r="AJ364" s="14">
        <v>58.741259390069445</v>
      </c>
      <c r="AK364" s="14">
        <v>58.741259390069445</v>
      </c>
      <c r="AL364" s="14">
        <v>58.741259390069445</v>
      </c>
      <c r="AM364" s="14">
        <v>58.741259390069445</v>
      </c>
      <c r="AN364" s="14">
        <v>58.741259390069445</v>
      </c>
      <c r="AO364" s="14">
        <v>58.741259390069445</v>
      </c>
      <c r="AP364" s="14">
        <v>58.741259390069445</v>
      </c>
      <c r="AQ364" s="14">
        <v>58.741259390069445</v>
      </c>
      <c r="AR364" s="14">
        <v>61.047669388888899</v>
      </c>
      <c r="AS364" s="14">
        <v>73.208489274331654</v>
      </c>
    </row>
    <row r="365" spans="1:45" x14ac:dyDescent="0.35">
      <c r="A365" s="16">
        <v>10660.32132600003</v>
      </c>
      <c r="B365" s="14">
        <v>4.0760638277777792</v>
      </c>
      <c r="C365" s="14">
        <v>4.0534528277777762</v>
      </c>
      <c r="D365" s="14">
        <v>4.0768728277777795</v>
      </c>
      <c r="E365" s="14">
        <v>4.1242998277777767</v>
      </c>
      <c r="F365" s="14">
        <v>4.2055248277777775</v>
      </c>
      <c r="G365" s="14">
        <v>4.3286998277777791</v>
      </c>
      <c r="H365" s="14">
        <v>4.4954778222222203</v>
      </c>
      <c r="I365" s="14">
        <v>4.650989822222221</v>
      </c>
      <c r="J365" s="14">
        <v>5.2946048166666655</v>
      </c>
      <c r="K365" s="14">
        <v>9.8797747833333336</v>
      </c>
      <c r="L365" s="14">
        <v>28.640069633333333</v>
      </c>
      <c r="M365" s="14">
        <v>47.130149500000002</v>
      </c>
      <c r="N365" s="14">
        <v>52.817399444444447</v>
      </c>
      <c r="O365" s="14">
        <v>53.685769444444446</v>
      </c>
      <c r="P365" s="14">
        <v>55.519669388888893</v>
      </c>
      <c r="Q365" s="14">
        <v>61.005109388888883</v>
      </c>
      <c r="R365" s="15">
        <v>73.16375927468944</v>
      </c>
      <c r="S365" s="14">
        <v>47.745539478035553</v>
      </c>
      <c r="T365" s="14">
        <v>47.745539478035553</v>
      </c>
      <c r="U365" s="14">
        <v>47.745539478035553</v>
      </c>
      <c r="V365" s="14">
        <v>47.745539478035553</v>
      </c>
      <c r="W365" s="14">
        <v>47.745539478035553</v>
      </c>
      <c r="X365" s="14">
        <v>47.745539478035553</v>
      </c>
      <c r="Y365" s="14">
        <v>47.745539478035553</v>
      </c>
      <c r="Z365" s="14">
        <v>47.745539478035553</v>
      </c>
      <c r="AA365" s="14">
        <v>47.745539478035553</v>
      </c>
      <c r="AB365" s="14">
        <v>47.745539478035553</v>
      </c>
      <c r="AC365" s="14">
        <v>47.745539478035553</v>
      </c>
      <c r="AD365" s="14">
        <v>47.745539478035553</v>
      </c>
      <c r="AE365" s="14">
        <v>52.817399444444447</v>
      </c>
      <c r="AF365" s="14">
        <v>53.685769444444446</v>
      </c>
      <c r="AG365" s="14">
        <v>55.519669388888893</v>
      </c>
      <c r="AH365" s="14">
        <v>61.005109388888883</v>
      </c>
      <c r="AI365" s="15">
        <v>73.16375927468944</v>
      </c>
      <c r="AJ365" s="14">
        <v>58.695699390433887</v>
      </c>
      <c r="AK365" s="14">
        <v>58.695699390433887</v>
      </c>
      <c r="AL365" s="14">
        <v>58.695699390433887</v>
      </c>
      <c r="AM365" s="14">
        <v>58.695699390433887</v>
      </c>
      <c r="AN365" s="14">
        <v>58.695699390433887</v>
      </c>
      <c r="AO365" s="14">
        <v>58.695699390433887</v>
      </c>
      <c r="AP365" s="14">
        <v>58.695699390433887</v>
      </c>
      <c r="AQ365" s="14">
        <v>58.695699390433887</v>
      </c>
      <c r="AR365" s="14">
        <v>61.005109388888883</v>
      </c>
      <c r="AS365" s="14">
        <v>73.16375927468944</v>
      </c>
    </row>
    <row r="366" spans="1:45" x14ac:dyDescent="0.35">
      <c r="A366" s="16">
        <v>10694.38348800003</v>
      </c>
      <c r="B366" s="14">
        <v>4.0760358277777797</v>
      </c>
      <c r="C366" s="14">
        <v>4.0520758277777782</v>
      </c>
      <c r="D366" s="14">
        <v>4.0755428277777774</v>
      </c>
      <c r="E366" s="14">
        <v>4.1225848277777759</v>
      </c>
      <c r="F366" s="14">
        <v>4.2039208277777798</v>
      </c>
      <c r="G366" s="14">
        <v>4.3275718277777777</v>
      </c>
      <c r="H366" s="14">
        <v>4.4949398222222214</v>
      </c>
      <c r="I366" s="14">
        <v>4.6488908222222216</v>
      </c>
      <c r="J366" s="14">
        <v>5.2729318166666657</v>
      </c>
      <c r="K366" s="14">
        <v>9.716906783333334</v>
      </c>
      <c r="L366" s="14">
        <v>28.206509633333333</v>
      </c>
      <c r="M366" s="14">
        <v>46.857769499999996</v>
      </c>
      <c r="N366" s="14">
        <v>52.733209444444441</v>
      </c>
      <c r="O366" s="14">
        <v>53.610159444444449</v>
      </c>
      <c r="P366" s="14">
        <v>55.448799388888887</v>
      </c>
      <c r="Q366" s="14">
        <v>60.950759388888891</v>
      </c>
      <c r="R366" s="15">
        <v>73.106839275144992</v>
      </c>
      <c r="S366" s="14">
        <v>47.717439478259998</v>
      </c>
      <c r="T366" s="14">
        <v>47.717439478259998</v>
      </c>
      <c r="U366" s="14">
        <v>47.717439478259998</v>
      </c>
      <c r="V366" s="14">
        <v>47.717439478259998</v>
      </c>
      <c r="W366" s="14">
        <v>47.717439478259998</v>
      </c>
      <c r="X366" s="14">
        <v>47.717439478259998</v>
      </c>
      <c r="Y366" s="14">
        <v>47.717439478259998</v>
      </c>
      <c r="Z366" s="14">
        <v>47.717439478259998</v>
      </c>
      <c r="AA366" s="14">
        <v>47.717439478259998</v>
      </c>
      <c r="AB366" s="14">
        <v>47.717439478259998</v>
      </c>
      <c r="AC366" s="14">
        <v>47.717439478259998</v>
      </c>
      <c r="AD366" s="14">
        <v>47.717439478259998</v>
      </c>
      <c r="AE366" s="14">
        <v>52.733209444444441</v>
      </c>
      <c r="AF366" s="14">
        <v>53.610159444444449</v>
      </c>
      <c r="AG366" s="14">
        <v>55.448799388888887</v>
      </c>
      <c r="AH366" s="14">
        <v>60.950759388888891</v>
      </c>
      <c r="AI366" s="15">
        <v>73.106839275144992</v>
      </c>
      <c r="AJ366" s="14">
        <v>58.658989390727783</v>
      </c>
      <c r="AK366" s="14">
        <v>58.658989390727783</v>
      </c>
      <c r="AL366" s="14">
        <v>58.658989390727783</v>
      </c>
      <c r="AM366" s="14">
        <v>58.658989390727783</v>
      </c>
      <c r="AN366" s="14">
        <v>58.658989390727783</v>
      </c>
      <c r="AO366" s="14">
        <v>58.658989390727783</v>
      </c>
      <c r="AP366" s="14">
        <v>58.658989390727783</v>
      </c>
      <c r="AQ366" s="14">
        <v>58.658989390727783</v>
      </c>
      <c r="AR366" s="14">
        <v>60.950759388888891</v>
      </c>
      <c r="AS366" s="14">
        <v>73.106839275144992</v>
      </c>
    </row>
    <row r="367" spans="1:45" x14ac:dyDescent="0.35">
      <c r="A367" s="16">
        <v>10732.483488000031</v>
      </c>
      <c r="B367" s="14">
        <v>4.075932827777776</v>
      </c>
      <c r="C367" s="14">
        <v>4.0510848277777791</v>
      </c>
      <c r="D367" s="14">
        <v>4.0744528277777787</v>
      </c>
      <c r="E367" s="14">
        <v>4.1211648277777773</v>
      </c>
      <c r="F367" s="14">
        <v>4.2027188277777778</v>
      </c>
      <c r="G367" s="14">
        <v>4.3270218277777772</v>
      </c>
      <c r="H367" s="14">
        <v>4.4951528222222237</v>
      </c>
      <c r="I367" s="14">
        <v>4.6476718222222226</v>
      </c>
      <c r="J367" s="14">
        <v>5.2532058166666653</v>
      </c>
      <c r="K367" s="14">
        <v>9.5596717833333358</v>
      </c>
      <c r="L367" s="14">
        <v>27.777459638888892</v>
      </c>
      <c r="M367" s="14">
        <v>46.5820395</v>
      </c>
      <c r="N367" s="14">
        <v>52.649049444444444</v>
      </c>
      <c r="O367" s="14">
        <v>53.53511944444444</v>
      </c>
      <c r="P367" s="14">
        <v>55.378569444444437</v>
      </c>
      <c r="Q367" s="14">
        <v>60.897099388888897</v>
      </c>
      <c r="R367" s="15">
        <v>73.050539275595554</v>
      </c>
      <c r="S367" s="14">
        <v>47.682769478537779</v>
      </c>
      <c r="T367" s="14">
        <v>47.682769478537779</v>
      </c>
      <c r="U367" s="14">
        <v>47.682769478537779</v>
      </c>
      <c r="V367" s="14">
        <v>47.682769478537779</v>
      </c>
      <c r="W367" s="14">
        <v>47.682769478537779</v>
      </c>
      <c r="X367" s="14">
        <v>47.682769478537779</v>
      </c>
      <c r="Y367" s="14">
        <v>47.682769478537779</v>
      </c>
      <c r="Z367" s="14">
        <v>47.682769478537779</v>
      </c>
      <c r="AA367" s="14">
        <v>47.682769478537779</v>
      </c>
      <c r="AB367" s="14">
        <v>47.682769478537779</v>
      </c>
      <c r="AC367" s="14">
        <v>47.682769478537779</v>
      </c>
      <c r="AD367" s="14">
        <v>47.682769478537779</v>
      </c>
      <c r="AE367" s="14">
        <v>52.649049444444444</v>
      </c>
      <c r="AF367" s="14">
        <v>53.53511944444444</v>
      </c>
      <c r="AG367" s="14">
        <v>55.378569444444437</v>
      </c>
      <c r="AH367" s="14">
        <v>60.897099388888897</v>
      </c>
      <c r="AI367" s="15">
        <v>73.050539275595554</v>
      </c>
      <c r="AJ367" s="14">
        <v>58.614779391081662</v>
      </c>
      <c r="AK367" s="14">
        <v>58.614779391081662</v>
      </c>
      <c r="AL367" s="14">
        <v>58.614779391081662</v>
      </c>
      <c r="AM367" s="14">
        <v>58.614779391081662</v>
      </c>
      <c r="AN367" s="14">
        <v>58.614779391081662</v>
      </c>
      <c r="AO367" s="14">
        <v>58.614779391081662</v>
      </c>
      <c r="AP367" s="14">
        <v>58.614779391081662</v>
      </c>
      <c r="AQ367" s="14">
        <v>58.614779391081662</v>
      </c>
      <c r="AR367" s="14">
        <v>60.897099388888897</v>
      </c>
      <c r="AS367" s="14">
        <v>73.050539275595554</v>
      </c>
    </row>
    <row r="368" spans="1:45" x14ac:dyDescent="0.35">
      <c r="A368" s="16">
        <v>10770.583488000031</v>
      </c>
      <c r="B368" s="14">
        <v>4.0753508277777764</v>
      </c>
      <c r="C368" s="14">
        <v>4.0505258277777791</v>
      </c>
      <c r="D368" s="14">
        <v>4.0736278277777771</v>
      </c>
      <c r="E368" s="14">
        <v>4.1199898277777791</v>
      </c>
      <c r="F368" s="14">
        <v>4.2017278277777788</v>
      </c>
      <c r="G368" s="14">
        <v>4.3266738277777765</v>
      </c>
      <c r="H368" s="14">
        <v>4.4955578222222234</v>
      </c>
      <c r="I368" s="14">
        <v>4.6467348222222231</v>
      </c>
      <c r="J368" s="14">
        <v>5.2346258166666679</v>
      </c>
      <c r="K368" s="14">
        <v>9.4072827833333363</v>
      </c>
      <c r="L368" s="14">
        <v>27.35240963888889</v>
      </c>
      <c r="M368" s="14">
        <v>46.302559500000001</v>
      </c>
      <c r="N368" s="14">
        <v>52.564509444444447</v>
      </c>
      <c r="O368" s="14">
        <v>53.460279444444438</v>
      </c>
      <c r="P368" s="14">
        <v>55.308609444444443</v>
      </c>
      <c r="Q368" s="14">
        <v>60.843769388888894</v>
      </c>
      <c r="R368" s="15">
        <v>72.994589276042774</v>
      </c>
      <c r="S368" s="14">
        <v>47.647979478816112</v>
      </c>
      <c r="T368" s="14">
        <v>47.647979478816112</v>
      </c>
      <c r="U368" s="14">
        <v>47.647979478816112</v>
      </c>
      <c r="V368" s="14">
        <v>47.647979478816112</v>
      </c>
      <c r="W368" s="14">
        <v>47.647979478816112</v>
      </c>
      <c r="X368" s="14">
        <v>47.647979478816112</v>
      </c>
      <c r="Y368" s="14">
        <v>47.647979478816112</v>
      </c>
      <c r="Z368" s="14">
        <v>47.647979478816112</v>
      </c>
      <c r="AA368" s="14">
        <v>47.647979478816112</v>
      </c>
      <c r="AB368" s="14">
        <v>47.647979478816112</v>
      </c>
      <c r="AC368" s="14">
        <v>47.647979478816112</v>
      </c>
      <c r="AD368" s="14">
        <v>47.647979478816112</v>
      </c>
      <c r="AE368" s="14">
        <v>52.564509444444447</v>
      </c>
      <c r="AF368" s="14">
        <v>53.460279444444438</v>
      </c>
      <c r="AG368" s="14">
        <v>55.308609444444443</v>
      </c>
      <c r="AH368" s="14">
        <v>60.843769388888894</v>
      </c>
      <c r="AI368" s="15">
        <v>72.994589276042774</v>
      </c>
      <c r="AJ368" s="14">
        <v>58.570769391433338</v>
      </c>
      <c r="AK368" s="14">
        <v>58.570769391433338</v>
      </c>
      <c r="AL368" s="14">
        <v>58.570769391433338</v>
      </c>
      <c r="AM368" s="14">
        <v>58.570769391433338</v>
      </c>
      <c r="AN368" s="14">
        <v>58.570769391433338</v>
      </c>
      <c r="AO368" s="14">
        <v>58.570769391433338</v>
      </c>
      <c r="AP368" s="14">
        <v>58.570769391433338</v>
      </c>
      <c r="AQ368" s="14">
        <v>58.570769391433338</v>
      </c>
      <c r="AR368" s="14">
        <v>60.843769388888894</v>
      </c>
      <c r="AS368" s="14">
        <v>72.994589276042774</v>
      </c>
    </row>
    <row r="369" spans="1:45" x14ac:dyDescent="0.35">
      <c r="A369" s="16">
        <v>10808.683488000032</v>
      </c>
      <c r="B369" s="14">
        <v>4.0745938277777762</v>
      </c>
      <c r="C369" s="14">
        <v>4.0503738277777792</v>
      </c>
      <c r="D369" s="14">
        <v>4.0730528277777758</v>
      </c>
      <c r="E369" s="14">
        <v>4.1190568277777793</v>
      </c>
      <c r="F369" s="14">
        <v>4.2009488277777782</v>
      </c>
      <c r="G369" s="14">
        <v>4.326523827777776</v>
      </c>
      <c r="H369" s="14">
        <v>4.4961518222222212</v>
      </c>
      <c r="I369" s="14">
        <v>4.6460728222222238</v>
      </c>
      <c r="J369" s="14">
        <v>5.2171528166666663</v>
      </c>
      <c r="K369" s="14">
        <v>9.259625783333334</v>
      </c>
      <c r="L369" s="14">
        <v>26.930779644444446</v>
      </c>
      <c r="M369" s="14">
        <v>46.019309499999999</v>
      </c>
      <c r="N369" s="14">
        <v>52.479559444444448</v>
      </c>
      <c r="O369" s="14">
        <v>53.385629444444447</v>
      </c>
      <c r="P369" s="14">
        <v>55.238909444444438</v>
      </c>
      <c r="Q369" s="14">
        <v>60.7907793888889</v>
      </c>
      <c r="R369" s="15">
        <v>72.938999276487777</v>
      </c>
      <c r="S369" s="14">
        <v>47.618919479048337</v>
      </c>
      <c r="T369" s="14">
        <v>47.618919479048337</v>
      </c>
      <c r="U369" s="14">
        <v>47.618919479048337</v>
      </c>
      <c r="V369" s="14">
        <v>47.618919479048337</v>
      </c>
      <c r="W369" s="14">
        <v>47.618919479048337</v>
      </c>
      <c r="X369" s="14">
        <v>47.618919479048337</v>
      </c>
      <c r="Y369" s="14">
        <v>47.618919479048337</v>
      </c>
      <c r="Z369" s="14">
        <v>47.618919479048337</v>
      </c>
      <c r="AA369" s="14">
        <v>47.618919479048337</v>
      </c>
      <c r="AB369" s="14">
        <v>47.618919479048337</v>
      </c>
      <c r="AC369" s="14">
        <v>47.618919479048337</v>
      </c>
      <c r="AD369" s="14">
        <v>47.618919479048337</v>
      </c>
      <c r="AE369" s="14">
        <v>52.479559444444448</v>
      </c>
      <c r="AF369" s="14">
        <v>53.385629444444447</v>
      </c>
      <c r="AG369" s="14">
        <v>55.238909444444438</v>
      </c>
      <c r="AH369" s="14">
        <v>60.7907793888889</v>
      </c>
      <c r="AI369" s="15">
        <v>72.938999276487777</v>
      </c>
      <c r="AJ369" s="14">
        <v>58.53276939173778</v>
      </c>
      <c r="AK369" s="14">
        <v>58.53276939173778</v>
      </c>
      <c r="AL369" s="14">
        <v>58.53276939173778</v>
      </c>
      <c r="AM369" s="14">
        <v>58.53276939173778</v>
      </c>
      <c r="AN369" s="14">
        <v>58.53276939173778</v>
      </c>
      <c r="AO369" s="14">
        <v>58.53276939173778</v>
      </c>
      <c r="AP369" s="14">
        <v>58.53276939173778</v>
      </c>
      <c r="AQ369" s="14">
        <v>58.53276939173778</v>
      </c>
      <c r="AR369" s="14">
        <v>60.7907793888889</v>
      </c>
      <c r="AS369" s="14">
        <v>72.938999276487777</v>
      </c>
    </row>
    <row r="370" spans="1:45" x14ac:dyDescent="0.35">
      <c r="A370" s="16">
        <v>10846.78348800003</v>
      </c>
      <c r="B370" s="14">
        <v>4.0720298277777784</v>
      </c>
      <c r="C370" s="14">
        <v>4.0516988277777779</v>
      </c>
      <c r="D370" s="14">
        <v>4.0739408277777791</v>
      </c>
      <c r="E370" s="14">
        <v>4.1196588277777799</v>
      </c>
      <c r="F370" s="14">
        <v>4.2016938277777767</v>
      </c>
      <c r="G370" s="14">
        <v>4.3278868277777764</v>
      </c>
      <c r="H370" s="14">
        <v>4.4982288222222202</v>
      </c>
      <c r="I370" s="14">
        <v>4.6469808222222238</v>
      </c>
      <c r="J370" s="14">
        <v>5.202047816666667</v>
      </c>
      <c r="K370" s="14">
        <v>9.11790178888889</v>
      </c>
      <c r="L370" s="14">
        <v>26.513629650000002</v>
      </c>
      <c r="M370" s="14">
        <v>45.733879500000008</v>
      </c>
      <c r="N370" s="14">
        <v>52.395849444444444</v>
      </c>
      <c r="O370" s="14">
        <v>53.312869444444445</v>
      </c>
      <c r="P370" s="14">
        <v>55.171179444444448</v>
      </c>
      <c r="Q370" s="14">
        <v>60.739899388888894</v>
      </c>
      <c r="R370" s="15">
        <v>72.885639276914446</v>
      </c>
      <c r="S370" s="14">
        <v>47.573869479408891</v>
      </c>
      <c r="T370" s="14">
        <v>47.573869479408891</v>
      </c>
      <c r="U370" s="14">
        <v>47.573869479408891</v>
      </c>
      <c r="V370" s="14">
        <v>47.573869479408891</v>
      </c>
      <c r="W370" s="14">
        <v>47.573869479408891</v>
      </c>
      <c r="X370" s="14">
        <v>47.573869479408891</v>
      </c>
      <c r="Y370" s="14">
        <v>47.573869479408891</v>
      </c>
      <c r="Z370" s="14">
        <v>47.573869479408891</v>
      </c>
      <c r="AA370" s="14">
        <v>47.573869479408891</v>
      </c>
      <c r="AB370" s="14">
        <v>47.573869479408891</v>
      </c>
      <c r="AC370" s="14">
        <v>47.573869479408891</v>
      </c>
      <c r="AD370" s="14">
        <v>47.573869479408891</v>
      </c>
      <c r="AE370" s="14">
        <v>52.395849444444444</v>
      </c>
      <c r="AF370" s="14">
        <v>53.312869444444445</v>
      </c>
      <c r="AG370" s="14">
        <v>55.171179444444448</v>
      </c>
      <c r="AH370" s="14">
        <v>60.739899388888894</v>
      </c>
      <c r="AI370" s="15">
        <v>72.885639276914446</v>
      </c>
      <c r="AJ370" s="14">
        <v>58.482049392143331</v>
      </c>
      <c r="AK370" s="14">
        <v>58.482049392143331</v>
      </c>
      <c r="AL370" s="14">
        <v>58.482049392143331</v>
      </c>
      <c r="AM370" s="14">
        <v>58.482049392143331</v>
      </c>
      <c r="AN370" s="14">
        <v>58.482049392143331</v>
      </c>
      <c r="AO370" s="14">
        <v>58.482049392143331</v>
      </c>
      <c r="AP370" s="14">
        <v>58.482049392143331</v>
      </c>
      <c r="AQ370" s="14">
        <v>58.482049392143331</v>
      </c>
      <c r="AR370" s="14">
        <v>60.739899388888894</v>
      </c>
      <c r="AS370" s="14">
        <v>72.885639276914446</v>
      </c>
    </row>
    <row r="371" spans="1:45" x14ac:dyDescent="0.35">
      <c r="A371" s="16">
        <v>10884.88348800003</v>
      </c>
      <c r="B371" s="14">
        <v>4.0679938277777774</v>
      </c>
      <c r="C371" s="14">
        <v>4.0542268277777778</v>
      </c>
      <c r="D371" s="14">
        <v>4.0761188277777789</v>
      </c>
      <c r="E371" s="14">
        <v>4.1217638277777784</v>
      </c>
      <c r="F371" s="14">
        <v>4.2039578277777778</v>
      </c>
      <c r="G371" s="14">
        <v>4.3307668277777758</v>
      </c>
      <c r="H371" s="14">
        <v>4.5020488222222239</v>
      </c>
      <c r="I371" s="14">
        <v>4.6495008222222207</v>
      </c>
      <c r="J371" s="14">
        <v>5.1892738166666659</v>
      </c>
      <c r="K371" s="14">
        <v>8.9819967888888872</v>
      </c>
      <c r="L371" s="14">
        <v>26.102519650000001</v>
      </c>
      <c r="M371" s="14">
        <v>45.446259499999996</v>
      </c>
      <c r="N371" s="14">
        <v>52.313359444444444</v>
      </c>
      <c r="O371" s="14">
        <v>53.241969444444443</v>
      </c>
      <c r="P371" s="14">
        <v>55.105419444444436</v>
      </c>
      <c r="Q371" s="14">
        <v>60.69110938888889</v>
      </c>
      <c r="R371" s="15">
        <v>72.834519277323324</v>
      </c>
      <c r="S371" s="14">
        <v>47.544089479647226</v>
      </c>
      <c r="T371" s="14">
        <v>47.544089479647226</v>
      </c>
      <c r="U371" s="14">
        <v>47.544089479647226</v>
      </c>
      <c r="V371" s="14">
        <v>47.544089479647226</v>
      </c>
      <c r="W371" s="14">
        <v>47.544089479647226</v>
      </c>
      <c r="X371" s="14">
        <v>47.544089479647226</v>
      </c>
      <c r="Y371" s="14">
        <v>47.544089479647226</v>
      </c>
      <c r="Z371" s="14">
        <v>47.544089479647226</v>
      </c>
      <c r="AA371" s="14">
        <v>47.544089479647226</v>
      </c>
      <c r="AB371" s="14">
        <v>47.544089479647226</v>
      </c>
      <c r="AC371" s="14">
        <v>47.544089479647226</v>
      </c>
      <c r="AD371" s="14">
        <v>47.544089479647226</v>
      </c>
      <c r="AE371" s="14">
        <v>52.313359444444444</v>
      </c>
      <c r="AF371" s="14">
        <v>53.241969444444443</v>
      </c>
      <c r="AG371" s="14">
        <v>55.105419444444436</v>
      </c>
      <c r="AH371" s="14">
        <v>60.69110938888889</v>
      </c>
      <c r="AI371" s="15">
        <v>72.834519277323324</v>
      </c>
      <c r="AJ371" s="14">
        <v>58.443209392453888</v>
      </c>
      <c r="AK371" s="14">
        <v>58.443209392453888</v>
      </c>
      <c r="AL371" s="14">
        <v>58.443209392453888</v>
      </c>
      <c r="AM371" s="14">
        <v>58.443209392453888</v>
      </c>
      <c r="AN371" s="14">
        <v>58.443209392453888</v>
      </c>
      <c r="AO371" s="14">
        <v>58.443209392453888</v>
      </c>
      <c r="AP371" s="14">
        <v>58.443209392453888</v>
      </c>
      <c r="AQ371" s="14">
        <v>58.443209392453888</v>
      </c>
      <c r="AR371" s="14">
        <v>60.69110938888889</v>
      </c>
      <c r="AS371" s="14">
        <v>72.834519277323324</v>
      </c>
    </row>
    <row r="372" spans="1:45" x14ac:dyDescent="0.35">
      <c r="A372" s="16">
        <v>10922.983488000031</v>
      </c>
      <c r="B372" s="14">
        <v>4.0657238277777772</v>
      </c>
      <c r="C372" s="14">
        <v>4.0548438277777796</v>
      </c>
      <c r="D372" s="14">
        <v>4.076499827777778</v>
      </c>
      <c r="E372" s="14">
        <v>4.122161827777779</v>
      </c>
      <c r="F372" s="14">
        <v>4.2045168277777769</v>
      </c>
      <c r="G372" s="14">
        <v>4.3319418277777784</v>
      </c>
      <c r="H372" s="14">
        <v>4.5041638222222211</v>
      </c>
      <c r="I372" s="14">
        <v>4.6504528222222223</v>
      </c>
      <c r="J372" s="14">
        <v>5.1756218166666672</v>
      </c>
      <c r="K372" s="14">
        <v>8.8483627888888901</v>
      </c>
      <c r="L372" s="14">
        <v>25.693939655555553</v>
      </c>
      <c r="M372" s="14">
        <v>45.152419499999993</v>
      </c>
      <c r="N372" s="14">
        <v>52.227929444444442</v>
      </c>
      <c r="O372" s="14">
        <v>53.168799444444446</v>
      </c>
      <c r="P372" s="14">
        <v>55.037449444444441</v>
      </c>
      <c r="Q372" s="14">
        <v>60.64012938888888</v>
      </c>
      <c r="R372" s="15">
        <v>72.781079277751104</v>
      </c>
      <c r="S372" s="14">
        <v>47.516779479865555</v>
      </c>
      <c r="T372" s="14">
        <v>47.516779479865555</v>
      </c>
      <c r="U372" s="14">
        <v>47.516779479865555</v>
      </c>
      <c r="V372" s="14">
        <v>47.516779479865555</v>
      </c>
      <c r="W372" s="14">
        <v>47.516779479865555</v>
      </c>
      <c r="X372" s="14">
        <v>47.516779479865555</v>
      </c>
      <c r="Y372" s="14">
        <v>47.516779479865555</v>
      </c>
      <c r="Z372" s="14">
        <v>47.516779479865555</v>
      </c>
      <c r="AA372" s="14">
        <v>47.516779479865555</v>
      </c>
      <c r="AB372" s="14">
        <v>47.516779479865555</v>
      </c>
      <c r="AC372" s="14">
        <v>47.516779479865555</v>
      </c>
      <c r="AD372" s="14">
        <v>47.516779479865555</v>
      </c>
      <c r="AE372" s="14">
        <v>52.227929444444442</v>
      </c>
      <c r="AF372" s="14">
        <v>53.168799444444446</v>
      </c>
      <c r="AG372" s="14">
        <v>55.037449444444441</v>
      </c>
      <c r="AH372" s="14">
        <v>60.64012938888888</v>
      </c>
      <c r="AI372" s="15">
        <v>72.781079277751104</v>
      </c>
      <c r="AJ372" s="14">
        <v>58.404799392761106</v>
      </c>
      <c r="AK372" s="14">
        <v>58.404799392761106</v>
      </c>
      <c r="AL372" s="14">
        <v>58.404799392761106</v>
      </c>
      <c r="AM372" s="14">
        <v>58.404799392761106</v>
      </c>
      <c r="AN372" s="14">
        <v>58.404799392761106</v>
      </c>
      <c r="AO372" s="14">
        <v>58.404799392761106</v>
      </c>
      <c r="AP372" s="14">
        <v>58.404799392761106</v>
      </c>
      <c r="AQ372" s="14">
        <v>58.404799392761106</v>
      </c>
      <c r="AR372" s="14">
        <v>60.64012938888888</v>
      </c>
      <c r="AS372" s="14">
        <v>72.781079277751104</v>
      </c>
    </row>
    <row r="373" spans="1:45" x14ac:dyDescent="0.35">
      <c r="A373" s="16">
        <v>10961.083488000031</v>
      </c>
      <c r="B373" s="14">
        <v>4.0654038277777795</v>
      </c>
      <c r="C373" s="14">
        <v>4.0537688277777777</v>
      </c>
      <c r="D373" s="14">
        <v>4.0752318277777793</v>
      </c>
      <c r="E373" s="14">
        <v>4.1208858277777773</v>
      </c>
      <c r="F373" s="14">
        <v>4.2033818277777772</v>
      </c>
      <c r="G373" s="14">
        <v>4.3314198277777765</v>
      </c>
      <c r="H373" s="14">
        <v>4.5043288222222229</v>
      </c>
      <c r="I373" s="14">
        <v>4.6497808222222208</v>
      </c>
      <c r="J373" s="14">
        <v>5.1610618166666651</v>
      </c>
      <c r="K373" s="14">
        <v>8.7167257888888887</v>
      </c>
      <c r="L373" s="14">
        <v>25.287929655555551</v>
      </c>
      <c r="M373" s="14">
        <v>44.851519500000002</v>
      </c>
      <c r="N373" s="14">
        <v>52.139549444444441</v>
      </c>
      <c r="O373" s="14">
        <v>53.093369444444448</v>
      </c>
      <c r="P373" s="14">
        <v>54.96726944444444</v>
      </c>
      <c r="Q373" s="14">
        <v>60.586949388888897</v>
      </c>
      <c r="R373" s="15">
        <v>72.725339278197225</v>
      </c>
      <c r="S373" s="14">
        <v>47.495299480037225</v>
      </c>
      <c r="T373" s="14">
        <v>47.495299480037225</v>
      </c>
      <c r="U373" s="14">
        <v>47.495299480037225</v>
      </c>
      <c r="V373" s="14">
        <v>47.495299480037225</v>
      </c>
      <c r="W373" s="14">
        <v>47.495299480037225</v>
      </c>
      <c r="X373" s="14">
        <v>47.495299480037225</v>
      </c>
      <c r="Y373" s="14">
        <v>47.495299480037225</v>
      </c>
      <c r="Z373" s="14">
        <v>47.495299480037225</v>
      </c>
      <c r="AA373" s="14">
        <v>47.495299480037225</v>
      </c>
      <c r="AB373" s="14">
        <v>47.495299480037225</v>
      </c>
      <c r="AC373" s="14">
        <v>47.495299480037225</v>
      </c>
      <c r="AD373" s="14">
        <v>47.495299480037225</v>
      </c>
      <c r="AE373" s="14">
        <v>52.139549444444441</v>
      </c>
      <c r="AF373" s="14">
        <v>53.093369444444448</v>
      </c>
      <c r="AG373" s="14">
        <v>54.96726944444444</v>
      </c>
      <c r="AH373" s="14">
        <v>60.586949388888897</v>
      </c>
      <c r="AI373" s="15">
        <v>72.725339278197225</v>
      </c>
      <c r="AJ373" s="14">
        <v>58.37344939301223</v>
      </c>
      <c r="AK373" s="14">
        <v>58.37344939301223</v>
      </c>
      <c r="AL373" s="14">
        <v>58.37344939301223</v>
      </c>
      <c r="AM373" s="14">
        <v>58.37344939301223</v>
      </c>
      <c r="AN373" s="14">
        <v>58.37344939301223</v>
      </c>
      <c r="AO373" s="14">
        <v>58.37344939301223</v>
      </c>
      <c r="AP373" s="14">
        <v>58.37344939301223</v>
      </c>
      <c r="AQ373" s="14">
        <v>58.37344939301223</v>
      </c>
      <c r="AR373" s="14">
        <v>60.586949388888897</v>
      </c>
      <c r="AS373" s="14">
        <v>72.725339278197225</v>
      </c>
    </row>
    <row r="374" spans="1:45" x14ac:dyDescent="0.35">
      <c r="A374" s="16">
        <v>10999.183488000032</v>
      </c>
      <c r="B374" s="14">
        <v>4.0644498277777785</v>
      </c>
      <c r="C374" s="14">
        <v>4.0528708277777765</v>
      </c>
      <c r="D374" s="14">
        <v>4.0742718277777792</v>
      </c>
      <c r="E374" s="14">
        <v>4.1199208277777783</v>
      </c>
      <c r="F374" s="14">
        <v>4.202541827777778</v>
      </c>
      <c r="G374" s="14">
        <v>4.3311788277777792</v>
      </c>
      <c r="H374" s="14">
        <v>4.5047708222222207</v>
      </c>
      <c r="I374" s="14">
        <v>4.6494498222222207</v>
      </c>
      <c r="J374" s="14">
        <v>5.1475138166666667</v>
      </c>
      <c r="K374" s="14">
        <v>8.5895157888888889</v>
      </c>
      <c r="L374" s="14">
        <v>24.886629661111115</v>
      </c>
      <c r="M374" s="14">
        <v>44.547329500000004</v>
      </c>
      <c r="N374" s="14">
        <v>52.050689444444444</v>
      </c>
      <c r="O374" s="14">
        <v>53.018199444444448</v>
      </c>
      <c r="P374" s="14">
        <v>54.897469444444454</v>
      </c>
      <c r="Q374" s="14">
        <v>60.534219388888886</v>
      </c>
      <c r="R374" s="15">
        <v>72.670119278638893</v>
      </c>
      <c r="S374" s="14">
        <v>47.435879480512781</v>
      </c>
      <c r="T374" s="14">
        <v>47.435879480512781</v>
      </c>
      <c r="U374" s="14">
        <v>47.435879480512781</v>
      </c>
      <c r="V374" s="14">
        <v>47.435879480512781</v>
      </c>
      <c r="W374" s="14">
        <v>47.435879480512781</v>
      </c>
      <c r="X374" s="14">
        <v>47.435879480512781</v>
      </c>
      <c r="Y374" s="14">
        <v>47.435879480512781</v>
      </c>
      <c r="Z374" s="14">
        <v>47.435879480512781</v>
      </c>
      <c r="AA374" s="14">
        <v>47.435879480512781</v>
      </c>
      <c r="AB374" s="14">
        <v>47.435879480512781</v>
      </c>
      <c r="AC374" s="14">
        <v>47.435879480512781</v>
      </c>
      <c r="AD374" s="14">
        <v>47.435879480512781</v>
      </c>
      <c r="AE374" s="14">
        <v>52.050689444444444</v>
      </c>
      <c r="AF374" s="14">
        <v>53.018199444444448</v>
      </c>
      <c r="AG374" s="14">
        <v>54.897469444444454</v>
      </c>
      <c r="AH374" s="14">
        <v>60.534219388888886</v>
      </c>
      <c r="AI374" s="15">
        <v>72.670119278638893</v>
      </c>
      <c r="AJ374" s="14">
        <v>58.311779393505567</v>
      </c>
      <c r="AK374" s="14">
        <v>58.311779393505567</v>
      </c>
      <c r="AL374" s="14">
        <v>58.311779393505567</v>
      </c>
      <c r="AM374" s="14">
        <v>58.311779393505567</v>
      </c>
      <c r="AN374" s="14">
        <v>58.311779393505567</v>
      </c>
      <c r="AO374" s="14">
        <v>58.311779393505567</v>
      </c>
      <c r="AP374" s="14">
        <v>58.311779393505567</v>
      </c>
      <c r="AQ374" s="14">
        <v>58.311779393505567</v>
      </c>
      <c r="AR374" s="14">
        <v>60.534219388888886</v>
      </c>
      <c r="AS374" s="14">
        <v>72.670119278638893</v>
      </c>
    </row>
    <row r="375" spans="1:45" x14ac:dyDescent="0.35">
      <c r="A375" s="16">
        <v>11037.28348800003</v>
      </c>
      <c r="B375" s="14">
        <v>4.0635988277777777</v>
      </c>
      <c r="C375" s="14">
        <v>4.0520718277777785</v>
      </c>
      <c r="D375" s="14">
        <v>4.0736098277777764</v>
      </c>
      <c r="E375" s="14">
        <v>4.1192628277777779</v>
      </c>
      <c r="F375" s="14">
        <v>4.2019968277777764</v>
      </c>
      <c r="G375" s="14">
        <v>4.3312158277777772</v>
      </c>
      <c r="H375" s="14">
        <v>4.5054888222222225</v>
      </c>
      <c r="I375" s="14">
        <v>4.6495048222222204</v>
      </c>
      <c r="J375" s="14">
        <v>5.1349468166666652</v>
      </c>
      <c r="K375" s="14">
        <v>8.4666297944444455</v>
      </c>
      <c r="L375" s="14">
        <v>24.488789666666669</v>
      </c>
      <c r="M375" s="14">
        <v>44.239889500000004</v>
      </c>
      <c r="N375" s="14">
        <v>51.961289444444446</v>
      </c>
      <c r="O375" s="14">
        <v>52.94327944444445</v>
      </c>
      <c r="P375" s="14">
        <v>54.828019444444443</v>
      </c>
      <c r="Q375" s="14">
        <v>60.48193938888889</v>
      </c>
      <c r="R375" s="15">
        <v>72.615409279076673</v>
      </c>
      <c r="S375" s="14">
        <v>47.402629480778891</v>
      </c>
      <c r="T375" s="14">
        <v>47.402629480778891</v>
      </c>
      <c r="U375" s="14">
        <v>47.402629480778891</v>
      </c>
      <c r="V375" s="14">
        <v>47.402629480778891</v>
      </c>
      <c r="W375" s="14">
        <v>47.402629480778891</v>
      </c>
      <c r="X375" s="14">
        <v>47.402629480778891</v>
      </c>
      <c r="Y375" s="14">
        <v>47.402629480778891</v>
      </c>
      <c r="Z375" s="14">
        <v>47.402629480778891</v>
      </c>
      <c r="AA375" s="14">
        <v>47.402629480778891</v>
      </c>
      <c r="AB375" s="14">
        <v>47.402629480778891</v>
      </c>
      <c r="AC375" s="14">
        <v>47.402629480778891</v>
      </c>
      <c r="AD375" s="14">
        <v>47.402629480778891</v>
      </c>
      <c r="AE375" s="14">
        <v>51.961289444444446</v>
      </c>
      <c r="AF375" s="14">
        <v>52.94327944444445</v>
      </c>
      <c r="AG375" s="14">
        <v>54.828019444444443</v>
      </c>
      <c r="AH375" s="14">
        <v>60.48193938888889</v>
      </c>
      <c r="AI375" s="15">
        <v>72.615409279076673</v>
      </c>
      <c r="AJ375" s="14">
        <v>58.270029393839451</v>
      </c>
      <c r="AK375" s="14">
        <v>58.270029393839451</v>
      </c>
      <c r="AL375" s="14">
        <v>58.270029393839451</v>
      </c>
      <c r="AM375" s="14">
        <v>58.270029393839451</v>
      </c>
      <c r="AN375" s="14">
        <v>58.270029393839451</v>
      </c>
      <c r="AO375" s="14">
        <v>58.270029393839451</v>
      </c>
      <c r="AP375" s="14">
        <v>58.270029393839451</v>
      </c>
      <c r="AQ375" s="14">
        <v>58.270029393839451</v>
      </c>
      <c r="AR375" s="14">
        <v>60.48193938888889</v>
      </c>
      <c r="AS375" s="14">
        <v>72.615409279076673</v>
      </c>
    </row>
    <row r="376" spans="1:45" x14ac:dyDescent="0.35">
      <c r="A376" s="16">
        <v>11075.38348800003</v>
      </c>
      <c r="B376" s="14">
        <v>4.0626218277777761</v>
      </c>
      <c r="C376" s="14">
        <v>4.0507428277777775</v>
      </c>
      <c r="D376" s="14">
        <v>4.0726378277777782</v>
      </c>
      <c r="E376" s="14">
        <v>4.1182958277777795</v>
      </c>
      <c r="F376" s="14">
        <v>4.2011328277777773</v>
      </c>
      <c r="G376" s="14">
        <v>4.3309238277777791</v>
      </c>
      <c r="H376" s="14">
        <v>4.5058818222222206</v>
      </c>
      <c r="I376" s="14">
        <v>4.6492968222222215</v>
      </c>
      <c r="J376" s="14">
        <v>5.1227258166666685</v>
      </c>
      <c r="K376" s="14">
        <v>8.3473477944444436</v>
      </c>
      <c r="L376" s="14">
        <v>24.094929666666662</v>
      </c>
      <c r="M376" s="14">
        <v>43.928509499999997</v>
      </c>
      <c r="N376" s="14">
        <v>51.870219444444444</v>
      </c>
      <c r="O376" s="14">
        <v>52.867839444444442</v>
      </c>
      <c r="P376" s="14">
        <v>54.758149444444449</v>
      </c>
      <c r="Q376" s="14">
        <v>60.429289388888883</v>
      </c>
      <c r="R376" s="15">
        <v>72.560359279516675</v>
      </c>
      <c r="S376" s="14">
        <v>47.36952948104333</v>
      </c>
      <c r="T376" s="14">
        <v>47.36952948104333</v>
      </c>
      <c r="U376" s="14">
        <v>47.36952948104333</v>
      </c>
      <c r="V376" s="14">
        <v>47.36952948104333</v>
      </c>
      <c r="W376" s="14">
        <v>47.36952948104333</v>
      </c>
      <c r="X376" s="14">
        <v>47.36952948104333</v>
      </c>
      <c r="Y376" s="14">
        <v>47.36952948104333</v>
      </c>
      <c r="Z376" s="14">
        <v>47.36952948104333</v>
      </c>
      <c r="AA376" s="14">
        <v>47.36952948104333</v>
      </c>
      <c r="AB376" s="14">
        <v>47.36952948104333</v>
      </c>
      <c r="AC376" s="14">
        <v>47.36952948104333</v>
      </c>
      <c r="AD376" s="14">
        <v>47.36952948104333</v>
      </c>
      <c r="AE376" s="14">
        <v>51.870219444444444</v>
      </c>
      <c r="AF376" s="14">
        <v>52.867839444444442</v>
      </c>
      <c r="AG376" s="14">
        <v>54.758149444444449</v>
      </c>
      <c r="AH376" s="14">
        <v>60.429289388888883</v>
      </c>
      <c r="AI376" s="15">
        <v>72.560359279516675</v>
      </c>
      <c r="AJ376" s="14">
        <v>58.227729394177771</v>
      </c>
      <c r="AK376" s="14">
        <v>58.227729394177771</v>
      </c>
      <c r="AL376" s="14">
        <v>58.227729394177771</v>
      </c>
      <c r="AM376" s="14">
        <v>58.227729394177771</v>
      </c>
      <c r="AN376" s="14">
        <v>58.227729394177771</v>
      </c>
      <c r="AO376" s="14">
        <v>58.227729394177771</v>
      </c>
      <c r="AP376" s="14">
        <v>58.227729394177771</v>
      </c>
      <c r="AQ376" s="14">
        <v>58.227729394177771</v>
      </c>
      <c r="AR376" s="14">
        <v>60.429289388888883</v>
      </c>
      <c r="AS376" s="14">
        <v>72.560359279516675</v>
      </c>
    </row>
    <row r="377" spans="1:45" x14ac:dyDescent="0.35">
      <c r="A377" s="16">
        <v>11113.483488000031</v>
      </c>
      <c r="B377" s="14">
        <v>4.0628768277777798</v>
      </c>
      <c r="C377" s="14">
        <v>4.0490118277777789</v>
      </c>
      <c r="D377" s="14">
        <v>4.0714118277777764</v>
      </c>
      <c r="E377" s="14">
        <v>4.1170338277777789</v>
      </c>
      <c r="F377" s="14">
        <v>4.1999528277777758</v>
      </c>
      <c r="G377" s="14">
        <v>4.3303088277777766</v>
      </c>
      <c r="H377" s="14">
        <v>4.5059528222222216</v>
      </c>
      <c r="I377" s="14">
        <v>4.6487308222222232</v>
      </c>
      <c r="J377" s="14">
        <v>5.1108228166666656</v>
      </c>
      <c r="K377" s="14">
        <v>8.2315677944444428</v>
      </c>
      <c r="L377" s="14">
        <v>23.705689672222224</v>
      </c>
      <c r="M377" s="14">
        <v>43.613209499999996</v>
      </c>
      <c r="N377" s="14">
        <v>51.777779444444441</v>
      </c>
      <c r="O377" s="14">
        <v>52.791849444444445</v>
      </c>
      <c r="P377" s="14">
        <v>54.687849444444446</v>
      </c>
      <c r="Q377" s="14">
        <v>60.376269388888886</v>
      </c>
      <c r="R377" s="15">
        <v>72.504969279959994</v>
      </c>
      <c r="S377" s="14">
        <v>47.338809481289445</v>
      </c>
      <c r="T377" s="14">
        <v>47.338809481289445</v>
      </c>
      <c r="U377" s="14">
        <v>47.338809481289445</v>
      </c>
      <c r="V377" s="14">
        <v>47.338809481289445</v>
      </c>
      <c r="W377" s="14">
        <v>47.338809481289445</v>
      </c>
      <c r="X377" s="14">
        <v>47.338809481289445</v>
      </c>
      <c r="Y377" s="14">
        <v>47.338809481289445</v>
      </c>
      <c r="Z377" s="14">
        <v>47.338809481289445</v>
      </c>
      <c r="AA377" s="14">
        <v>47.338809481289445</v>
      </c>
      <c r="AB377" s="14">
        <v>47.338809481289445</v>
      </c>
      <c r="AC377" s="14">
        <v>47.338809481289445</v>
      </c>
      <c r="AD377" s="14">
        <v>47.338809481289445</v>
      </c>
      <c r="AE377" s="14">
        <v>51.777779444444441</v>
      </c>
      <c r="AF377" s="14">
        <v>52.791849444444445</v>
      </c>
      <c r="AG377" s="14">
        <v>54.687849444444446</v>
      </c>
      <c r="AH377" s="14">
        <v>60.376269388888886</v>
      </c>
      <c r="AI377" s="15">
        <v>72.504969279959994</v>
      </c>
      <c r="AJ377" s="14">
        <v>58.186119394510541</v>
      </c>
      <c r="AK377" s="14">
        <v>58.186119394510541</v>
      </c>
      <c r="AL377" s="14">
        <v>58.186119394510541</v>
      </c>
      <c r="AM377" s="14">
        <v>58.186119394510541</v>
      </c>
      <c r="AN377" s="14">
        <v>58.186119394510541</v>
      </c>
      <c r="AO377" s="14">
        <v>58.186119394510541</v>
      </c>
      <c r="AP377" s="14">
        <v>58.186119394510541</v>
      </c>
      <c r="AQ377" s="14">
        <v>58.186119394510541</v>
      </c>
      <c r="AR377" s="14">
        <v>60.376269388888886</v>
      </c>
      <c r="AS377" s="14">
        <v>72.504969279959994</v>
      </c>
    </row>
    <row r="378" spans="1:45" x14ac:dyDescent="0.35">
      <c r="A378" s="16">
        <v>11151.583488000031</v>
      </c>
      <c r="B378" s="14">
        <v>4.0619568277777773</v>
      </c>
      <c r="C378" s="14">
        <v>4.0471008277777782</v>
      </c>
      <c r="D378" s="14">
        <v>4.0701378277777778</v>
      </c>
      <c r="E378" s="14">
        <v>4.115710827777777</v>
      </c>
      <c r="F378" s="14">
        <v>4.198698827777779</v>
      </c>
      <c r="G378" s="14">
        <v>4.3296078277777799</v>
      </c>
      <c r="H378" s="14">
        <v>4.5059388222222232</v>
      </c>
      <c r="I378" s="14">
        <v>4.648125822222223</v>
      </c>
      <c r="J378" s="14">
        <v>5.0994478166666664</v>
      </c>
      <c r="K378" s="14">
        <v>8.1194277944444444</v>
      </c>
      <c r="L378" s="14">
        <v>23.321319672222224</v>
      </c>
      <c r="M378" s="14">
        <v>43.2943195</v>
      </c>
      <c r="N378" s="14">
        <v>51.684289444444445</v>
      </c>
      <c r="O378" s="14">
        <v>52.715609444444446</v>
      </c>
      <c r="P378" s="14">
        <v>54.617429444444447</v>
      </c>
      <c r="Q378" s="14">
        <v>60.323199388888902</v>
      </c>
      <c r="R378" s="15">
        <v>72.44958928040279</v>
      </c>
      <c r="S378" s="14">
        <v>47.308749481529993</v>
      </c>
      <c r="T378" s="14">
        <v>47.308749481529993</v>
      </c>
      <c r="U378" s="14">
        <v>47.308749481529993</v>
      </c>
      <c r="V378" s="14">
        <v>47.308749481529993</v>
      </c>
      <c r="W378" s="14">
        <v>47.308749481529993</v>
      </c>
      <c r="X378" s="14">
        <v>47.308749481529993</v>
      </c>
      <c r="Y378" s="14">
        <v>47.308749481529993</v>
      </c>
      <c r="Z378" s="14">
        <v>47.308749481529993</v>
      </c>
      <c r="AA378" s="14">
        <v>47.308749481529993</v>
      </c>
      <c r="AB378" s="14">
        <v>47.308749481529993</v>
      </c>
      <c r="AC378" s="14">
        <v>47.308749481529993</v>
      </c>
      <c r="AD378" s="14">
        <v>47.308749481529993</v>
      </c>
      <c r="AE378" s="14">
        <v>51.684289444444445</v>
      </c>
      <c r="AF378" s="14">
        <v>52.715609444444446</v>
      </c>
      <c r="AG378" s="14">
        <v>54.617429444444447</v>
      </c>
      <c r="AH378" s="14">
        <v>60.323199388888902</v>
      </c>
      <c r="AI378" s="15">
        <v>72.44958928040279</v>
      </c>
      <c r="AJ378" s="14">
        <v>58.144189394846109</v>
      </c>
      <c r="AK378" s="14">
        <v>58.144189394846109</v>
      </c>
      <c r="AL378" s="14">
        <v>58.144189394846109</v>
      </c>
      <c r="AM378" s="14">
        <v>58.144189394846109</v>
      </c>
      <c r="AN378" s="14">
        <v>58.144189394846109</v>
      </c>
      <c r="AO378" s="14">
        <v>58.144189394846109</v>
      </c>
      <c r="AP378" s="14">
        <v>58.144189394846109</v>
      </c>
      <c r="AQ378" s="14">
        <v>58.144189394846109</v>
      </c>
      <c r="AR378" s="14">
        <v>60.323199388888902</v>
      </c>
      <c r="AS378" s="14">
        <v>72.44958928040279</v>
      </c>
    </row>
    <row r="379" spans="1:45" x14ac:dyDescent="0.35">
      <c r="A379" s="16">
        <v>11189.683488000032</v>
      </c>
      <c r="B379" s="14">
        <v>4.0626268277777795</v>
      </c>
      <c r="C379" s="14">
        <v>4.0452098277777777</v>
      </c>
      <c r="D379" s="14">
        <v>4.0688708277777783</v>
      </c>
      <c r="E379" s="14">
        <v>4.1143398277777781</v>
      </c>
      <c r="F379" s="14">
        <v>4.197374827777776</v>
      </c>
      <c r="G379" s="14">
        <v>4.3288228277777758</v>
      </c>
      <c r="H379" s="14">
        <v>4.5058408222222228</v>
      </c>
      <c r="I379" s="14">
        <v>4.6474838222222203</v>
      </c>
      <c r="J379" s="14">
        <v>5.0885728166666651</v>
      </c>
      <c r="K379" s="14">
        <v>8.0108277944444435</v>
      </c>
      <c r="L379" s="14">
        <v>22.941779677777781</v>
      </c>
      <c r="M379" s="14">
        <v>42.971829499999998</v>
      </c>
      <c r="N379" s="14">
        <v>51.589709444444438</v>
      </c>
      <c r="O379" s="14">
        <v>52.639119444444447</v>
      </c>
      <c r="P379" s="14">
        <v>54.546889444444446</v>
      </c>
      <c r="Q379" s="14">
        <v>60.270079388888888</v>
      </c>
      <c r="R379" s="15">
        <v>72.39421928084613</v>
      </c>
      <c r="S379" s="14">
        <v>47.290899481672781</v>
      </c>
      <c r="T379" s="14">
        <v>47.290899481672781</v>
      </c>
      <c r="U379" s="14">
        <v>47.290899481672781</v>
      </c>
      <c r="V379" s="14">
        <v>47.290899481672781</v>
      </c>
      <c r="W379" s="14">
        <v>47.290899481672781</v>
      </c>
      <c r="X379" s="14">
        <v>47.290899481672781</v>
      </c>
      <c r="Y379" s="14">
        <v>47.290899481672781</v>
      </c>
      <c r="Z379" s="14">
        <v>47.290899481672781</v>
      </c>
      <c r="AA379" s="14">
        <v>47.290899481672781</v>
      </c>
      <c r="AB379" s="14">
        <v>47.290899481672781</v>
      </c>
      <c r="AC379" s="14">
        <v>47.290899481672781</v>
      </c>
      <c r="AD379" s="14">
        <v>47.290899481672781</v>
      </c>
      <c r="AE379" s="14">
        <v>51.589709444444438</v>
      </c>
      <c r="AF379" s="14">
        <v>52.639119444444447</v>
      </c>
      <c r="AG379" s="14">
        <v>54.546889444444446</v>
      </c>
      <c r="AH379" s="14">
        <v>60.270079388888888</v>
      </c>
      <c r="AI379" s="15">
        <v>72.39421928084613</v>
      </c>
      <c r="AJ379" s="14">
        <v>58.113559395091116</v>
      </c>
      <c r="AK379" s="14">
        <v>58.113559395091116</v>
      </c>
      <c r="AL379" s="14">
        <v>58.113559395091116</v>
      </c>
      <c r="AM379" s="14">
        <v>58.113559395091116</v>
      </c>
      <c r="AN379" s="14">
        <v>58.113559395091116</v>
      </c>
      <c r="AO379" s="14">
        <v>58.113559395091116</v>
      </c>
      <c r="AP379" s="14">
        <v>58.113559395091116</v>
      </c>
      <c r="AQ379" s="14">
        <v>58.113559395091116</v>
      </c>
      <c r="AR379" s="14">
        <v>60.270079388888888</v>
      </c>
      <c r="AS379" s="14">
        <v>72.39421928084613</v>
      </c>
    </row>
    <row r="380" spans="1:45" x14ac:dyDescent="0.35">
      <c r="A380" s="16">
        <v>11227.78348800003</v>
      </c>
      <c r="B380" s="14">
        <v>4.0611578277777758</v>
      </c>
      <c r="C380" s="14">
        <v>4.0436208277777768</v>
      </c>
      <c r="D380" s="14">
        <v>4.0678948277777769</v>
      </c>
      <c r="E380" s="14">
        <v>4.1132708277777787</v>
      </c>
      <c r="F380" s="14">
        <v>4.1963448277777795</v>
      </c>
      <c r="G380" s="14">
        <v>4.3283168277777762</v>
      </c>
      <c r="H380" s="14">
        <v>4.506019822222223</v>
      </c>
      <c r="I380" s="14">
        <v>4.6471618222222233</v>
      </c>
      <c r="J380" s="14">
        <v>5.0785338166666669</v>
      </c>
      <c r="K380" s="14">
        <v>7.9060347944444418</v>
      </c>
      <c r="L380" s="14">
        <v>22.56735967777778</v>
      </c>
      <c r="M380" s="14">
        <v>42.645189499999994</v>
      </c>
      <c r="N380" s="14">
        <v>51.494479444444444</v>
      </c>
      <c r="O380" s="14">
        <v>52.562849444444446</v>
      </c>
      <c r="P380" s="14">
        <v>54.476699444444435</v>
      </c>
      <c r="Q380" s="14">
        <v>60.217409388888882</v>
      </c>
      <c r="R380" s="15">
        <v>72.339299281285008</v>
      </c>
      <c r="S380" s="14">
        <v>47.232019482143897</v>
      </c>
      <c r="T380" s="14">
        <v>47.232019482143897</v>
      </c>
      <c r="U380" s="14">
        <v>47.232019482143897</v>
      </c>
      <c r="V380" s="14">
        <v>47.232019482143897</v>
      </c>
      <c r="W380" s="14">
        <v>47.232019482143897</v>
      </c>
      <c r="X380" s="14">
        <v>47.232019482143897</v>
      </c>
      <c r="Y380" s="14">
        <v>47.232019482143897</v>
      </c>
      <c r="Z380" s="14">
        <v>47.232019482143897</v>
      </c>
      <c r="AA380" s="14">
        <v>47.232019482143897</v>
      </c>
      <c r="AB380" s="14">
        <v>47.232019482143897</v>
      </c>
      <c r="AC380" s="14">
        <v>47.232019482143897</v>
      </c>
      <c r="AD380" s="14">
        <v>47.232019482143897</v>
      </c>
      <c r="AE380" s="14">
        <v>51.494479444444444</v>
      </c>
      <c r="AF380" s="14">
        <v>52.562849444444446</v>
      </c>
      <c r="AG380" s="14">
        <v>54.476699444444435</v>
      </c>
      <c r="AH380" s="14">
        <v>60.217409388888882</v>
      </c>
      <c r="AI380" s="15">
        <v>72.339299281285008</v>
      </c>
      <c r="AJ380" s="14">
        <v>58.053349395572774</v>
      </c>
      <c r="AK380" s="14">
        <v>58.053349395572774</v>
      </c>
      <c r="AL380" s="14">
        <v>58.053349395572774</v>
      </c>
      <c r="AM380" s="14">
        <v>58.053349395572774</v>
      </c>
      <c r="AN380" s="14">
        <v>58.053349395572774</v>
      </c>
      <c r="AO380" s="14">
        <v>58.053349395572774</v>
      </c>
      <c r="AP380" s="14">
        <v>58.053349395572774</v>
      </c>
      <c r="AQ380" s="14">
        <v>58.053349395572774</v>
      </c>
      <c r="AR380" s="14">
        <v>60.217409388888882</v>
      </c>
      <c r="AS380" s="14">
        <v>72.339299281285008</v>
      </c>
    </row>
    <row r="381" spans="1:45" x14ac:dyDescent="0.35">
      <c r="A381" s="16">
        <v>11265.88348800003</v>
      </c>
      <c r="B381" s="14">
        <v>4.0629498277777758</v>
      </c>
      <c r="C381" s="14">
        <v>4.0426078277777773</v>
      </c>
      <c r="D381" s="14">
        <v>4.0673068277777782</v>
      </c>
      <c r="E381" s="14">
        <v>4.1125238277777774</v>
      </c>
      <c r="F381" s="14">
        <v>4.1956128277777793</v>
      </c>
      <c r="G381" s="14">
        <v>4.3280818277777771</v>
      </c>
      <c r="H381" s="14">
        <v>4.5064778222222222</v>
      </c>
      <c r="I381" s="14">
        <v>4.6471588222222238</v>
      </c>
      <c r="J381" s="14">
        <v>5.0693058222222236</v>
      </c>
      <c r="K381" s="14">
        <v>7.8049517999999978</v>
      </c>
      <c r="L381" s="14">
        <v>22.196789683333336</v>
      </c>
      <c r="M381" s="14">
        <v>42.315509499999997</v>
      </c>
      <c r="N381" s="14">
        <v>51.398559444444444</v>
      </c>
      <c r="O381" s="14">
        <v>52.486759444444452</v>
      </c>
      <c r="P381" s="14">
        <v>54.406849444444447</v>
      </c>
      <c r="Q381" s="14">
        <v>60.165169388888884</v>
      </c>
      <c r="R381" s="15">
        <v>72.284779281721669</v>
      </c>
      <c r="S381" s="14">
        <v>47.207049482343336</v>
      </c>
      <c r="T381" s="14">
        <v>47.207049482343336</v>
      </c>
      <c r="U381" s="14">
        <v>47.207049482343336</v>
      </c>
      <c r="V381" s="14">
        <v>47.207049482343336</v>
      </c>
      <c r="W381" s="14">
        <v>47.207049482343336</v>
      </c>
      <c r="X381" s="14">
        <v>47.207049482343336</v>
      </c>
      <c r="Y381" s="14">
        <v>47.207049482343336</v>
      </c>
      <c r="Z381" s="14">
        <v>47.207049482343336</v>
      </c>
      <c r="AA381" s="14">
        <v>47.207049482343336</v>
      </c>
      <c r="AB381" s="14">
        <v>47.207049482343336</v>
      </c>
      <c r="AC381" s="14">
        <v>47.207049482343336</v>
      </c>
      <c r="AD381" s="14">
        <v>47.207049482343336</v>
      </c>
      <c r="AE381" s="14">
        <v>51.398559444444444</v>
      </c>
      <c r="AF381" s="14">
        <v>52.486759444444452</v>
      </c>
      <c r="AG381" s="14">
        <v>54.406849444444447</v>
      </c>
      <c r="AH381" s="14">
        <v>60.165169388888884</v>
      </c>
      <c r="AI381" s="15">
        <v>72.284779281721669</v>
      </c>
      <c r="AJ381" s="14">
        <v>58.018729395850009</v>
      </c>
      <c r="AK381" s="14">
        <v>58.018729395850009</v>
      </c>
      <c r="AL381" s="14">
        <v>58.018729395850009</v>
      </c>
      <c r="AM381" s="14">
        <v>58.018729395850009</v>
      </c>
      <c r="AN381" s="14">
        <v>58.018729395850009</v>
      </c>
      <c r="AO381" s="14">
        <v>58.018729395850009</v>
      </c>
      <c r="AP381" s="14">
        <v>58.018729395850009</v>
      </c>
      <c r="AQ381" s="14">
        <v>58.018729395850009</v>
      </c>
      <c r="AR381" s="14">
        <v>60.165169388888884</v>
      </c>
      <c r="AS381" s="14">
        <v>72.284779281721669</v>
      </c>
    </row>
    <row r="382" spans="1:45" x14ac:dyDescent="0.35">
      <c r="A382" s="16">
        <v>11303.983488000031</v>
      </c>
      <c r="B382" s="14">
        <v>4.0594578277777771</v>
      </c>
      <c r="C382" s="14">
        <v>4.0411158277777774</v>
      </c>
      <c r="D382" s="14">
        <v>4.0661788277777768</v>
      </c>
      <c r="E382" s="14">
        <v>4.1112968277777799</v>
      </c>
      <c r="F382" s="14">
        <v>4.1944048277777783</v>
      </c>
      <c r="G382" s="14">
        <v>4.3273588277777755</v>
      </c>
      <c r="H382" s="14">
        <v>4.5064578222222211</v>
      </c>
      <c r="I382" s="14">
        <v>4.6467188222222218</v>
      </c>
      <c r="J382" s="14">
        <v>5.0601098222222243</v>
      </c>
      <c r="K382" s="14">
        <v>7.706723799999998</v>
      </c>
      <c r="L382" s="14">
        <v>21.830679683333329</v>
      </c>
      <c r="M382" s="14">
        <v>41.982349499999998</v>
      </c>
      <c r="N382" s="14">
        <v>51.300949444444441</v>
      </c>
      <c r="O382" s="14">
        <v>52.409889444444445</v>
      </c>
      <c r="P382" s="14">
        <v>54.336359444444433</v>
      </c>
      <c r="Q382" s="14">
        <v>60.112349388888887</v>
      </c>
      <c r="R382" s="15">
        <v>72.22969928216223</v>
      </c>
      <c r="S382" s="14">
        <v>47.166289482669441</v>
      </c>
      <c r="T382" s="14">
        <v>47.166289482669441</v>
      </c>
      <c r="U382" s="14">
        <v>47.166289482669441</v>
      </c>
      <c r="V382" s="14">
        <v>47.166289482669441</v>
      </c>
      <c r="W382" s="14">
        <v>47.166289482669441</v>
      </c>
      <c r="X382" s="14">
        <v>47.166289482669441</v>
      </c>
      <c r="Y382" s="14">
        <v>47.166289482669441</v>
      </c>
      <c r="Z382" s="14">
        <v>47.166289482669441</v>
      </c>
      <c r="AA382" s="14">
        <v>47.166289482669441</v>
      </c>
      <c r="AB382" s="14">
        <v>47.166289482669441</v>
      </c>
      <c r="AC382" s="14">
        <v>47.166289482669441</v>
      </c>
      <c r="AD382" s="14">
        <v>47.166289482669441</v>
      </c>
      <c r="AE382" s="14">
        <v>51.300949444444441</v>
      </c>
      <c r="AF382" s="14">
        <v>52.409889444444445</v>
      </c>
      <c r="AG382" s="14">
        <v>54.336359444444433</v>
      </c>
      <c r="AH382" s="14">
        <v>60.112349388888887</v>
      </c>
      <c r="AI382" s="15">
        <v>72.22969928216223</v>
      </c>
      <c r="AJ382" s="14">
        <v>57.971139396230555</v>
      </c>
      <c r="AK382" s="14">
        <v>57.971139396230555</v>
      </c>
      <c r="AL382" s="14">
        <v>57.971139396230555</v>
      </c>
      <c r="AM382" s="14">
        <v>57.971139396230555</v>
      </c>
      <c r="AN382" s="14">
        <v>57.971139396230555</v>
      </c>
      <c r="AO382" s="14">
        <v>57.971139396230555</v>
      </c>
      <c r="AP382" s="14">
        <v>57.971139396230555</v>
      </c>
      <c r="AQ382" s="14">
        <v>57.971139396230555</v>
      </c>
      <c r="AR382" s="14">
        <v>60.112349388888887</v>
      </c>
      <c r="AS382" s="14">
        <v>72.22969928216223</v>
      </c>
    </row>
    <row r="383" spans="1:45" x14ac:dyDescent="0.35">
      <c r="A383" s="16">
        <v>11342.083488000031</v>
      </c>
      <c r="B383" s="14">
        <v>4.0593968277777783</v>
      </c>
      <c r="C383" s="14">
        <v>4.0394348277777761</v>
      </c>
      <c r="D383" s="14">
        <v>4.0646458277777793</v>
      </c>
      <c r="E383" s="14">
        <v>4.1096188277777772</v>
      </c>
      <c r="F383" s="14">
        <v>4.192729827777776</v>
      </c>
      <c r="G383" s="14">
        <v>4.3261648277777773</v>
      </c>
      <c r="H383" s="14">
        <v>4.505974822222222</v>
      </c>
      <c r="I383" s="14">
        <v>4.6458528222222224</v>
      </c>
      <c r="J383" s="14">
        <v>5.0509248222222229</v>
      </c>
      <c r="K383" s="14">
        <v>7.6112578000000006</v>
      </c>
      <c r="L383" s="14">
        <v>21.469389688888889</v>
      </c>
      <c r="M383" s="14">
        <v>41.645739500000005</v>
      </c>
      <c r="N383" s="14">
        <v>51.201609444444443</v>
      </c>
      <c r="O383" s="14">
        <v>52.332219444444448</v>
      </c>
      <c r="P383" s="14">
        <v>54.265209444444444</v>
      </c>
      <c r="Q383" s="14">
        <v>60.058949388888891</v>
      </c>
      <c r="R383" s="15">
        <v>72.174079282607224</v>
      </c>
      <c r="S383" s="14">
        <v>47.121339483028891</v>
      </c>
      <c r="T383" s="14">
        <v>47.121339483028891</v>
      </c>
      <c r="U383" s="14">
        <v>47.121339483028891</v>
      </c>
      <c r="V383" s="14">
        <v>47.121339483028891</v>
      </c>
      <c r="W383" s="14">
        <v>47.121339483028891</v>
      </c>
      <c r="X383" s="14">
        <v>47.121339483028891</v>
      </c>
      <c r="Y383" s="14">
        <v>47.121339483028891</v>
      </c>
      <c r="Z383" s="14">
        <v>47.121339483028891</v>
      </c>
      <c r="AA383" s="14">
        <v>47.121339483028891</v>
      </c>
      <c r="AB383" s="14">
        <v>47.121339483028891</v>
      </c>
      <c r="AC383" s="14">
        <v>47.121339483028891</v>
      </c>
      <c r="AD383" s="14">
        <v>47.121339483028891</v>
      </c>
      <c r="AE383" s="14">
        <v>51.201609444444443</v>
      </c>
      <c r="AF383" s="14">
        <v>52.332219444444448</v>
      </c>
      <c r="AG383" s="14">
        <v>54.265209444444444</v>
      </c>
      <c r="AH383" s="14">
        <v>60.058949388888891</v>
      </c>
      <c r="AI383" s="15">
        <v>72.174079282607224</v>
      </c>
      <c r="AJ383" s="14">
        <v>57.920229396637779</v>
      </c>
      <c r="AK383" s="14">
        <v>57.920229396637779</v>
      </c>
      <c r="AL383" s="14">
        <v>57.920229396637779</v>
      </c>
      <c r="AM383" s="14">
        <v>57.920229396637779</v>
      </c>
      <c r="AN383" s="14">
        <v>57.920229396637779</v>
      </c>
      <c r="AO383" s="14">
        <v>57.920229396637779</v>
      </c>
      <c r="AP383" s="14">
        <v>57.920229396637779</v>
      </c>
      <c r="AQ383" s="14">
        <v>57.920229396637779</v>
      </c>
      <c r="AR383" s="14">
        <v>60.058949388888891</v>
      </c>
      <c r="AS383" s="14">
        <v>72.174079282607224</v>
      </c>
    </row>
    <row r="384" spans="1:45" x14ac:dyDescent="0.35">
      <c r="A384" s="16">
        <v>11380.183488000032</v>
      </c>
      <c r="B384" s="14">
        <v>4.0590778277777773</v>
      </c>
      <c r="C384" s="14">
        <v>4.0383268277777793</v>
      </c>
      <c r="D384" s="14">
        <v>4.0635118277777789</v>
      </c>
      <c r="E384" s="14">
        <v>4.1083148277777761</v>
      </c>
      <c r="F384" s="14">
        <v>4.1914138277777759</v>
      </c>
      <c r="G384" s="14">
        <v>4.3253128277777755</v>
      </c>
      <c r="H384" s="14">
        <v>4.505827822222221</v>
      </c>
      <c r="I384" s="14">
        <v>4.6453488222222221</v>
      </c>
      <c r="J384" s="14">
        <v>5.0425388222222232</v>
      </c>
      <c r="K384" s="14">
        <v>7.5192867999999997</v>
      </c>
      <c r="L384" s="14">
        <v>21.113759688888887</v>
      </c>
      <c r="M384" s="14">
        <v>41.306709555555557</v>
      </c>
      <c r="N384" s="14">
        <v>51.101539444444448</v>
      </c>
      <c r="O384" s="14">
        <v>52.254779444444445</v>
      </c>
      <c r="P384" s="14">
        <v>54.194319444444453</v>
      </c>
      <c r="Q384" s="14">
        <v>60.006069388888882</v>
      </c>
      <c r="R384" s="15">
        <v>72.119079283047228</v>
      </c>
      <c r="S384" s="14">
        <v>47.088409483292224</v>
      </c>
      <c r="T384" s="14">
        <v>47.088409483292224</v>
      </c>
      <c r="U384" s="14">
        <v>47.088409483292224</v>
      </c>
      <c r="V384" s="14">
        <v>47.088409483292224</v>
      </c>
      <c r="W384" s="14">
        <v>47.088409483292224</v>
      </c>
      <c r="X384" s="14">
        <v>47.088409483292224</v>
      </c>
      <c r="Y384" s="14">
        <v>47.088409483292224</v>
      </c>
      <c r="Z384" s="14">
        <v>47.088409483292224</v>
      </c>
      <c r="AA384" s="14">
        <v>47.088409483292224</v>
      </c>
      <c r="AB384" s="14">
        <v>47.088409483292224</v>
      </c>
      <c r="AC384" s="14">
        <v>47.088409483292224</v>
      </c>
      <c r="AD384" s="14">
        <v>47.088409483292224</v>
      </c>
      <c r="AE384" s="14">
        <v>51.101539444444448</v>
      </c>
      <c r="AF384" s="14">
        <v>52.254779444444445</v>
      </c>
      <c r="AG384" s="14">
        <v>54.194319444444453</v>
      </c>
      <c r="AH384" s="14">
        <v>60.006069388888882</v>
      </c>
      <c r="AI384" s="15">
        <v>72.119079283047228</v>
      </c>
      <c r="AJ384" s="14">
        <v>57.877879396976674</v>
      </c>
      <c r="AK384" s="14">
        <v>57.877879396976674</v>
      </c>
      <c r="AL384" s="14">
        <v>57.877879396976674</v>
      </c>
      <c r="AM384" s="14">
        <v>57.877879396976674</v>
      </c>
      <c r="AN384" s="14">
        <v>57.877879396976674</v>
      </c>
      <c r="AO384" s="14">
        <v>57.877879396976674</v>
      </c>
      <c r="AP384" s="14">
        <v>57.877879396976674</v>
      </c>
      <c r="AQ384" s="14">
        <v>57.877879396976674</v>
      </c>
      <c r="AR384" s="14">
        <v>60.006069388888882</v>
      </c>
      <c r="AS384" s="14">
        <v>72.119079283047228</v>
      </c>
    </row>
    <row r="385" spans="1:45" x14ac:dyDescent="0.35">
      <c r="A385" s="16">
        <v>11418.28348800003</v>
      </c>
      <c r="B385" s="14">
        <v>4.05850682777778</v>
      </c>
      <c r="C385" s="14">
        <v>4.037712827777777</v>
      </c>
      <c r="D385" s="14">
        <v>4.0627518277777792</v>
      </c>
      <c r="E385" s="14">
        <v>4.1073778277777766</v>
      </c>
      <c r="F385" s="14">
        <v>4.190454827777776</v>
      </c>
      <c r="G385" s="14">
        <v>4.3247848277777798</v>
      </c>
      <c r="H385" s="14">
        <v>4.506005822222221</v>
      </c>
      <c r="I385" s="14">
        <v>4.6452078222222211</v>
      </c>
      <c r="J385" s="14">
        <v>5.0349328222222232</v>
      </c>
      <c r="K385" s="14">
        <v>7.4307207999999987</v>
      </c>
      <c r="L385" s="14">
        <v>20.763739694444446</v>
      </c>
      <c r="M385" s="14">
        <v>40.965299555555561</v>
      </c>
      <c r="N385" s="14">
        <v>51.000729444444438</v>
      </c>
      <c r="O385" s="14">
        <v>52.177569444444444</v>
      </c>
      <c r="P385" s="14">
        <v>54.123649444444453</v>
      </c>
      <c r="Q385" s="14">
        <v>59.953699388888886</v>
      </c>
      <c r="R385" s="15">
        <v>72.064699283482213</v>
      </c>
      <c r="S385" s="14">
        <v>47.058079483535003</v>
      </c>
      <c r="T385" s="14">
        <v>47.058079483535003</v>
      </c>
      <c r="U385" s="14">
        <v>47.058079483535003</v>
      </c>
      <c r="V385" s="14">
        <v>47.058079483535003</v>
      </c>
      <c r="W385" s="14">
        <v>47.058079483535003</v>
      </c>
      <c r="X385" s="14">
        <v>47.058079483535003</v>
      </c>
      <c r="Y385" s="14">
        <v>47.058079483535003</v>
      </c>
      <c r="Z385" s="14">
        <v>47.058079483535003</v>
      </c>
      <c r="AA385" s="14">
        <v>47.058079483535003</v>
      </c>
      <c r="AB385" s="14">
        <v>47.058079483535003</v>
      </c>
      <c r="AC385" s="14">
        <v>47.058079483535003</v>
      </c>
      <c r="AD385" s="14">
        <v>47.058079483535003</v>
      </c>
      <c r="AE385" s="14">
        <v>51.000729444444438</v>
      </c>
      <c r="AF385" s="14">
        <v>52.177569444444444</v>
      </c>
      <c r="AG385" s="14">
        <v>54.123649444444453</v>
      </c>
      <c r="AH385" s="14">
        <v>59.953699388888886</v>
      </c>
      <c r="AI385" s="15">
        <v>72.064699283482213</v>
      </c>
      <c r="AJ385" s="14">
        <v>57.838399397292783</v>
      </c>
      <c r="AK385" s="14">
        <v>57.838399397292783</v>
      </c>
      <c r="AL385" s="14">
        <v>57.838399397292783</v>
      </c>
      <c r="AM385" s="14">
        <v>57.838399397292783</v>
      </c>
      <c r="AN385" s="14">
        <v>57.838399397292783</v>
      </c>
      <c r="AO385" s="14">
        <v>57.838399397292783</v>
      </c>
      <c r="AP385" s="14">
        <v>57.838399397292783</v>
      </c>
      <c r="AQ385" s="14">
        <v>57.838399397292783</v>
      </c>
      <c r="AR385" s="14">
        <v>59.953699388888886</v>
      </c>
      <c r="AS385" s="14">
        <v>72.064699283482213</v>
      </c>
    </row>
    <row r="386" spans="1:45" x14ac:dyDescent="0.35">
      <c r="A386" s="16">
        <v>11456.38348800003</v>
      </c>
      <c r="B386" s="14">
        <v>4.0580918277777771</v>
      </c>
      <c r="C386" s="14">
        <v>4.036964827777779</v>
      </c>
      <c r="D386" s="14">
        <v>4.0617608277777766</v>
      </c>
      <c r="E386" s="14">
        <v>4.1061928277777762</v>
      </c>
      <c r="F386" s="14">
        <v>4.1892348277777778</v>
      </c>
      <c r="G386" s="14">
        <v>4.3239768277777797</v>
      </c>
      <c r="H386" s="14">
        <v>4.5059098222222245</v>
      </c>
      <c r="I386" s="14">
        <v>4.644825822222221</v>
      </c>
      <c r="J386" s="14">
        <v>5.0274748222222208</v>
      </c>
      <c r="K386" s="14">
        <v>7.3448607999999984</v>
      </c>
      <c r="L386" s="14">
        <v>20.418619694444445</v>
      </c>
      <c r="M386" s="14">
        <v>40.620659555555555</v>
      </c>
      <c r="N386" s="14">
        <v>50.898329444444443</v>
      </c>
      <c r="O386" s="14">
        <v>52.099779444444444</v>
      </c>
      <c r="P386" s="14">
        <v>54.052609444444457</v>
      </c>
      <c r="Q386" s="14">
        <v>59.901019388888891</v>
      </c>
      <c r="R386" s="15">
        <v>72.010059283919446</v>
      </c>
      <c r="S386" s="14">
        <v>47.027929483776106</v>
      </c>
      <c r="T386" s="14">
        <v>47.027929483776106</v>
      </c>
      <c r="U386" s="14">
        <v>47.027929483776106</v>
      </c>
      <c r="V386" s="14">
        <v>47.027929483776106</v>
      </c>
      <c r="W386" s="14">
        <v>47.027929483776106</v>
      </c>
      <c r="X386" s="14">
        <v>47.027929483776106</v>
      </c>
      <c r="Y386" s="14">
        <v>47.027929483776106</v>
      </c>
      <c r="Z386" s="14">
        <v>47.027929483776106</v>
      </c>
      <c r="AA386" s="14">
        <v>47.027929483776106</v>
      </c>
      <c r="AB386" s="14">
        <v>47.027929483776106</v>
      </c>
      <c r="AC386" s="14">
        <v>47.027929483776106</v>
      </c>
      <c r="AD386" s="14">
        <v>47.027929483776106</v>
      </c>
      <c r="AE386" s="14">
        <v>50.898329444444443</v>
      </c>
      <c r="AF386" s="14">
        <v>52.099779444444444</v>
      </c>
      <c r="AG386" s="14">
        <v>54.052609444444457</v>
      </c>
      <c r="AH386" s="14">
        <v>59.901019388888891</v>
      </c>
      <c r="AI386" s="15">
        <v>72.010059283919446</v>
      </c>
      <c r="AJ386" s="14">
        <v>57.798579397611121</v>
      </c>
      <c r="AK386" s="14">
        <v>57.798579397611121</v>
      </c>
      <c r="AL386" s="14">
        <v>57.798579397611121</v>
      </c>
      <c r="AM386" s="14">
        <v>57.798579397611121</v>
      </c>
      <c r="AN386" s="14">
        <v>57.798579397611121</v>
      </c>
      <c r="AO386" s="14">
        <v>57.798579397611121</v>
      </c>
      <c r="AP386" s="14">
        <v>57.798579397611121</v>
      </c>
      <c r="AQ386" s="14">
        <v>57.798579397611121</v>
      </c>
      <c r="AR386" s="14">
        <v>59.901019388888891</v>
      </c>
      <c r="AS386" s="14">
        <v>72.010059283919446</v>
      </c>
    </row>
    <row r="387" spans="1:45" x14ac:dyDescent="0.35">
      <c r="A387" s="16">
        <v>11494.483488000031</v>
      </c>
      <c r="B387" s="14">
        <v>4.0588688277777782</v>
      </c>
      <c r="C387" s="14">
        <v>4.0361418277777776</v>
      </c>
      <c r="D387" s="14">
        <v>4.0605908277777774</v>
      </c>
      <c r="E387" s="14">
        <v>4.1047738277777768</v>
      </c>
      <c r="F387" s="14">
        <v>4.1877588277777793</v>
      </c>
      <c r="G387" s="14">
        <v>4.3229138277777794</v>
      </c>
      <c r="H387" s="14">
        <v>4.505542822222222</v>
      </c>
      <c r="I387" s="14">
        <v>4.6442048222222239</v>
      </c>
      <c r="J387" s="14">
        <v>5.0201468222222205</v>
      </c>
      <c r="K387" s="14">
        <v>7.2616228000000014</v>
      </c>
      <c r="L387" s="14">
        <v>20.077559699999995</v>
      </c>
      <c r="M387" s="14">
        <v>40.271879555555557</v>
      </c>
      <c r="N387" s="14">
        <v>50.79432944444445</v>
      </c>
      <c r="O387" s="14">
        <v>52.021379444444442</v>
      </c>
      <c r="P387" s="14">
        <v>53.981209444444445</v>
      </c>
      <c r="Q387" s="14">
        <v>59.848029388888889</v>
      </c>
      <c r="R387" s="15">
        <v>71.955149284358342</v>
      </c>
      <c r="S387" s="14">
        <v>47.002509483979445</v>
      </c>
      <c r="T387" s="14">
        <v>47.002509483979445</v>
      </c>
      <c r="U387" s="14">
        <v>47.002509483979445</v>
      </c>
      <c r="V387" s="14">
        <v>47.002509483979445</v>
      </c>
      <c r="W387" s="14">
        <v>47.002509483979445</v>
      </c>
      <c r="X387" s="14">
        <v>47.002509483979445</v>
      </c>
      <c r="Y387" s="14">
        <v>47.002509483979445</v>
      </c>
      <c r="Z387" s="14">
        <v>47.002509483979445</v>
      </c>
      <c r="AA387" s="14">
        <v>47.002509483979445</v>
      </c>
      <c r="AB387" s="14">
        <v>47.002509483979445</v>
      </c>
      <c r="AC387" s="14">
        <v>47.002509483979445</v>
      </c>
      <c r="AD387" s="14">
        <v>47.002509483979445</v>
      </c>
      <c r="AE387" s="14">
        <v>50.79432944444445</v>
      </c>
      <c r="AF387" s="14">
        <v>52.021379444444442</v>
      </c>
      <c r="AG387" s="14">
        <v>53.981209444444445</v>
      </c>
      <c r="AH387" s="14">
        <v>59.848029388888889</v>
      </c>
      <c r="AI387" s="15">
        <v>71.955149284358342</v>
      </c>
      <c r="AJ387" s="14">
        <v>57.757699397938346</v>
      </c>
      <c r="AK387" s="14">
        <v>57.757699397938346</v>
      </c>
      <c r="AL387" s="14">
        <v>57.757699397938346</v>
      </c>
      <c r="AM387" s="14">
        <v>57.757699397938346</v>
      </c>
      <c r="AN387" s="14">
        <v>57.757699397938346</v>
      </c>
      <c r="AO387" s="14">
        <v>57.757699397938346</v>
      </c>
      <c r="AP387" s="14">
        <v>57.757699397938346</v>
      </c>
      <c r="AQ387" s="14">
        <v>57.757699397938346</v>
      </c>
      <c r="AR387" s="14">
        <v>59.848029388888889</v>
      </c>
      <c r="AS387" s="14">
        <v>71.955149284358342</v>
      </c>
    </row>
    <row r="388" spans="1:45" x14ac:dyDescent="0.35">
      <c r="A388" s="16">
        <v>11532.583488000031</v>
      </c>
      <c r="B388" s="14">
        <v>4.0572548277777782</v>
      </c>
      <c r="C388" s="14">
        <v>4.0357098277777776</v>
      </c>
      <c r="D388" s="14">
        <v>4.0598448277777761</v>
      </c>
      <c r="E388" s="14">
        <v>4.1038028277777787</v>
      </c>
      <c r="F388" s="14">
        <v>4.1867218277777791</v>
      </c>
      <c r="G388" s="14">
        <v>4.3222718277777776</v>
      </c>
      <c r="H388" s="14">
        <v>4.5055868222222237</v>
      </c>
      <c r="I388" s="14">
        <v>4.644038822222222</v>
      </c>
      <c r="J388" s="14">
        <v>5.0136178222222227</v>
      </c>
      <c r="K388" s="14">
        <v>7.1816167999999987</v>
      </c>
      <c r="L388" s="14">
        <v>19.741509699999998</v>
      </c>
      <c r="M388" s="14">
        <v>39.921369555555557</v>
      </c>
      <c r="N388" s="14">
        <v>50.689559444444448</v>
      </c>
      <c r="O388" s="14">
        <v>51.943179444444439</v>
      </c>
      <c r="P388" s="14">
        <v>53.910329444444443</v>
      </c>
      <c r="Q388" s="14">
        <v>59.795669388888896</v>
      </c>
      <c r="R388" s="15">
        <v>71.900969284791671</v>
      </c>
      <c r="S388" s="14">
        <v>46.958149484334442</v>
      </c>
      <c r="T388" s="14">
        <v>46.958149484334442</v>
      </c>
      <c r="U388" s="14">
        <v>46.958149484334442</v>
      </c>
      <c r="V388" s="14">
        <v>46.958149484334442</v>
      </c>
      <c r="W388" s="14">
        <v>46.958149484334442</v>
      </c>
      <c r="X388" s="14">
        <v>46.958149484334442</v>
      </c>
      <c r="Y388" s="14">
        <v>46.958149484334442</v>
      </c>
      <c r="Z388" s="14">
        <v>46.958149484334442</v>
      </c>
      <c r="AA388" s="14">
        <v>46.958149484334442</v>
      </c>
      <c r="AB388" s="14">
        <v>46.958149484334442</v>
      </c>
      <c r="AC388" s="14">
        <v>46.958149484334442</v>
      </c>
      <c r="AD388" s="14">
        <v>46.958149484334442</v>
      </c>
      <c r="AE388" s="14">
        <v>50.689559444444448</v>
      </c>
      <c r="AF388" s="14">
        <v>51.943179444444439</v>
      </c>
      <c r="AG388" s="14">
        <v>53.910329444444443</v>
      </c>
      <c r="AH388" s="14">
        <v>59.795669388888896</v>
      </c>
      <c r="AI388" s="15">
        <v>71.900969284791671</v>
      </c>
      <c r="AJ388" s="14">
        <v>57.710109398318892</v>
      </c>
      <c r="AK388" s="14">
        <v>57.710109398318892</v>
      </c>
      <c r="AL388" s="14">
        <v>57.710109398318892</v>
      </c>
      <c r="AM388" s="14">
        <v>57.710109398318892</v>
      </c>
      <c r="AN388" s="14">
        <v>57.710109398318892</v>
      </c>
      <c r="AO388" s="14">
        <v>57.710109398318892</v>
      </c>
      <c r="AP388" s="14">
        <v>57.710109398318892</v>
      </c>
      <c r="AQ388" s="14">
        <v>57.710109398318892</v>
      </c>
      <c r="AR388" s="14">
        <v>59.795669388888896</v>
      </c>
      <c r="AS388" s="14">
        <v>71.900969284791671</v>
      </c>
    </row>
    <row r="389" spans="1:45" x14ac:dyDescent="0.35">
      <c r="A389" s="16">
        <v>11570.683488000032</v>
      </c>
      <c r="B389" s="14">
        <v>4.0576988277777799</v>
      </c>
      <c r="C389" s="14">
        <v>4.0357588277777783</v>
      </c>
      <c r="D389" s="14">
        <v>4.0595698277777794</v>
      </c>
      <c r="E389" s="14">
        <v>4.103287827777776</v>
      </c>
      <c r="F389" s="14">
        <v>4.1861258277777775</v>
      </c>
      <c r="G389" s="14">
        <v>4.3220298277777793</v>
      </c>
      <c r="H389" s="14">
        <v>4.5060468222222223</v>
      </c>
      <c r="I389" s="14">
        <v>4.6443288222222243</v>
      </c>
      <c r="J389" s="14">
        <v>5.0078688222222212</v>
      </c>
      <c r="K389" s="14">
        <v>7.1047628055555538</v>
      </c>
      <c r="L389" s="14">
        <v>19.411409705555553</v>
      </c>
      <c r="M389" s="14">
        <v>39.569209555555553</v>
      </c>
      <c r="N389" s="14">
        <v>50.583979444444445</v>
      </c>
      <c r="O389" s="14">
        <v>51.864969444444441</v>
      </c>
      <c r="P389" s="14">
        <v>53.839989444444441</v>
      </c>
      <c r="Q389" s="14">
        <v>59.743919388888884</v>
      </c>
      <c r="R389" s="15">
        <v>71.847509285219445</v>
      </c>
      <c r="S389" s="14">
        <v>46.937349484501105</v>
      </c>
      <c r="T389" s="14">
        <v>46.937349484501105</v>
      </c>
      <c r="U389" s="14">
        <v>46.937349484501105</v>
      </c>
      <c r="V389" s="14">
        <v>46.937349484501105</v>
      </c>
      <c r="W389" s="14">
        <v>46.937349484501105</v>
      </c>
      <c r="X389" s="14">
        <v>46.937349484501105</v>
      </c>
      <c r="Y389" s="14">
        <v>46.937349484501105</v>
      </c>
      <c r="Z389" s="14">
        <v>46.937349484501105</v>
      </c>
      <c r="AA389" s="14">
        <v>46.937349484501105</v>
      </c>
      <c r="AB389" s="14">
        <v>46.937349484501105</v>
      </c>
      <c r="AC389" s="14">
        <v>46.937349484501105</v>
      </c>
      <c r="AD389" s="14">
        <v>46.937349484501105</v>
      </c>
      <c r="AE389" s="14">
        <v>50.583979444444445</v>
      </c>
      <c r="AF389" s="14">
        <v>51.864969444444441</v>
      </c>
      <c r="AG389" s="14">
        <v>53.839989444444441</v>
      </c>
      <c r="AH389" s="14">
        <v>59.743919388888884</v>
      </c>
      <c r="AI389" s="15">
        <v>71.847509285219445</v>
      </c>
      <c r="AJ389" s="14">
        <v>57.679819398561108</v>
      </c>
      <c r="AK389" s="14">
        <v>57.679819398561108</v>
      </c>
      <c r="AL389" s="14">
        <v>57.679819398561108</v>
      </c>
      <c r="AM389" s="14">
        <v>57.679819398561108</v>
      </c>
      <c r="AN389" s="14">
        <v>57.679819398561108</v>
      </c>
      <c r="AO389" s="14">
        <v>57.679819398561108</v>
      </c>
      <c r="AP389" s="14">
        <v>57.679819398561108</v>
      </c>
      <c r="AQ389" s="14">
        <v>57.679819398561108</v>
      </c>
      <c r="AR389" s="14">
        <v>59.743919388888884</v>
      </c>
      <c r="AS389" s="14">
        <v>71.847509285219445</v>
      </c>
    </row>
    <row r="390" spans="1:45" x14ac:dyDescent="0.35">
      <c r="A390" s="16">
        <v>11604.74488800003</v>
      </c>
      <c r="B390" s="14">
        <v>4.0554138277777776</v>
      </c>
      <c r="C390" s="14">
        <v>4.0354528277777781</v>
      </c>
      <c r="D390" s="14">
        <v>4.0590748277777777</v>
      </c>
      <c r="E390" s="14">
        <v>4.1027378277777791</v>
      </c>
      <c r="F390" s="14">
        <v>4.1856568277777759</v>
      </c>
      <c r="G390" s="14">
        <v>4.322013827777778</v>
      </c>
      <c r="H390" s="14">
        <v>4.506801822222223</v>
      </c>
      <c r="I390" s="14">
        <v>4.6449348222222238</v>
      </c>
      <c r="J390" s="14">
        <v>5.0041168222222234</v>
      </c>
      <c r="K390" s="14">
        <v>7.046356805555555</v>
      </c>
      <c r="L390" s="14">
        <v>19.155099705555561</v>
      </c>
      <c r="M390" s="14">
        <v>39.290639555555558</v>
      </c>
      <c r="N390" s="14">
        <v>50.500079444444445</v>
      </c>
      <c r="O390" s="14">
        <v>51.803299444444448</v>
      </c>
      <c r="P390" s="14">
        <v>53.784679444444436</v>
      </c>
      <c r="Q390" s="14">
        <v>59.703249388888885</v>
      </c>
      <c r="R390" s="15">
        <v>71.805459285556097</v>
      </c>
      <c r="S390" s="14">
        <v>46.895569484835001</v>
      </c>
      <c r="T390" s="14">
        <v>46.895569484835001</v>
      </c>
      <c r="U390" s="14">
        <v>46.895569484835001</v>
      </c>
      <c r="V390" s="14">
        <v>46.895569484835001</v>
      </c>
      <c r="W390" s="14">
        <v>46.895569484835001</v>
      </c>
      <c r="X390" s="14">
        <v>46.895569484835001</v>
      </c>
      <c r="Y390" s="14">
        <v>46.895569484835001</v>
      </c>
      <c r="Z390" s="14">
        <v>46.895569484835001</v>
      </c>
      <c r="AA390" s="14">
        <v>46.895569484835001</v>
      </c>
      <c r="AB390" s="14">
        <v>46.895569484835001</v>
      </c>
      <c r="AC390" s="14">
        <v>46.895569484835001</v>
      </c>
      <c r="AD390" s="14">
        <v>46.895569484835001</v>
      </c>
      <c r="AE390" s="14">
        <v>50.500079444444445</v>
      </c>
      <c r="AF390" s="14">
        <v>51.803299444444448</v>
      </c>
      <c r="AG390" s="14">
        <v>53.784679444444436</v>
      </c>
      <c r="AH390" s="14">
        <v>59.703249388888885</v>
      </c>
      <c r="AI390" s="15">
        <v>71.805459285556097</v>
      </c>
      <c r="AJ390" s="14">
        <v>57.634529398923327</v>
      </c>
      <c r="AK390" s="14">
        <v>57.634529398923327</v>
      </c>
      <c r="AL390" s="14">
        <v>57.634529398923327</v>
      </c>
      <c r="AM390" s="14">
        <v>57.634529398923327</v>
      </c>
      <c r="AN390" s="14">
        <v>57.634529398923327</v>
      </c>
      <c r="AO390" s="14">
        <v>57.634529398923327</v>
      </c>
      <c r="AP390" s="14">
        <v>57.634529398923327</v>
      </c>
      <c r="AQ390" s="14">
        <v>57.634529398923327</v>
      </c>
      <c r="AR390" s="14">
        <v>59.703249388888885</v>
      </c>
      <c r="AS390" s="14">
        <v>71.805459285556097</v>
      </c>
    </row>
    <row r="391" spans="1:45" x14ac:dyDescent="0.35">
      <c r="A391" s="16">
        <v>11634.767688000031</v>
      </c>
      <c r="B391" s="14">
        <v>4.0551648277777765</v>
      </c>
      <c r="C391" s="14">
        <v>4.0346578277777763</v>
      </c>
      <c r="D391" s="14">
        <v>4.058079827777779</v>
      </c>
      <c r="E391" s="14">
        <v>4.1015788277777787</v>
      </c>
      <c r="F391" s="14">
        <v>4.1844248277777787</v>
      </c>
      <c r="G391" s="14">
        <v>4.3210578277777776</v>
      </c>
      <c r="H391" s="14">
        <v>4.506394822222223</v>
      </c>
      <c r="I391" s="14">
        <v>4.6444168222222224</v>
      </c>
      <c r="J391" s="14">
        <v>4.9992448222222228</v>
      </c>
      <c r="K391" s="14">
        <v>6.9883028055555565</v>
      </c>
      <c r="L391" s="14">
        <v>18.90094971111111</v>
      </c>
      <c r="M391" s="14">
        <v>39.009659555555558</v>
      </c>
      <c r="N391" s="14">
        <v>50.414179444444443</v>
      </c>
      <c r="O391" s="14">
        <v>51.740339444444444</v>
      </c>
      <c r="P391" s="14">
        <v>53.728219444444434</v>
      </c>
      <c r="Q391" s="14">
        <v>59.661509388888895</v>
      </c>
      <c r="R391" s="15">
        <v>71.762369285900547</v>
      </c>
      <c r="S391" s="14">
        <v>46.854419485164449</v>
      </c>
      <c r="T391" s="14">
        <v>46.854419485164449</v>
      </c>
      <c r="U391" s="14">
        <v>46.854419485164449</v>
      </c>
      <c r="V391" s="14">
        <v>46.854419485164449</v>
      </c>
      <c r="W391" s="14">
        <v>46.854419485164449</v>
      </c>
      <c r="X391" s="14">
        <v>46.854419485164449</v>
      </c>
      <c r="Y391" s="14">
        <v>46.854419485164449</v>
      </c>
      <c r="Z391" s="14">
        <v>46.854419485164449</v>
      </c>
      <c r="AA391" s="14">
        <v>46.854419485164449</v>
      </c>
      <c r="AB391" s="14">
        <v>46.854419485164449</v>
      </c>
      <c r="AC391" s="14">
        <v>46.854419485164449</v>
      </c>
      <c r="AD391" s="14">
        <v>46.854419485164449</v>
      </c>
      <c r="AE391" s="14">
        <v>50.414179444444443</v>
      </c>
      <c r="AF391" s="14">
        <v>51.740339444444444</v>
      </c>
      <c r="AG391" s="14">
        <v>53.728219444444434</v>
      </c>
      <c r="AH391" s="14">
        <v>59.661509388888895</v>
      </c>
      <c r="AI391" s="15">
        <v>71.762369285900547</v>
      </c>
      <c r="AJ391" s="14">
        <v>57.589939399279992</v>
      </c>
      <c r="AK391" s="14">
        <v>57.589939399279992</v>
      </c>
      <c r="AL391" s="14">
        <v>57.589939399279992</v>
      </c>
      <c r="AM391" s="14">
        <v>57.589939399279992</v>
      </c>
      <c r="AN391" s="14">
        <v>57.589939399279992</v>
      </c>
      <c r="AO391" s="14">
        <v>57.589939399279992</v>
      </c>
      <c r="AP391" s="14">
        <v>57.589939399279992</v>
      </c>
      <c r="AQ391" s="14">
        <v>57.589939399279992</v>
      </c>
      <c r="AR391" s="14">
        <v>59.661509388888895</v>
      </c>
      <c r="AS391" s="14">
        <v>71.762369285900547</v>
      </c>
    </row>
    <row r="392" spans="1:45" x14ac:dyDescent="0.35">
      <c r="A392" s="16">
        <v>11668.829088000031</v>
      </c>
      <c r="B392" s="14">
        <v>4.0551578277777782</v>
      </c>
      <c r="C392" s="14">
        <v>4.0336358277777782</v>
      </c>
      <c r="D392" s="14">
        <v>4.0567778277777773</v>
      </c>
      <c r="E392" s="14">
        <v>4.0999418277777782</v>
      </c>
      <c r="F392" s="14">
        <v>4.1825338277777782</v>
      </c>
      <c r="G392" s="14">
        <v>4.3193058277777787</v>
      </c>
      <c r="H392" s="14">
        <v>4.5051298222222238</v>
      </c>
      <c r="I392" s="14">
        <v>4.6430778222222218</v>
      </c>
      <c r="J392" s="14">
        <v>4.9924688222222242</v>
      </c>
      <c r="K392" s="14">
        <v>6.9163128055555569</v>
      </c>
      <c r="L392" s="14">
        <v>18.583019711111113</v>
      </c>
      <c r="M392" s="14">
        <v>38.650449555555554</v>
      </c>
      <c r="N392" s="14">
        <v>50.303119444444441</v>
      </c>
      <c r="O392" s="14">
        <v>51.659549444444444</v>
      </c>
      <c r="P392" s="14">
        <v>53.655969444444445</v>
      </c>
      <c r="Q392" s="14">
        <v>59.608039388888884</v>
      </c>
      <c r="R392" s="15">
        <v>71.707269286341671</v>
      </c>
      <c r="S392" s="14">
        <v>46.825199485398336</v>
      </c>
      <c r="T392" s="14">
        <v>46.825199485398336</v>
      </c>
      <c r="U392" s="14">
        <v>46.825199485398336</v>
      </c>
      <c r="V392" s="14">
        <v>46.825199485398336</v>
      </c>
      <c r="W392" s="14">
        <v>46.825199485398336</v>
      </c>
      <c r="X392" s="14">
        <v>46.825199485398336</v>
      </c>
      <c r="Y392" s="14">
        <v>46.825199485398336</v>
      </c>
      <c r="Z392" s="14">
        <v>46.825199485398336</v>
      </c>
      <c r="AA392" s="14">
        <v>46.825199485398336</v>
      </c>
      <c r="AB392" s="14">
        <v>46.825199485398336</v>
      </c>
      <c r="AC392" s="14">
        <v>46.825199485398336</v>
      </c>
      <c r="AD392" s="14">
        <v>46.825199485398336</v>
      </c>
      <c r="AE392" s="14">
        <v>50.303119444444441</v>
      </c>
      <c r="AF392" s="14">
        <v>51.659549444444444</v>
      </c>
      <c r="AG392" s="14">
        <v>53.655969444444445</v>
      </c>
      <c r="AH392" s="14">
        <v>59.608039388888884</v>
      </c>
      <c r="AI392" s="15">
        <v>71.707269286341671</v>
      </c>
      <c r="AJ392" s="14">
        <v>57.552019399583337</v>
      </c>
      <c r="AK392" s="14">
        <v>57.552019399583337</v>
      </c>
      <c r="AL392" s="14">
        <v>57.552019399583337</v>
      </c>
      <c r="AM392" s="14">
        <v>57.552019399583337</v>
      </c>
      <c r="AN392" s="14">
        <v>57.552019399583337</v>
      </c>
      <c r="AO392" s="14">
        <v>57.552019399583337</v>
      </c>
      <c r="AP392" s="14">
        <v>57.552019399583337</v>
      </c>
      <c r="AQ392" s="14">
        <v>57.552019399583337</v>
      </c>
      <c r="AR392" s="14">
        <v>59.608039388888884</v>
      </c>
      <c r="AS392" s="14">
        <v>71.707269286341671</v>
      </c>
    </row>
    <row r="393" spans="1:45" x14ac:dyDescent="0.35">
      <c r="A393" s="16">
        <v>11706.929088000032</v>
      </c>
      <c r="B393" s="14">
        <v>4.0551808277777788</v>
      </c>
      <c r="C393" s="14">
        <v>4.0326788277777776</v>
      </c>
      <c r="D393" s="14">
        <v>4.0555208277777766</v>
      </c>
      <c r="E393" s="14">
        <v>4.0984158277777798</v>
      </c>
      <c r="F393" s="14">
        <v>4.1808778277777767</v>
      </c>
      <c r="G393" s="14">
        <v>4.3179578277777768</v>
      </c>
      <c r="H393" s="14">
        <v>4.5044858222222217</v>
      </c>
      <c r="I393" s="14">
        <v>4.6423538222222209</v>
      </c>
      <c r="J393" s="14">
        <v>4.9867758222222216</v>
      </c>
      <c r="K393" s="14">
        <v>6.847495805555555</v>
      </c>
      <c r="L393" s="14">
        <v>18.271039711111111</v>
      </c>
      <c r="M393" s="14">
        <v>38.289359555555556</v>
      </c>
      <c r="N393" s="14">
        <v>50.191009444444447</v>
      </c>
      <c r="O393" s="14">
        <v>51.578879444444446</v>
      </c>
      <c r="P393" s="14">
        <v>53.58411944444444</v>
      </c>
      <c r="Q393" s="14">
        <v>59.554989388888899</v>
      </c>
      <c r="R393" s="15">
        <v>71.65259928677888</v>
      </c>
      <c r="S393" s="14">
        <v>46.79051948567556</v>
      </c>
      <c r="T393" s="14">
        <v>46.79051948567556</v>
      </c>
      <c r="U393" s="14">
        <v>46.79051948567556</v>
      </c>
      <c r="V393" s="14">
        <v>46.79051948567556</v>
      </c>
      <c r="W393" s="14">
        <v>46.79051948567556</v>
      </c>
      <c r="X393" s="14">
        <v>46.79051948567556</v>
      </c>
      <c r="Y393" s="14">
        <v>46.79051948567556</v>
      </c>
      <c r="Z393" s="14">
        <v>46.79051948567556</v>
      </c>
      <c r="AA393" s="14">
        <v>46.79051948567556</v>
      </c>
      <c r="AB393" s="14">
        <v>46.79051948567556</v>
      </c>
      <c r="AC393" s="14">
        <v>46.79051948567556</v>
      </c>
      <c r="AD393" s="14">
        <v>46.79051948567556</v>
      </c>
      <c r="AE393" s="14">
        <v>50.191009444444447</v>
      </c>
      <c r="AF393" s="14">
        <v>51.578879444444446</v>
      </c>
      <c r="AG393" s="14">
        <v>53.58411944444444</v>
      </c>
      <c r="AH393" s="14">
        <v>59.554989388888899</v>
      </c>
      <c r="AI393" s="15">
        <v>71.65259928677888</v>
      </c>
      <c r="AJ393" s="14">
        <v>57.508379399932778</v>
      </c>
      <c r="AK393" s="14">
        <v>57.508379399932778</v>
      </c>
      <c r="AL393" s="14">
        <v>57.508379399932778</v>
      </c>
      <c r="AM393" s="14">
        <v>57.508379399932778</v>
      </c>
      <c r="AN393" s="14">
        <v>57.508379399932778</v>
      </c>
      <c r="AO393" s="14">
        <v>57.508379399932778</v>
      </c>
      <c r="AP393" s="14">
        <v>57.508379399932778</v>
      </c>
      <c r="AQ393" s="14">
        <v>57.508379399932778</v>
      </c>
      <c r="AR393" s="14">
        <v>59.554989388888899</v>
      </c>
      <c r="AS393" s="14">
        <v>71.65259928677888</v>
      </c>
    </row>
    <row r="394" spans="1:45" x14ac:dyDescent="0.35">
      <c r="A394" s="16">
        <v>11745.02908800003</v>
      </c>
      <c r="B394" s="14">
        <v>4.0544848277777765</v>
      </c>
      <c r="C394" s="14">
        <v>4.032356827777777</v>
      </c>
      <c r="D394" s="14">
        <v>4.0549308277777776</v>
      </c>
      <c r="E394" s="14">
        <v>4.0975678277777776</v>
      </c>
      <c r="F394" s="14">
        <v>4.1798898277777772</v>
      </c>
      <c r="G394" s="14">
        <v>4.3172568277777792</v>
      </c>
      <c r="H394" s="14">
        <v>4.5044768222222231</v>
      </c>
      <c r="I394" s="14">
        <v>4.6423078222222243</v>
      </c>
      <c r="J394" s="14">
        <v>4.9820098222222207</v>
      </c>
      <c r="K394" s="14">
        <v>6.7817048055555533</v>
      </c>
      <c r="L394" s="14">
        <v>17.964819716666668</v>
      </c>
      <c r="M394" s="14">
        <v>37.926189555555553</v>
      </c>
      <c r="N394" s="14">
        <v>50.078169444444448</v>
      </c>
      <c r="O394" s="14">
        <v>51.498709444444444</v>
      </c>
      <c r="P394" s="14">
        <v>53.51306944444444</v>
      </c>
      <c r="Q394" s="14">
        <v>59.50284938888889</v>
      </c>
      <c r="R394" s="15">
        <v>71.598919287208318</v>
      </c>
      <c r="S394" s="14">
        <v>46.758189485934444</v>
      </c>
      <c r="T394" s="14">
        <v>46.758189485934444</v>
      </c>
      <c r="U394" s="14">
        <v>46.758189485934444</v>
      </c>
      <c r="V394" s="14">
        <v>46.758189485934444</v>
      </c>
      <c r="W394" s="14">
        <v>46.758189485934444</v>
      </c>
      <c r="X394" s="14">
        <v>46.758189485934444</v>
      </c>
      <c r="Y394" s="14">
        <v>46.758189485934444</v>
      </c>
      <c r="Z394" s="14">
        <v>46.758189485934444</v>
      </c>
      <c r="AA394" s="14">
        <v>46.758189485934444</v>
      </c>
      <c r="AB394" s="14">
        <v>46.758189485934444</v>
      </c>
      <c r="AC394" s="14">
        <v>46.758189485934444</v>
      </c>
      <c r="AD394" s="14">
        <v>46.758189485934444</v>
      </c>
      <c r="AE394" s="14">
        <v>50.078169444444448</v>
      </c>
      <c r="AF394" s="14">
        <v>51.498709444444444</v>
      </c>
      <c r="AG394" s="14">
        <v>53.51306944444444</v>
      </c>
      <c r="AH394" s="14">
        <v>59.50284938888889</v>
      </c>
      <c r="AI394" s="15">
        <v>71.598919287208318</v>
      </c>
      <c r="AJ394" s="14">
        <v>57.466929400264434</v>
      </c>
      <c r="AK394" s="14">
        <v>57.466929400264434</v>
      </c>
      <c r="AL394" s="14">
        <v>57.466929400264434</v>
      </c>
      <c r="AM394" s="14">
        <v>57.466929400264434</v>
      </c>
      <c r="AN394" s="14">
        <v>57.466929400264434</v>
      </c>
      <c r="AO394" s="14">
        <v>57.466929400264434</v>
      </c>
      <c r="AP394" s="14">
        <v>57.466929400264434</v>
      </c>
      <c r="AQ394" s="14">
        <v>57.466929400264434</v>
      </c>
      <c r="AR394" s="14">
        <v>59.50284938888889</v>
      </c>
      <c r="AS394" s="14">
        <v>71.598919287208318</v>
      </c>
    </row>
    <row r="395" spans="1:45" x14ac:dyDescent="0.35">
      <c r="A395" s="16">
        <v>11783.129088000031</v>
      </c>
      <c r="B395" s="14">
        <v>4.0531658277777778</v>
      </c>
      <c r="C395" s="14">
        <v>4.0325698277777793</v>
      </c>
      <c r="D395" s="14">
        <v>4.0549568277777777</v>
      </c>
      <c r="E395" s="14">
        <v>4.0973848277777787</v>
      </c>
      <c r="F395" s="14">
        <v>4.1795658277777763</v>
      </c>
      <c r="G395" s="14">
        <v>4.3171758277777768</v>
      </c>
      <c r="H395" s="14">
        <v>4.505223822222221</v>
      </c>
      <c r="I395" s="14">
        <v>4.6429258222222218</v>
      </c>
      <c r="J395" s="14">
        <v>4.9781548222222227</v>
      </c>
      <c r="K395" s="14">
        <v>6.7188708055555564</v>
      </c>
      <c r="L395" s="14">
        <v>17.663309716666664</v>
      </c>
      <c r="M395" s="14">
        <v>37.562429561111109</v>
      </c>
      <c r="N395" s="14">
        <v>49.96455944444444</v>
      </c>
      <c r="O395" s="14">
        <v>51.419029444444448</v>
      </c>
      <c r="P395" s="14">
        <v>53.442839444444445</v>
      </c>
      <c r="Q395" s="14">
        <v>59.451609388888883</v>
      </c>
      <c r="R395" s="15">
        <v>71.546249287629436</v>
      </c>
      <c r="S395" s="14">
        <v>46.729089486167226</v>
      </c>
      <c r="T395" s="14">
        <v>46.729089486167226</v>
      </c>
      <c r="U395" s="14">
        <v>46.729089486167226</v>
      </c>
      <c r="V395" s="14">
        <v>46.729089486167226</v>
      </c>
      <c r="W395" s="14">
        <v>46.729089486167226</v>
      </c>
      <c r="X395" s="14">
        <v>46.729089486167226</v>
      </c>
      <c r="Y395" s="14">
        <v>46.729089486167226</v>
      </c>
      <c r="Z395" s="14">
        <v>46.729089486167226</v>
      </c>
      <c r="AA395" s="14">
        <v>46.729089486167226</v>
      </c>
      <c r="AB395" s="14">
        <v>46.729089486167226</v>
      </c>
      <c r="AC395" s="14">
        <v>46.729089486167226</v>
      </c>
      <c r="AD395" s="14">
        <v>46.729089486167226</v>
      </c>
      <c r="AE395" s="14">
        <v>49.96455944444444</v>
      </c>
      <c r="AF395" s="14">
        <v>51.419029444444448</v>
      </c>
      <c r="AG395" s="14">
        <v>53.442839444444445</v>
      </c>
      <c r="AH395" s="14">
        <v>59.451609388888883</v>
      </c>
      <c r="AI395" s="15">
        <v>71.546249287629436</v>
      </c>
      <c r="AJ395" s="14">
        <v>57.428719400570003</v>
      </c>
      <c r="AK395" s="14">
        <v>57.428719400570003</v>
      </c>
      <c r="AL395" s="14">
        <v>57.428719400570003</v>
      </c>
      <c r="AM395" s="14">
        <v>57.428719400570003</v>
      </c>
      <c r="AN395" s="14">
        <v>57.428719400570003</v>
      </c>
      <c r="AO395" s="14">
        <v>57.428719400570003</v>
      </c>
      <c r="AP395" s="14">
        <v>57.428719400570003</v>
      </c>
      <c r="AQ395" s="14">
        <v>57.428719400570003</v>
      </c>
      <c r="AR395" s="14">
        <v>59.451609388888883</v>
      </c>
      <c r="AS395" s="14">
        <v>71.546249287629436</v>
      </c>
    </row>
    <row r="396" spans="1:45" x14ac:dyDescent="0.35">
      <c r="A396" s="16">
        <v>11821.229088000031</v>
      </c>
      <c r="B396" s="14">
        <v>4.0524458277777793</v>
      </c>
      <c r="C396" s="14">
        <v>4.0322158277777795</v>
      </c>
      <c r="D396" s="14">
        <v>4.0544478277777785</v>
      </c>
      <c r="E396" s="14">
        <v>4.0966878277777772</v>
      </c>
      <c r="F396" s="14">
        <v>4.1787228277777784</v>
      </c>
      <c r="G396" s="14">
        <v>4.3165588277777784</v>
      </c>
      <c r="H396" s="14">
        <v>4.5054128222222225</v>
      </c>
      <c r="I396" s="14">
        <v>4.6430308222222214</v>
      </c>
      <c r="J396" s="14">
        <v>4.9740328222222239</v>
      </c>
      <c r="K396" s="14">
        <v>6.6577488055555554</v>
      </c>
      <c r="L396" s="14">
        <v>17.366699722222222</v>
      </c>
      <c r="M396" s="14">
        <v>37.19678956111111</v>
      </c>
      <c r="N396" s="14">
        <v>49.848629444444441</v>
      </c>
      <c r="O396" s="14">
        <v>51.338309444444441</v>
      </c>
      <c r="P396" s="14">
        <v>53.371899444444452</v>
      </c>
      <c r="Q396" s="14">
        <v>59.399719388888883</v>
      </c>
      <c r="R396" s="15">
        <v>71.492899288056662</v>
      </c>
      <c r="S396" s="14">
        <v>46.702199486382227</v>
      </c>
      <c r="T396" s="14">
        <v>46.702199486382227</v>
      </c>
      <c r="U396" s="14">
        <v>46.702199486382227</v>
      </c>
      <c r="V396" s="14">
        <v>46.702199486382227</v>
      </c>
      <c r="W396" s="14">
        <v>46.702199486382227</v>
      </c>
      <c r="X396" s="14">
        <v>46.702199486382227</v>
      </c>
      <c r="Y396" s="14">
        <v>46.702199486382227</v>
      </c>
      <c r="Z396" s="14">
        <v>46.702199486382227</v>
      </c>
      <c r="AA396" s="14">
        <v>46.702199486382227</v>
      </c>
      <c r="AB396" s="14">
        <v>46.702199486382227</v>
      </c>
      <c r="AC396" s="14">
        <v>46.702199486382227</v>
      </c>
      <c r="AD396" s="14">
        <v>46.702199486382227</v>
      </c>
      <c r="AE396" s="14">
        <v>49.848629444444441</v>
      </c>
      <c r="AF396" s="14">
        <v>51.338309444444441</v>
      </c>
      <c r="AG396" s="14">
        <v>53.371899444444452</v>
      </c>
      <c r="AH396" s="14">
        <v>59.399719388888883</v>
      </c>
      <c r="AI396" s="15">
        <v>71.492899288056662</v>
      </c>
      <c r="AJ396" s="14">
        <v>57.391969400863886</v>
      </c>
      <c r="AK396" s="14">
        <v>57.391969400863886</v>
      </c>
      <c r="AL396" s="14">
        <v>57.391969400863886</v>
      </c>
      <c r="AM396" s="14">
        <v>57.391969400863886</v>
      </c>
      <c r="AN396" s="14">
        <v>57.391969400863886</v>
      </c>
      <c r="AO396" s="14">
        <v>57.391969400863886</v>
      </c>
      <c r="AP396" s="14">
        <v>57.391969400863886</v>
      </c>
      <c r="AQ396" s="14">
        <v>57.391969400863886</v>
      </c>
      <c r="AR396" s="14">
        <v>59.399719388888883</v>
      </c>
      <c r="AS396" s="14">
        <v>71.492899288056662</v>
      </c>
    </row>
    <row r="397" spans="1:45" x14ac:dyDescent="0.35">
      <c r="A397" s="16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5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5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</row>
    <row r="398" spans="1:45" x14ac:dyDescent="0.35">
      <c r="A398" s="16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5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5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</row>
    <row r="399" spans="1:45" x14ac:dyDescent="0.35">
      <c r="A399" s="16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5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5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</row>
    <row r="400" spans="1:45" x14ac:dyDescent="0.35">
      <c r="A400" s="16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5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5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</row>
    <row r="401" spans="1:45" x14ac:dyDescent="0.35">
      <c r="A401" s="16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5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5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</row>
    <row r="402" spans="1:45" x14ac:dyDescent="0.35">
      <c r="A402" s="16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5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5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</row>
    <row r="403" spans="1:45" x14ac:dyDescent="0.35">
      <c r="A403" s="16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5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5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</row>
    <row r="404" spans="1:45" x14ac:dyDescent="0.35">
      <c r="A404" s="16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5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5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</row>
    <row r="405" spans="1:45" x14ac:dyDescent="0.35">
      <c r="A405" s="16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5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5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</row>
    <row r="406" spans="1:45" x14ac:dyDescent="0.35">
      <c r="A406" s="16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5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5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</row>
    <row r="407" spans="1:45" x14ac:dyDescent="0.35">
      <c r="A407" s="16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5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5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</row>
    <row r="408" spans="1:45" x14ac:dyDescent="0.35">
      <c r="A408" s="16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5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5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</row>
    <row r="409" spans="1:45" x14ac:dyDescent="0.35">
      <c r="A409" s="16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5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5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</row>
    <row r="410" spans="1:45" x14ac:dyDescent="0.35">
      <c r="A410" s="16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5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5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</row>
    <row r="411" spans="1:45" x14ac:dyDescent="0.35">
      <c r="A411" s="16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5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5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</row>
    <row r="412" spans="1:45" x14ac:dyDescent="0.35">
      <c r="A412" s="16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5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5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</row>
    <row r="413" spans="1:45" x14ac:dyDescent="0.35">
      <c r="A413" s="16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5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5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</row>
    <row r="414" spans="1:45" x14ac:dyDescent="0.35">
      <c r="A414" s="16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5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5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</row>
    <row r="415" spans="1:45" x14ac:dyDescent="0.35">
      <c r="A415" s="16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5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5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</row>
    <row r="416" spans="1:45" x14ac:dyDescent="0.35">
      <c r="A416" s="16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5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5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</row>
    <row r="417" spans="1:45" x14ac:dyDescent="0.35">
      <c r="A417" s="16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5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5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</row>
    <row r="418" spans="1:45" x14ac:dyDescent="0.35">
      <c r="A418" s="16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5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5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</row>
    <row r="419" spans="1:45" x14ac:dyDescent="0.35">
      <c r="A419" s="16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5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5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</row>
    <row r="420" spans="1:45" x14ac:dyDescent="0.35">
      <c r="A420" s="16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5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5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</row>
    <row r="421" spans="1:45" x14ac:dyDescent="0.35">
      <c r="A421" s="16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5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5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</row>
    <row r="422" spans="1:45" x14ac:dyDescent="0.35">
      <c r="A422" s="16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5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5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</row>
    <row r="423" spans="1:45" x14ac:dyDescent="0.35">
      <c r="A423" s="16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5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5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</row>
    <row r="424" spans="1:45" x14ac:dyDescent="0.35">
      <c r="A424" s="16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5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5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</row>
    <row r="425" spans="1:45" x14ac:dyDescent="0.35">
      <c r="A425" s="16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5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5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</row>
    <row r="426" spans="1:45" x14ac:dyDescent="0.35">
      <c r="A426" s="16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5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5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</row>
    <row r="427" spans="1:45" x14ac:dyDescent="0.35">
      <c r="A427" s="16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5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5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</row>
    <row r="428" spans="1:45" x14ac:dyDescent="0.35">
      <c r="A428" s="16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5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5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</row>
    <row r="429" spans="1:45" x14ac:dyDescent="0.35">
      <c r="A429" s="16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5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5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</row>
    <row r="430" spans="1:45" x14ac:dyDescent="0.35">
      <c r="A430" s="16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5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5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</row>
    <row r="431" spans="1:45" x14ac:dyDescent="0.35">
      <c r="A431" s="16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5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5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</row>
    <row r="432" spans="1:45" x14ac:dyDescent="0.35">
      <c r="A432" s="16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5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5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</row>
    <row r="433" spans="1:45" x14ac:dyDescent="0.35">
      <c r="A433" s="16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5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5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</row>
    <row r="434" spans="1:45" x14ac:dyDescent="0.35">
      <c r="A434" s="16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5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5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</row>
    <row r="435" spans="1:45" x14ac:dyDescent="0.35">
      <c r="A435" s="16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5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5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</row>
    <row r="436" spans="1:45" x14ac:dyDescent="0.35">
      <c r="A436" s="16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5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5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</row>
    <row r="437" spans="1:45" x14ac:dyDescent="0.35">
      <c r="A437" s="16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5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5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</row>
    <row r="438" spans="1:45" x14ac:dyDescent="0.35">
      <c r="A438" s="16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5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5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</row>
    <row r="439" spans="1:45" x14ac:dyDescent="0.35">
      <c r="A439" s="16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5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5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</row>
    <row r="440" spans="1:45" x14ac:dyDescent="0.35">
      <c r="A440" s="16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5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5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</row>
    <row r="441" spans="1:45" x14ac:dyDescent="0.35">
      <c r="A441" s="16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5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5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</row>
    <row r="442" spans="1:45" x14ac:dyDescent="0.35">
      <c r="A442" s="16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5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5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</row>
    <row r="443" spans="1:45" x14ac:dyDescent="0.35">
      <c r="A443" s="16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5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5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</row>
    <row r="444" spans="1:45" x14ac:dyDescent="0.35">
      <c r="A444" s="16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5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5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</row>
    <row r="445" spans="1:45" x14ac:dyDescent="0.35">
      <c r="A445" s="16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5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5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</row>
    <row r="446" spans="1:45" x14ac:dyDescent="0.35">
      <c r="A446" s="16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5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5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</row>
    <row r="447" spans="1:45" x14ac:dyDescent="0.35">
      <c r="A447" s="16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5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5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</row>
    <row r="448" spans="1:45" x14ac:dyDescent="0.35">
      <c r="A448" s="16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5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5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</row>
    <row r="449" spans="1:45" x14ac:dyDescent="0.35">
      <c r="A449" s="16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5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5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</row>
    <row r="450" spans="1:45" x14ac:dyDescent="0.35">
      <c r="A450" s="16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5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5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</row>
    <row r="451" spans="1:45" x14ac:dyDescent="0.35">
      <c r="A451" s="16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5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5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</row>
    <row r="452" spans="1:45" x14ac:dyDescent="0.35">
      <c r="A452" s="16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5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5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</row>
    <row r="453" spans="1:45" x14ac:dyDescent="0.35">
      <c r="A453" s="16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5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5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</row>
    <row r="454" spans="1:45" x14ac:dyDescent="0.35">
      <c r="A454" s="16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5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5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</row>
    <row r="455" spans="1:45" x14ac:dyDescent="0.35">
      <c r="A455" s="16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5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5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</row>
    <row r="456" spans="1:45" x14ac:dyDescent="0.35">
      <c r="A456" s="16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5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5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</row>
    <row r="457" spans="1:45" x14ac:dyDescent="0.35">
      <c r="A457" s="16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5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5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</row>
    <row r="458" spans="1:45" x14ac:dyDescent="0.35">
      <c r="A458" s="16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5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5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</row>
    <row r="459" spans="1:45" x14ac:dyDescent="0.35">
      <c r="A459" s="16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5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5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</row>
    <row r="460" spans="1:45" x14ac:dyDescent="0.35">
      <c r="A460" s="16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5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5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</row>
    <row r="461" spans="1:45" x14ac:dyDescent="0.35">
      <c r="A461" s="16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5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5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</row>
    <row r="462" spans="1:45" x14ac:dyDescent="0.35">
      <c r="A462" s="16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5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5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</row>
    <row r="463" spans="1:45" x14ac:dyDescent="0.35">
      <c r="A463" s="16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5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5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</row>
    <row r="464" spans="1:45" x14ac:dyDescent="0.35">
      <c r="A464" s="16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5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5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</row>
    <row r="465" spans="1:45" x14ac:dyDescent="0.35">
      <c r="A465" s="16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5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5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</row>
    <row r="466" spans="1:45" x14ac:dyDescent="0.35">
      <c r="A466" s="16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5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5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</row>
    <row r="467" spans="1:45" x14ac:dyDescent="0.35">
      <c r="A467" s="16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5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5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</row>
    <row r="468" spans="1:45" x14ac:dyDescent="0.35">
      <c r="A468" s="16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5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5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</row>
    <row r="469" spans="1:45" x14ac:dyDescent="0.35">
      <c r="A469" s="16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5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5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</row>
    <row r="470" spans="1:45" x14ac:dyDescent="0.35">
      <c r="A470" s="16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5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5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</row>
    <row r="471" spans="1:45" x14ac:dyDescent="0.35">
      <c r="A471" s="16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5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5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</row>
    <row r="472" spans="1:45" x14ac:dyDescent="0.35">
      <c r="A472" s="16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5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5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</row>
    <row r="473" spans="1:45" x14ac:dyDescent="0.35">
      <c r="A473" s="16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5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5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</row>
    <row r="474" spans="1:45" x14ac:dyDescent="0.35">
      <c r="A474" s="16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5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5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</row>
    <row r="475" spans="1:45" x14ac:dyDescent="0.35">
      <c r="A475" s="16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5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5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</row>
    <row r="476" spans="1:45" x14ac:dyDescent="0.35">
      <c r="A476" s="16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5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5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</row>
    <row r="477" spans="1:45" x14ac:dyDescent="0.35">
      <c r="A477" s="16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5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5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</row>
    <row r="478" spans="1:45" x14ac:dyDescent="0.35">
      <c r="A478" s="16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5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5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</row>
    <row r="479" spans="1:45" x14ac:dyDescent="0.35">
      <c r="A479" s="16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5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5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</row>
    <row r="480" spans="1:45" x14ac:dyDescent="0.35">
      <c r="A480" s="16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5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5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</row>
    <row r="481" spans="1:45" x14ac:dyDescent="0.35">
      <c r="A481" s="16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5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5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</row>
    <row r="482" spans="1:45" x14ac:dyDescent="0.35">
      <c r="A482" s="16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5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5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</row>
    <row r="483" spans="1:45" x14ac:dyDescent="0.35">
      <c r="A483" s="16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5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5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</row>
    <row r="484" spans="1:45" x14ac:dyDescent="0.35">
      <c r="A484" s="16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5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5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</row>
    <row r="485" spans="1:45" x14ac:dyDescent="0.35">
      <c r="A485" s="16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5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5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</row>
    <row r="486" spans="1:45" x14ac:dyDescent="0.35">
      <c r="A486" s="16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5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5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</row>
    <row r="487" spans="1:45" x14ac:dyDescent="0.35">
      <c r="A487" s="16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5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5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</row>
    <row r="488" spans="1:45" x14ac:dyDescent="0.35">
      <c r="A488" s="16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5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5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</row>
    <row r="489" spans="1:45" x14ac:dyDescent="0.35">
      <c r="A489" s="16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5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5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</row>
    <row r="490" spans="1:45" x14ac:dyDescent="0.35">
      <c r="A490" s="16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5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5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</row>
    <row r="491" spans="1:45" x14ac:dyDescent="0.35">
      <c r="A491" s="16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5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5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</row>
    <row r="492" spans="1:45" x14ac:dyDescent="0.35">
      <c r="A492" s="16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5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5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</row>
    <row r="493" spans="1:45" x14ac:dyDescent="0.35">
      <c r="A493" s="16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5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5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</row>
    <row r="494" spans="1:45" x14ac:dyDescent="0.35">
      <c r="A494" s="16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5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5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</row>
    <row r="495" spans="1:45" x14ac:dyDescent="0.35">
      <c r="A495" s="16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5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5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</row>
    <row r="496" spans="1:45" x14ac:dyDescent="0.35">
      <c r="A496" s="16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5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5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</row>
    <row r="497" spans="1:45" x14ac:dyDescent="0.35">
      <c r="A497" s="16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5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5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</row>
    <row r="498" spans="1:45" x14ac:dyDescent="0.35">
      <c r="A498" s="16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5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5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</row>
    <row r="499" spans="1:45" x14ac:dyDescent="0.35">
      <c r="A499" s="16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5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5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</row>
    <row r="500" spans="1:45" x14ac:dyDescent="0.35">
      <c r="A500" s="16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5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5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</row>
    <row r="501" spans="1:45" x14ac:dyDescent="0.35">
      <c r="A501" s="16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5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5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</row>
    <row r="502" spans="1:45" x14ac:dyDescent="0.35">
      <c r="A502" s="16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5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5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</row>
    <row r="503" spans="1:45" x14ac:dyDescent="0.35">
      <c r="A503" s="16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5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5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</row>
    <row r="504" spans="1:45" x14ac:dyDescent="0.35">
      <c r="A504" s="16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5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5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</row>
    <row r="505" spans="1:45" x14ac:dyDescent="0.35">
      <c r="A505" s="16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5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5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</row>
    <row r="506" spans="1:45" x14ac:dyDescent="0.35">
      <c r="A506" s="16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5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5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</row>
    <row r="507" spans="1:45" x14ac:dyDescent="0.35">
      <c r="A507" s="16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5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5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</row>
    <row r="508" spans="1:45" x14ac:dyDescent="0.35">
      <c r="A508" s="16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5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5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</row>
    <row r="509" spans="1:45" x14ac:dyDescent="0.35">
      <c r="A509" s="16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5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5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</row>
    <row r="510" spans="1:45" x14ac:dyDescent="0.35">
      <c r="A510" s="16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5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5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</row>
    <row r="511" spans="1:45" x14ac:dyDescent="0.35">
      <c r="A511" s="16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5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5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</row>
    <row r="512" spans="1:45" x14ac:dyDescent="0.35">
      <c r="A512" s="16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5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5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</row>
    <row r="513" spans="1:45" x14ac:dyDescent="0.35">
      <c r="A513" s="16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5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5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</row>
    <row r="514" spans="1:45" x14ac:dyDescent="0.35">
      <c r="A514" s="16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5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5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</row>
    <row r="515" spans="1:45" x14ac:dyDescent="0.35">
      <c r="A515" s="16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5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5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</row>
    <row r="516" spans="1:45" x14ac:dyDescent="0.35">
      <c r="A516" s="16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5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5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</row>
    <row r="517" spans="1:45" x14ac:dyDescent="0.35">
      <c r="A517" s="16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5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5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</row>
    <row r="518" spans="1:45" x14ac:dyDescent="0.35">
      <c r="A518" s="16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5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5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</row>
    <row r="519" spans="1:45" x14ac:dyDescent="0.35">
      <c r="A519" s="16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5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5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</row>
    <row r="520" spans="1:45" x14ac:dyDescent="0.35">
      <c r="A520" s="16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5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5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</row>
    <row r="521" spans="1:45" x14ac:dyDescent="0.35">
      <c r="A521" s="16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5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5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</row>
    <row r="522" spans="1:45" x14ac:dyDescent="0.35">
      <c r="A522" s="16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5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5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</row>
    <row r="523" spans="1:45" x14ac:dyDescent="0.35">
      <c r="A523" s="16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5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5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</row>
    <row r="524" spans="1:45" x14ac:dyDescent="0.35">
      <c r="A524" s="16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5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5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</row>
    <row r="525" spans="1:45" x14ac:dyDescent="0.35">
      <c r="A525" s="16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5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5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</row>
    <row r="526" spans="1:45" x14ac:dyDescent="0.35">
      <c r="A526" s="16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5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5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</row>
    <row r="527" spans="1:45" x14ac:dyDescent="0.35">
      <c r="A527" s="16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5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5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</row>
    <row r="528" spans="1:45" x14ac:dyDescent="0.35">
      <c r="A528" s="16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5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5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</row>
    <row r="529" spans="1:45" x14ac:dyDescent="0.35">
      <c r="A529" s="16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5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5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</row>
    <row r="530" spans="1:45" x14ac:dyDescent="0.35">
      <c r="A530" s="16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5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5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</row>
    <row r="531" spans="1:45" x14ac:dyDescent="0.35">
      <c r="A531" s="16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5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5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</row>
    <row r="532" spans="1:45" x14ac:dyDescent="0.35">
      <c r="A532" s="16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5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5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</row>
    <row r="533" spans="1:45" x14ac:dyDescent="0.35">
      <c r="A533" s="16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5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5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</row>
    <row r="534" spans="1:45" x14ac:dyDescent="0.35">
      <c r="A534" s="16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5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5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</row>
    <row r="535" spans="1:45" x14ac:dyDescent="0.35">
      <c r="A535" s="16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5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5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</row>
    <row r="536" spans="1:45" x14ac:dyDescent="0.35">
      <c r="A536" s="16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5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5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</row>
    <row r="537" spans="1:45" x14ac:dyDescent="0.35">
      <c r="A537" s="16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5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5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</row>
    <row r="538" spans="1:45" x14ac:dyDescent="0.35">
      <c r="A538" s="16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5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5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</row>
    <row r="539" spans="1:45" x14ac:dyDescent="0.35">
      <c r="A539" s="16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5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5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</row>
    <row r="540" spans="1:45" x14ac:dyDescent="0.35">
      <c r="A540" s="16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5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5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</row>
    <row r="541" spans="1:45" x14ac:dyDescent="0.35">
      <c r="A541" s="16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5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5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</row>
    <row r="542" spans="1:45" x14ac:dyDescent="0.35">
      <c r="A542" s="16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5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5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</row>
    <row r="543" spans="1:45" x14ac:dyDescent="0.35">
      <c r="A543" s="16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5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5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</row>
    <row r="544" spans="1:45" x14ac:dyDescent="0.35">
      <c r="A544" s="16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5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5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</row>
    <row r="545" spans="1:45" x14ac:dyDescent="0.35">
      <c r="A545" s="16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5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5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</row>
    <row r="546" spans="1:45" x14ac:dyDescent="0.35">
      <c r="A546" s="16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5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5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</row>
    <row r="547" spans="1:45" x14ac:dyDescent="0.35">
      <c r="A547" s="16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5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5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</row>
    <row r="548" spans="1:45" x14ac:dyDescent="0.35">
      <c r="A548" s="16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5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5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</row>
    <row r="549" spans="1:45" x14ac:dyDescent="0.35">
      <c r="A549" s="16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5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5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</row>
    <row r="550" spans="1:45" x14ac:dyDescent="0.35">
      <c r="A550" s="16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5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5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</row>
    <row r="551" spans="1:45" x14ac:dyDescent="0.35">
      <c r="A551" s="16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5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5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</row>
    <row r="552" spans="1:45" x14ac:dyDescent="0.35">
      <c r="A552" s="16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5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5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</row>
    <row r="553" spans="1:45" x14ac:dyDescent="0.35">
      <c r="A553" s="16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5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5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</row>
    <row r="554" spans="1:45" x14ac:dyDescent="0.35">
      <c r="A554" s="16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5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5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</row>
    <row r="555" spans="1:45" x14ac:dyDescent="0.35">
      <c r="A555" s="16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5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5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</row>
    <row r="556" spans="1:45" x14ac:dyDescent="0.35">
      <c r="A556" s="16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5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5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</row>
    <row r="557" spans="1:45" x14ac:dyDescent="0.35">
      <c r="A557" s="16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5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5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</row>
    <row r="558" spans="1:45" x14ac:dyDescent="0.35">
      <c r="A558" s="16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5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5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</row>
    <row r="559" spans="1:45" x14ac:dyDescent="0.35">
      <c r="A559" s="16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5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5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</row>
    <row r="560" spans="1:45" x14ac:dyDescent="0.35">
      <c r="A560" s="16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5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5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</row>
    <row r="561" spans="1:45" x14ac:dyDescent="0.35">
      <c r="A561" s="16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5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5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</row>
    <row r="562" spans="1:45" x14ac:dyDescent="0.35">
      <c r="A562" s="16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5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5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</row>
    <row r="563" spans="1:45" x14ac:dyDescent="0.35">
      <c r="A563" s="16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5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5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</row>
    <row r="564" spans="1:45" x14ac:dyDescent="0.35">
      <c r="A564" s="16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5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5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</row>
    <row r="565" spans="1:45" x14ac:dyDescent="0.35">
      <c r="A565" s="16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5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5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</row>
    <row r="566" spans="1:45" x14ac:dyDescent="0.35">
      <c r="A566" s="16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5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5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</row>
    <row r="567" spans="1:45" x14ac:dyDescent="0.35">
      <c r="A567" s="16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5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5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</row>
    <row r="568" spans="1:45" x14ac:dyDescent="0.35">
      <c r="A568" s="16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5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5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</row>
    <row r="569" spans="1:45" x14ac:dyDescent="0.35">
      <c r="A569" s="16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5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5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</row>
  </sheetData>
  <mergeCells count="3">
    <mergeCell ref="B1:R1"/>
    <mergeCell ref="S1:AI1"/>
    <mergeCell ref="AJ1:A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223640c91b785319c6562c9855fa883a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6128c691979dc0eb5a6e08bfec12cd10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0CE926EF-54CE-4E76-9263-74D0A35052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6F0178-25C8-4781-BA72-4203F82EF4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0d1ab-9a11-4f16-aad6-91e816d106bd"/>
    <ds:schemaRef ds:uri="106c3a68-2aa9-4ad6-bcc6-97631f62a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0F0F90-1EAC-4089-BB19-F0685B9E9350}">
  <ds:schemaRefs>
    <ds:schemaRef ds:uri="http://schemas.microsoft.com/office/2006/metadata/properties"/>
    <ds:schemaRef ds:uri="http://schemas.microsoft.com/office/infopath/2007/PartnerControls"/>
    <ds:schemaRef ds:uri="7270d1ab-9a11-4f16-aad6-91e816d106bd"/>
    <ds:schemaRef ds:uri="106c3a68-2aa9-4ad6-bcc6-97631f62a4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FL1-4 SS op sheet</vt:lpstr>
      <vt:lpstr>FL1-4 SS pcl sheet</vt:lpstr>
      <vt:lpstr>FL6 data</vt:lpstr>
      <vt:lpstr>Density</vt:lpstr>
      <vt:lpstr>Temperature</vt:lpstr>
      <vt:lpstr>Pressure</vt:lpstr>
      <vt:lpstr>FL6_WD</vt:lpstr>
      <vt:lpstr>PressureTransientEarly</vt:lpstr>
      <vt:lpstr>TemperatureTransientEarly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 Bufkin</dc:creator>
  <cp:lastModifiedBy>Wei Qiao</cp:lastModifiedBy>
  <dcterms:created xsi:type="dcterms:W3CDTF">2025-05-08T18:55:43Z</dcterms:created>
  <dcterms:modified xsi:type="dcterms:W3CDTF">2026-09-11T15:42:01Z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0x010100581273061BD1C04B841DF0B4BA9A3C10</vt:lpwstr>
  </property>
  <property fmtid="{D5CDD505-2E9C-101B-9397-08002B2CF9AE}" pid="3" name="MSIP_Label_b064f6f3-ba1e-417c-b6f1-929d6caea309_Enabled">
    <vt:lpwstr>true</vt:lpwstr>
  </property>
  <property fmtid="{D5CDD505-2E9C-101B-9397-08002B2CF9AE}" pid="4" name="MSIP_Label_b064f6f3-ba1e-417c-b6f1-929d6caea309_SetDate">
    <vt:lpwstr>2026-01-29T00:40:41Z</vt:lpwstr>
  </property>
  <property fmtid="{D5CDD505-2E9C-101B-9397-08002B2CF9AE}" pid="5" name="MSIP_Label_b064f6f3-ba1e-417c-b6f1-929d6caea309_Method">
    <vt:lpwstr>Privileged</vt:lpwstr>
  </property>
  <property fmtid="{D5CDD505-2E9C-101B-9397-08002B2CF9AE}" pid="6" name="MSIP_Label_b064f6f3-ba1e-417c-b6f1-929d6caea309_Name">
    <vt:lpwstr>Internal</vt:lpwstr>
  </property>
  <property fmtid="{D5CDD505-2E9C-101B-9397-08002B2CF9AE}" pid="7" name="MSIP_Label_b064f6f3-ba1e-417c-b6f1-929d6caea309_SiteId">
    <vt:lpwstr>0804c951-93a0-405d-80e4-fa87c7551d6a</vt:lpwstr>
  </property>
  <property fmtid="{D5CDD505-2E9C-101B-9397-08002B2CF9AE}" pid="8" name="MSIP_Label_b064f6f3-ba1e-417c-b6f1-929d6caea309_ActionId">
    <vt:lpwstr>9333410c-47e5-4aa1-8e74-deef6d160e7a</vt:lpwstr>
  </property>
  <property fmtid="{D5CDD505-2E9C-101B-9397-08002B2CF9AE}" pid="9" name="MSIP_Label_b064f6f3-ba1e-417c-b6f1-929d6caea309_ContentBits">
    <vt:lpwstr>1</vt:lpwstr>
  </property>
</Properties>
</file>